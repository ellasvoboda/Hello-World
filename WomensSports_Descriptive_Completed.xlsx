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Ex6.xml" ContentType="application/vnd.ms-office.chartex+xml"/>
  <Override PartName="/xl/charts/style8.xml" ContentType="application/vnd.ms-office.chartstyle+xml"/>
  <Override PartName="/xl/charts/colors8.xml" ContentType="application/vnd.ms-office.chartcolorstyle+xml"/>
  <Override PartName="/xl/charts/chartEx7.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10.xml" ContentType="application/vnd.ms-office.chartstyle+xml"/>
  <Override PartName="/xl/charts/colors10.xml" ContentType="application/vnd.ms-office.chartcolorstyle+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charts/chart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6.xml" ContentType="application/vnd.openxmlformats-officedocument.drawingml.chart+xml"/>
  <Override PartName="/xl/charts/style13.xml" ContentType="application/vnd.ms-office.chartstyle+xml"/>
  <Override PartName="/xl/charts/colors13.xml" ContentType="application/vnd.ms-office.chartcolorstyle+xml"/>
  <Override PartName="/xl/charts/chart7.xml" ContentType="application/vnd.openxmlformats-officedocument.drawingml.chart+xml"/>
  <Override PartName="/xl/charts/style14.xml" ContentType="application/vnd.ms-office.chartstyle+xml"/>
  <Override PartName="/xl/charts/colors14.xml" ContentType="application/vnd.ms-office.chartcolorstyle+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mc:AlternateContent xmlns:mc="http://schemas.openxmlformats.org/markup-compatibility/2006">
    <mc:Choice Requires="x15">
      <x15ac:absPath xmlns:x15ac="http://schemas.microsoft.com/office/spreadsheetml/2010/11/ac" url="https://iowa-my.sharepoint.com/personal/esvboda_uiowa_edu/Documents/Desktop/business analytics/"/>
    </mc:Choice>
  </mc:AlternateContent>
  <xr:revisionPtr revIDLastSave="0" documentId="8_{5A1A5968-29D7-4118-B74A-8439D8255AD3}" xr6:coauthVersionLast="47" xr6:coauthVersionMax="47" xr10:uidLastSave="{00000000-0000-0000-0000-000000000000}"/>
  <bookViews>
    <workbookView xWindow="-110" yWindow="-110" windowWidth="19420" windowHeight="10300" firstSheet="8" activeTab="5" xr2:uid="{00000000-000D-0000-FFFF-FFFF00000000}"/>
  </bookViews>
  <sheets>
    <sheet name="Data Dictionary" sheetId="3" r:id="rId1"/>
    <sheet name="Raw Data" sheetId="1" r:id="rId2"/>
    <sheet name="Edited Data" sheetId="2" r:id="rId3"/>
    <sheet name="DummyVariables" sheetId="25" r:id="rId4"/>
    <sheet name="Data Analysis" sheetId="21" r:id="rId5"/>
    <sheet name="Data Diagnostic" sheetId="19" r:id="rId6"/>
    <sheet name="Correlation" sheetId="22" r:id="rId7"/>
    <sheet name="Regression" sheetId="23" r:id="rId8"/>
    <sheet name="Equal Variance Check" sheetId="29" r:id="rId9"/>
  </sheets>
  <externalReferences>
    <externalReference r:id="rId10"/>
  </externalReferences>
  <definedNames>
    <definedName name="_xlchart.v1.0" hidden="1">'[1]Edited Data'!$H$1</definedName>
    <definedName name="_xlchart.v1.1" hidden="1">'[1]Edited Data'!$H$2:$H$501</definedName>
    <definedName name="_xlchart.v1.10" hidden="1">'Edited Data'!$E$1</definedName>
    <definedName name="_xlchart.v1.11" hidden="1">'Edited Data'!$E$2:$E$251</definedName>
    <definedName name="_xlchart.v1.12" hidden="1">'Edited Data'!$K$2:$K$251</definedName>
    <definedName name="_xlchart.v1.2" hidden="1">'[1]Edited Data'!$I$1</definedName>
    <definedName name="_xlchart.v1.3" hidden="1">'[1]Edited Data'!$I$2:$I$501</definedName>
    <definedName name="_xlchart.v1.4" hidden="1">'[1]Edited Data'!$G$1</definedName>
    <definedName name="_xlchart.v1.5" hidden="1">'[1]Edited Data'!$G$2:$G$501</definedName>
    <definedName name="_xlchart.v1.6" hidden="1">'Edited Data'!$G$1</definedName>
    <definedName name="_xlchart.v1.7" hidden="1">'Edited Data'!$G$2:$G$501</definedName>
    <definedName name="_xlchart.v1.8" hidden="1">'Edited Data'!$F$1</definedName>
    <definedName name="_xlchart.v1.9" hidden="1">'Edited Data'!$F$2:$F$252</definedName>
  </definedNames>
  <calcPr calcId="191028"/>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5" l="1"/>
  <c r="E3" i="25"/>
  <c r="E4" i="25"/>
  <c r="E5" i="25"/>
  <c r="E6" i="25"/>
  <c r="E7" i="25"/>
  <c r="E8"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3" i="25"/>
  <c r="E134" i="25"/>
  <c r="E135" i="25"/>
  <c r="E136" i="25"/>
  <c r="E137" i="25"/>
  <c r="E138" i="25"/>
  <c r="E139" i="25"/>
  <c r="E140" i="25"/>
  <c r="E141" i="25"/>
  <c r="E142" i="25"/>
  <c r="E143" i="25"/>
  <c r="E144" i="25"/>
  <c r="E145" i="25"/>
  <c r="E146" i="25"/>
  <c r="E147" i="25"/>
  <c r="E148" i="25"/>
  <c r="E149" i="25"/>
  <c r="E150" i="25"/>
  <c r="E151" i="25"/>
  <c r="E152" i="25"/>
  <c r="E153" i="25"/>
  <c r="E154" i="25"/>
  <c r="E155" i="25"/>
  <c r="E156" i="25"/>
  <c r="E157" i="25"/>
  <c r="E158" i="25"/>
  <c r="E159" i="25"/>
  <c r="E160" i="25"/>
  <c r="E161" i="25"/>
  <c r="E162" i="25"/>
  <c r="E163" i="25"/>
  <c r="E164" i="25"/>
  <c r="E165" i="25"/>
  <c r="E166" i="25"/>
  <c r="E167" i="25"/>
  <c r="E168" i="25"/>
  <c r="E169" i="25"/>
  <c r="E170" i="25"/>
  <c r="E171" i="25"/>
  <c r="E172" i="25"/>
  <c r="E173" i="25"/>
  <c r="E174" i="25"/>
  <c r="E175" i="25"/>
  <c r="E176" i="25"/>
  <c r="E177" i="25"/>
  <c r="E178" i="25"/>
  <c r="E179" i="25"/>
  <c r="E180" i="25"/>
  <c r="E181" i="25"/>
  <c r="E182" i="25"/>
  <c r="E183" i="25"/>
  <c r="E184" i="25"/>
  <c r="E185" i="25"/>
  <c r="E186" i="25"/>
  <c r="E187" i="25"/>
  <c r="E188" i="25"/>
  <c r="E189" i="25"/>
  <c r="E190" i="25"/>
  <c r="E191" i="25"/>
  <c r="E192" i="25"/>
  <c r="E193" i="25"/>
  <c r="E194" i="25"/>
  <c r="E195" i="25"/>
  <c r="E196" i="25"/>
  <c r="E197" i="25"/>
  <c r="E198" i="25"/>
  <c r="E199" i="25"/>
  <c r="E200" i="25"/>
  <c r="E201" i="25"/>
  <c r="E202" i="25"/>
  <c r="E203" i="25"/>
  <c r="E204" i="25"/>
  <c r="E205" i="25"/>
  <c r="E206" i="25"/>
  <c r="E207" i="25"/>
  <c r="E208" i="25"/>
  <c r="E209" i="25"/>
  <c r="E210" i="25"/>
  <c r="E211" i="25"/>
  <c r="E212" i="25"/>
  <c r="E213" i="25"/>
  <c r="E214" i="25"/>
  <c r="E215" i="25"/>
  <c r="E216" i="25"/>
  <c r="E217" i="25"/>
  <c r="E218" i="25"/>
  <c r="E219" i="25"/>
  <c r="E220" i="25"/>
  <c r="E221" i="25"/>
  <c r="E222" i="25"/>
  <c r="E223" i="25"/>
  <c r="E224" i="25"/>
  <c r="E225" i="25"/>
  <c r="E226" i="25"/>
  <c r="E227" i="25"/>
  <c r="E228" i="25"/>
  <c r="E229" i="25"/>
  <c r="E230" i="25"/>
  <c r="E231" i="25"/>
  <c r="E232" i="25"/>
  <c r="E233" i="25"/>
  <c r="E234" i="25"/>
  <c r="E235" i="25"/>
  <c r="E236" i="25"/>
  <c r="E237" i="25"/>
  <c r="E238" i="25"/>
  <c r="E239" i="25"/>
  <c r="E240" i="25"/>
  <c r="E241" i="25"/>
  <c r="E242" i="25"/>
  <c r="E243" i="25"/>
  <c r="E244" i="25"/>
  <c r="E245" i="25"/>
  <c r="E246" i="25"/>
  <c r="E247" i="25"/>
  <c r="E248" i="25"/>
  <c r="E249" i="25"/>
  <c r="E250" i="25"/>
  <c r="E251" i="25"/>
  <c r="E2" i="25"/>
  <c r="D3"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35" i="25"/>
  <c r="D136" i="25"/>
  <c r="D137" i="25"/>
  <c r="D138" i="25"/>
  <c r="D139" i="25"/>
  <c r="D140" i="25"/>
  <c r="D141" i="25"/>
  <c r="D142" i="25"/>
  <c r="D143" i="25"/>
  <c r="D144" i="25"/>
  <c r="D145" i="25"/>
  <c r="D146" i="25"/>
  <c r="D147" i="25"/>
  <c r="D148" i="25"/>
  <c r="D149" i="25"/>
  <c r="D150" i="25"/>
  <c r="D151" i="25"/>
  <c r="D152" i="25"/>
  <c r="D153" i="25"/>
  <c r="D154" i="25"/>
  <c r="D155" i="25"/>
  <c r="D156" i="25"/>
  <c r="D157" i="25"/>
  <c r="D158" i="25"/>
  <c r="D159" i="25"/>
  <c r="D160" i="25"/>
  <c r="D161" i="25"/>
  <c r="D162" i="25"/>
  <c r="D163" i="25"/>
  <c r="D164" i="25"/>
  <c r="D165" i="25"/>
  <c r="D166" i="25"/>
  <c r="D167" i="25"/>
  <c r="D168" i="25"/>
  <c r="D169" i="25"/>
  <c r="D170" i="25"/>
  <c r="D171" i="25"/>
  <c r="D172" i="25"/>
  <c r="D173" i="25"/>
  <c r="D174" i="25"/>
  <c r="D175" i="25"/>
  <c r="D176" i="25"/>
  <c r="D177" i="25"/>
  <c r="D178" i="25"/>
  <c r="D179" i="25"/>
  <c r="D180" i="25"/>
  <c r="D181" i="25"/>
  <c r="D182" i="25"/>
  <c r="D183" i="25"/>
  <c r="D184" i="25"/>
  <c r="D185" i="25"/>
  <c r="D186" i="25"/>
  <c r="D187" i="25"/>
  <c r="D188" i="25"/>
  <c r="D189" i="25"/>
  <c r="D190" i="25"/>
  <c r="D191" i="25"/>
  <c r="D192" i="25"/>
  <c r="D193" i="25"/>
  <c r="D194" i="25"/>
  <c r="D195" i="25"/>
  <c r="D196" i="25"/>
  <c r="D197" i="25"/>
  <c r="D198" i="25"/>
  <c r="D199" i="25"/>
  <c r="D200" i="25"/>
  <c r="D201" i="25"/>
  <c r="D202" i="25"/>
  <c r="D203" i="25"/>
  <c r="D204" i="25"/>
  <c r="D205" i="25"/>
  <c r="D206" i="25"/>
  <c r="D207" i="25"/>
  <c r="D208" i="25"/>
  <c r="D209" i="25"/>
  <c r="D210" i="25"/>
  <c r="D211" i="25"/>
  <c r="D212" i="25"/>
  <c r="D213" i="25"/>
  <c r="D214" i="25"/>
  <c r="D215" i="25"/>
  <c r="D216" i="25"/>
  <c r="D217" i="25"/>
  <c r="D218" i="25"/>
  <c r="D219" i="25"/>
  <c r="D220" i="25"/>
  <c r="D221" i="25"/>
  <c r="D222" i="25"/>
  <c r="D223" i="25"/>
  <c r="D224" i="25"/>
  <c r="D225" i="25"/>
  <c r="D226" i="25"/>
  <c r="D227" i="25"/>
  <c r="D228" i="25"/>
  <c r="D229" i="25"/>
  <c r="D230" i="25"/>
  <c r="D231" i="25"/>
  <c r="D232" i="25"/>
  <c r="D233" i="25"/>
  <c r="D234" i="25"/>
  <c r="D235" i="25"/>
  <c r="D236" i="25"/>
  <c r="D237" i="25"/>
  <c r="D238" i="25"/>
  <c r="D239" i="25"/>
  <c r="D240" i="25"/>
  <c r="D241" i="25"/>
  <c r="D242" i="25"/>
  <c r="D243" i="25"/>
  <c r="D244" i="25"/>
  <c r="D245" i="25"/>
  <c r="D246" i="25"/>
  <c r="D247" i="25"/>
  <c r="D248" i="25"/>
  <c r="D249" i="25"/>
  <c r="D250" i="25"/>
  <c r="D251" i="25"/>
  <c r="D2" i="25"/>
  <c r="J3" i="25"/>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 i="25"/>
  <c r="C251" i="25"/>
  <c r="C250" i="25"/>
  <c r="C249" i="25"/>
  <c r="C248" i="25"/>
  <c r="C247" i="25"/>
  <c r="C246" i="25"/>
  <c r="C245" i="25"/>
  <c r="C244" i="25"/>
  <c r="C243" i="25"/>
  <c r="C242" i="25"/>
  <c r="C241" i="25"/>
  <c r="C240" i="25"/>
  <c r="C239" i="25"/>
  <c r="C238" i="25"/>
  <c r="C237" i="25"/>
  <c r="C236" i="25"/>
  <c r="C235" i="25"/>
  <c r="C234" i="25"/>
  <c r="C233" i="25"/>
  <c r="C232" i="25"/>
  <c r="C231" i="25"/>
  <c r="C230" i="25"/>
  <c r="C229" i="25"/>
  <c r="C228" i="25"/>
  <c r="C227" i="25"/>
  <c r="C226" i="25"/>
  <c r="C225" i="25"/>
  <c r="C224" i="25"/>
  <c r="C223" i="25"/>
  <c r="C222" i="25"/>
  <c r="C221" i="25"/>
  <c r="C220" i="25"/>
  <c r="C219" i="25"/>
  <c r="C218" i="25"/>
  <c r="C217" i="25"/>
  <c r="C216" i="25"/>
  <c r="C215" i="25"/>
  <c r="C214" i="25"/>
  <c r="C213" i="25"/>
  <c r="C212" i="25"/>
  <c r="C211" i="25"/>
  <c r="C210" i="25"/>
  <c r="C209" i="25"/>
  <c r="C208" i="25"/>
  <c r="C207" i="25"/>
  <c r="C206" i="25"/>
  <c r="C205" i="25"/>
  <c r="C204" i="25"/>
  <c r="C203" i="25"/>
  <c r="C202" i="25"/>
  <c r="C201" i="25"/>
  <c r="C200" i="25"/>
  <c r="C199" i="25"/>
  <c r="C198" i="25"/>
  <c r="C197" i="25"/>
  <c r="C196" i="25"/>
  <c r="C195" i="25"/>
  <c r="C194" i="25"/>
  <c r="C193" i="25"/>
  <c r="C192" i="25"/>
  <c r="C191" i="25"/>
  <c r="C190" i="25"/>
  <c r="C189" i="25"/>
  <c r="C188" i="25"/>
  <c r="C187" i="25"/>
  <c r="C186" i="25"/>
  <c r="C185" i="25"/>
  <c r="C184" i="25"/>
  <c r="C183" i="25"/>
  <c r="C182" i="25"/>
  <c r="C181" i="25"/>
  <c r="C180" i="25"/>
  <c r="C179" i="25"/>
  <c r="C178" i="25"/>
  <c r="C177" i="25"/>
  <c r="C176" i="25"/>
  <c r="C175" i="25"/>
  <c r="C174" i="25"/>
  <c r="C173" i="25"/>
  <c r="C172" i="25"/>
  <c r="C171" i="25"/>
  <c r="C170" i="25"/>
  <c r="C169" i="25"/>
  <c r="C168" i="25"/>
  <c r="C167" i="25"/>
  <c r="C166" i="25"/>
  <c r="C165" i="25"/>
  <c r="C164" i="25"/>
  <c r="C163" i="25"/>
  <c r="C162" i="25"/>
  <c r="C161" i="25"/>
  <c r="C160" i="25"/>
  <c r="C159" i="25"/>
  <c r="C158" i="25"/>
  <c r="C157" i="25"/>
  <c r="C156" i="25"/>
  <c r="C155" i="25"/>
  <c r="C154" i="25"/>
  <c r="C153" i="25"/>
  <c r="C152" i="25"/>
  <c r="C151" i="25"/>
  <c r="C150" i="25"/>
  <c r="C149" i="25"/>
  <c r="C148" i="25"/>
  <c r="C147" i="25"/>
  <c r="C146" i="25"/>
  <c r="C145" i="25"/>
  <c r="C144" i="25"/>
  <c r="C143" i="25"/>
  <c r="C142" i="25"/>
  <c r="C141" i="25"/>
  <c r="C140" i="25"/>
  <c r="C139" i="25"/>
  <c r="C138" i="25"/>
  <c r="C137" i="25"/>
  <c r="C136" i="25"/>
  <c r="C135" i="25"/>
  <c r="C134" i="25"/>
  <c r="C133" i="25"/>
  <c r="C132" i="25"/>
  <c r="C131" i="25"/>
  <c r="C130" i="25"/>
  <c r="C129" i="25"/>
  <c r="C128" i="25"/>
  <c r="C127" i="25"/>
  <c r="C126" i="25"/>
  <c r="C125" i="25"/>
  <c r="C124" i="25"/>
  <c r="C123" i="25"/>
  <c r="C122" i="25"/>
  <c r="C121" i="25"/>
  <c r="C120" i="25"/>
  <c r="C119" i="25"/>
  <c r="C118" i="25"/>
  <c r="C117" i="25"/>
  <c r="C116" i="25"/>
  <c r="C115" i="25"/>
  <c r="C114" i="25"/>
  <c r="C113" i="25"/>
  <c r="C112" i="25"/>
  <c r="C111" i="25"/>
  <c r="C110" i="25"/>
  <c r="C109" i="25"/>
  <c r="C108" i="25"/>
  <c r="C107" i="25"/>
  <c r="C106" i="25"/>
  <c r="C105" i="25"/>
  <c r="C104" i="25"/>
  <c r="C103" i="25"/>
  <c r="C102" i="25"/>
  <c r="C101" i="25"/>
  <c r="C100" i="25"/>
  <c r="C99" i="25"/>
  <c r="C98" i="25"/>
  <c r="C97" i="25"/>
  <c r="C96" i="25"/>
  <c r="C95" i="25"/>
  <c r="C94" i="25"/>
  <c r="C93" i="25"/>
  <c r="C92" i="25"/>
  <c r="C91" i="25"/>
  <c r="C90" i="25"/>
  <c r="C89" i="25"/>
  <c r="C88" i="25"/>
  <c r="C87" i="25"/>
  <c r="C86" i="25"/>
  <c r="C85" i="25"/>
  <c r="C84" i="25"/>
  <c r="C83" i="25"/>
  <c r="C82" i="25"/>
  <c r="C81" i="25"/>
  <c r="C80" i="25"/>
  <c r="C79" i="25"/>
  <c r="C78" i="25"/>
  <c r="C77" i="25"/>
  <c r="C76" i="25"/>
  <c r="C75" i="25"/>
  <c r="C74" i="25"/>
  <c r="C73" i="25"/>
  <c r="C72" i="25"/>
  <c r="C71" i="25"/>
  <c r="C70" i="25"/>
  <c r="C69" i="25"/>
  <c r="C68" i="25"/>
  <c r="C67" i="25"/>
  <c r="C66" i="25"/>
  <c r="C65" i="25"/>
  <c r="C64" i="25"/>
  <c r="C63" i="25"/>
  <c r="C62" i="25"/>
  <c r="C61" i="25"/>
  <c r="C60" i="25"/>
  <c r="C59" i="25"/>
  <c r="C58" i="25"/>
  <c r="C57" i="25"/>
  <c r="C56" i="25"/>
  <c r="C55" i="25"/>
  <c r="C54" i="25"/>
  <c r="C53" i="25"/>
  <c r="C52" i="25"/>
  <c r="C51" i="25"/>
  <c r="C50" i="25"/>
  <c r="C49" i="25"/>
  <c r="C48" i="25"/>
  <c r="C47" i="25"/>
  <c r="C46" i="25"/>
  <c r="C45" i="25"/>
  <c r="C44" i="25"/>
  <c r="C43" i="25"/>
  <c r="C42" i="25"/>
  <c r="C41" i="25"/>
  <c r="C40" i="25"/>
  <c r="C39" i="25"/>
  <c r="C38" i="25"/>
  <c r="C37" i="25"/>
  <c r="C36" i="25"/>
  <c r="C35" i="25"/>
  <c r="C34" i="25"/>
  <c r="C33" i="25"/>
  <c r="C32" i="25"/>
  <c r="C31" i="25"/>
  <c r="C30" i="25"/>
  <c r="C29" i="25"/>
  <c r="C28" i="25"/>
  <c r="C27" i="25"/>
  <c r="C26" i="25"/>
  <c r="C25" i="25"/>
  <c r="C24" i="25"/>
  <c r="C23" i="25"/>
  <c r="C22" i="25"/>
  <c r="C21" i="25"/>
  <c r="C20" i="25"/>
  <c r="C19" i="25"/>
  <c r="C18" i="25"/>
  <c r="C17" i="25"/>
  <c r="C16" i="25"/>
  <c r="C15" i="25"/>
  <c r="C14" i="25"/>
  <c r="C13" i="25"/>
  <c r="C12" i="25"/>
  <c r="C11" i="25"/>
  <c r="C10" i="25"/>
  <c r="C9" i="25"/>
  <c r="C8" i="25"/>
  <c r="C7" i="25"/>
  <c r="C6" i="25"/>
  <c r="C5" i="25"/>
  <c r="C4" i="25"/>
  <c r="C3" i="25"/>
  <c r="C2" i="25"/>
  <c r="Q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alcChain>
</file>

<file path=xl/sharedStrings.xml><?xml version="1.0" encoding="utf-8"?>
<sst xmlns="http://schemas.openxmlformats.org/spreadsheetml/2006/main" count="6436" uniqueCount="1227">
  <si>
    <t>Variable</t>
  </si>
  <si>
    <t>Type</t>
  </si>
  <si>
    <t>Description</t>
  </si>
  <si>
    <t>Variable Type</t>
  </si>
  <si>
    <t>Sector</t>
  </si>
  <si>
    <t>Categorical/Text</t>
  </si>
  <si>
    <t>Private or Public College (1= private, 0=public)</t>
  </si>
  <si>
    <t>Independent</t>
  </si>
  <si>
    <t>Division</t>
  </si>
  <si>
    <t>Division One, Two, or Three</t>
  </si>
  <si>
    <t>Football</t>
  </si>
  <si>
    <t>Do they or do they not have football (1 = no, 0 = yes)</t>
  </si>
  <si>
    <t>Total Athletes</t>
  </si>
  <si>
    <t>Numeric</t>
  </si>
  <si>
    <t>Total number of M and F athletes</t>
  </si>
  <si>
    <t>Female Athlete %</t>
  </si>
  <si>
    <t>% of total athletes that are F</t>
  </si>
  <si>
    <t>Total Spending</t>
  </si>
  <si>
    <t>Total spending on atheltes in that school</t>
  </si>
  <si>
    <t>Female Spend Share (%)</t>
  </si>
  <si>
    <t>Spending on F athletes as a % of total athletic spending</t>
  </si>
  <si>
    <t>Dependent</t>
  </si>
  <si>
    <t>Institution</t>
  </si>
  <si>
    <t>Region</t>
  </si>
  <si>
    <t>Total Students</t>
  </si>
  <si>
    <t>Female</t>
  </si>
  <si>
    <t>Degree Type</t>
  </si>
  <si>
    <t>Sports</t>
  </si>
  <si>
    <t>Athletes</t>
  </si>
  <si>
    <t>Female Athletes</t>
  </si>
  <si>
    <t>Male Spending</t>
  </si>
  <si>
    <t>Female Spending</t>
  </si>
  <si>
    <t>Women's Spend per Female Athlete (Y)</t>
  </si>
  <si>
    <t>Men's Spend per Male Athlete</t>
  </si>
  <si>
    <t>Alabama A &amp; M University</t>
  </si>
  <si>
    <t>East South Central</t>
  </si>
  <si>
    <t>Public</t>
  </si>
  <si>
    <t>4-year</t>
  </si>
  <si>
    <t>Yes</t>
  </si>
  <si>
    <t>University of Alabama at Birmingham</t>
  </si>
  <si>
    <t>University of Alabama in Huntsville</t>
  </si>
  <si>
    <t>No</t>
  </si>
  <si>
    <t>Alabama State University</t>
  </si>
  <si>
    <t>The University of Alabama</t>
  </si>
  <si>
    <t>Auburn University at Montgomery</t>
  </si>
  <si>
    <t>Auburn University</t>
  </si>
  <si>
    <t>Birmingham-Southern College</t>
  </si>
  <si>
    <t>Private</t>
  </si>
  <si>
    <t>Huntingdon College</t>
  </si>
  <si>
    <t>Jacksonville State University</t>
  </si>
  <si>
    <t>University of West Alabama</t>
  </si>
  <si>
    <t>Miles College</t>
  </si>
  <si>
    <t>University of Montevallo</t>
  </si>
  <si>
    <t>University of North Alabama</t>
  </si>
  <si>
    <t>Samford University</t>
  </si>
  <si>
    <t>University of South Alabama</t>
  </si>
  <si>
    <t>Spring Hill College</t>
  </si>
  <si>
    <t>Troy University</t>
  </si>
  <si>
    <t>Tuskegee University</t>
  </si>
  <si>
    <t>University of Alaska Anchorage</t>
  </si>
  <si>
    <t>Pacific</t>
  </si>
  <si>
    <t>University of Alaska Fairbanks</t>
  </si>
  <si>
    <t>Arizona State University-Tempe</t>
  </si>
  <si>
    <t>Mountain</t>
  </si>
  <si>
    <t>University of Arizona</t>
  </si>
  <si>
    <t>Grand Canyon University</t>
  </si>
  <si>
    <t>Northern Arizona University</t>
  </si>
  <si>
    <t>University of Arkansas at Little Rock</t>
  </si>
  <si>
    <t>West South Central</t>
  </si>
  <si>
    <t>University of Arkansas</t>
  </si>
  <si>
    <t>University of Arkansas at Pine Bluff</t>
  </si>
  <si>
    <t>Arkansas State University-Main Campus</t>
  </si>
  <si>
    <t>Arkansas Tech University</t>
  </si>
  <si>
    <t>University of Arkansas at Monticello</t>
  </si>
  <si>
    <t>University of Central Arkansas</t>
  </si>
  <si>
    <t>Harding University</t>
  </si>
  <si>
    <t>Henderson State University</t>
  </si>
  <si>
    <t>Hendrix College</t>
  </si>
  <si>
    <t>Ouachita Baptist University</t>
  </si>
  <si>
    <t>University of the Ozarks</t>
  </si>
  <si>
    <t>Southern Arkansas University Main Campus</t>
  </si>
  <si>
    <t>University of Arkansas-Fort Smith</t>
  </si>
  <si>
    <t>Academy of Art University</t>
  </si>
  <si>
    <t>Azusa Pacific University</t>
  </si>
  <si>
    <t>Biola University</t>
  </si>
  <si>
    <t>California Baptist University</t>
  </si>
  <si>
    <t>California Institute of Technology</t>
  </si>
  <si>
    <t>California Lutheran University</t>
  </si>
  <si>
    <t>California Polytechnic State University-San Luis Obispo</t>
  </si>
  <si>
    <t>California State University-Bakersfield</t>
  </si>
  <si>
    <t>California State University-Stanislaus</t>
  </si>
  <si>
    <t>California State University-San Bernardino</t>
  </si>
  <si>
    <t>California State Polytechnic University-Pomona</t>
  </si>
  <si>
    <t>California State University-Chico</t>
  </si>
  <si>
    <t>California State University-Dominguez Hills</t>
  </si>
  <si>
    <t>California State University-Fresno</t>
  </si>
  <si>
    <t>California State University-Fullerton</t>
  </si>
  <si>
    <t>California State University-East Bay</t>
  </si>
  <si>
    <t>California State University-Long Beach</t>
  </si>
  <si>
    <t>California State University-Los Angeles</t>
  </si>
  <si>
    <t>California State University-Northridge</t>
  </si>
  <si>
    <t>California State University-Sacramento</t>
  </si>
  <si>
    <t>University of California-Berkeley</t>
  </si>
  <si>
    <t>University of California-Davis</t>
  </si>
  <si>
    <t>University of California-Irvine</t>
  </si>
  <si>
    <t>University of California-Los Angeles</t>
  </si>
  <si>
    <t>University of California-Riverside</t>
  </si>
  <si>
    <t>University of California-San Diego</t>
  </si>
  <si>
    <t>University of California-Santa Barbara</t>
  </si>
  <si>
    <t>University of California-Santa Cruz</t>
  </si>
  <si>
    <t>Chapman University</t>
  </si>
  <si>
    <t>Concordia University-Irvine</t>
  </si>
  <si>
    <t>Claremont McKenna College</t>
  </si>
  <si>
    <t>Dominican University of California</t>
  </si>
  <si>
    <t>Fresno Pacific University</t>
  </si>
  <si>
    <t>Holy Names University</t>
  </si>
  <si>
    <t>Humboldt State University</t>
  </si>
  <si>
    <t>University of La Verne</t>
  </si>
  <si>
    <t>Loyola Marymount University</t>
  </si>
  <si>
    <t>Notre Dame de Namur University</t>
  </si>
  <si>
    <t>Occidental College</t>
  </si>
  <si>
    <t>University of the Pacific</t>
  </si>
  <si>
    <t>Pepperdine University</t>
  </si>
  <si>
    <t>Point Loma Nazarene University</t>
  </si>
  <si>
    <t>Pomona College</t>
  </si>
  <si>
    <t>University of Redlands</t>
  </si>
  <si>
    <t>San Diego State University</t>
  </si>
  <si>
    <t>University of San Diego</t>
  </si>
  <si>
    <t>San Francisco State University</t>
  </si>
  <si>
    <t>University of San Francisco</t>
  </si>
  <si>
    <t>San Jose State University</t>
  </si>
  <si>
    <t>Santa Clara University</t>
  </si>
  <si>
    <t>Saint Mary's College of California</t>
  </si>
  <si>
    <t>Sonoma State University</t>
  </si>
  <si>
    <t>University of Southern California</t>
  </si>
  <si>
    <t>Whittier College</t>
  </si>
  <si>
    <t>Adams State University</t>
  </si>
  <si>
    <t>University of Colorado Colorado Springs</t>
  </si>
  <si>
    <t>University of Colorado Boulder</t>
  </si>
  <si>
    <t>Colorado Christian University</t>
  </si>
  <si>
    <t>Colorado College</t>
  </si>
  <si>
    <t>Colorado School of Mines</t>
  </si>
  <si>
    <t>Colorado State University-Fort Collins</t>
  </si>
  <si>
    <t>University of Denver</t>
  </si>
  <si>
    <t>Fort Lewis College</t>
  </si>
  <si>
    <t>Colorado Mesa University</t>
  </si>
  <si>
    <t>Metropolitan State University of Denver</t>
  </si>
  <si>
    <t>University of Northern Colorado</t>
  </si>
  <si>
    <t>Regis University</t>
  </si>
  <si>
    <t>Colorado State University-Pueblo</t>
  </si>
  <si>
    <t>Western Colorado University</t>
  </si>
  <si>
    <t>Albertus Magnus College</t>
  </si>
  <si>
    <t>New England</t>
  </si>
  <si>
    <t>University of Bridgeport</t>
  </si>
  <si>
    <t>Central Connecticut State University</t>
  </si>
  <si>
    <t>Connecticut College</t>
  </si>
  <si>
    <t>University of Connecticut</t>
  </si>
  <si>
    <t>Eastern Connecticut State University</t>
  </si>
  <si>
    <t>Fairfield University</t>
  </si>
  <si>
    <t>University of Hartford</t>
  </si>
  <si>
    <t>Mitchell College</t>
  </si>
  <si>
    <t>University of New Haven</t>
  </si>
  <si>
    <t>Post University</t>
  </si>
  <si>
    <t>Quinnipiac University</t>
  </si>
  <si>
    <t>Sacred Heart University</t>
  </si>
  <si>
    <t>University of Saint Joseph</t>
  </si>
  <si>
    <t>Southern Connecticut State University</t>
  </si>
  <si>
    <t>Trinity College</t>
  </si>
  <si>
    <t>Wesleyan University</t>
  </si>
  <si>
    <t>Western Connecticut State University</t>
  </si>
  <si>
    <t>Yale University</t>
  </si>
  <si>
    <t>Delaware State University</t>
  </si>
  <si>
    <t>South Atlantic</t>
  </si>
  <si>
    <t>University of Delaware</t>
  </si>
  <si>
    <t>Goldey-Beacom College</t>
  </si>
  <si>
    <t>Wesley College</t>
  </si>
  <si>
    <t>Wilmington University</t>
  </si>
  <si>
    <t>American University</t>
  </si>
  <si>
    <t>The Catholic University of America</t>
  </si>
  <si>
    <t>University of the District of Columbia</t>
  </si>
  <si>
    <t>Gallaudet University</t>
  </si>
  <si>
    <t>George Washington University</t>
  </si>
  <si>
    <t>Georgetown University</t>
  </si>
  <si>
    <t>Howard University</t>
  </si>
  <si>
    <t>Barry University</t>
  </si>
  <si>
    <t>Bethune-Cookman University</t>
  </si>
  <si>
    <t>Lynn University</t>
  </si>
  <si>
    <t>University of Central Florida</t>
  </si>
  <si>
    <t>Eckerd College</t>
  </si>
  <si>
    <t>Embry-Riddle Aeronautical University-Daytona Beach</t>
  </si>
  <si>
    <t>Florida Agricultural and Mechanical University</t>
  </si>
  <si>
    <t>Florida Atlantic University</t>
  </si>
  <si>
    <t>Flagler College-St Augustine</t>
  </si>
  <si>
    <t>Florida Institute of Technology</t>
  </si>
  <si>
    <t>Florida International University</t>
  </si>
  <si>
    <t>Florida Southern College</t>
  </si>
  <si>
    <t>Florida State University</t>
  </si>
  <si>
    <t>University of Florida</t>
  </si>
  <si>
    <t>Jacksonville University</t>
  </si>
  <si>
    <t>University of Miami</t>
  </si>
  <si>
    <t>University of North Florida</t>
  </si>
  <si>
    <t>Nova Southeastern University</t>
  </si>
  <si>
    <t>Palm Beach Atlantic University</t>
  </si>
  <si>
    <t>Rollins College</t>
  </si>
  <si>
    <t>Saint Leo University</t>
  </si>
  <si>
    <t>University of South Florida-Main Campus</t>
  </si>
  <si>
    <t>Stetson University</t>
  </si>
  <si>
    <t>The University of Tampa</t>
  </si>
  <si>
    <t>The University of West Florida</t>
  </si>
  <si>
    <t>Albany State University</t>
  </si>
  <si>
    <t>Clark Atlanta University</t>
  </si>
  <si>
    <t>Berry College</t>
  </si>
  <si>
    <t>Clayton  State University</t>
  </si>
  <si>
    <t>Columbus State University</t>
  </si>
  <si>
    <t>Covenant College</t>
  </si>
  <si>
    <t>Emmanuel College</t>
  </si>
  <si>
    <t>Emory University</t>
  </si>
  <si>
    <t>Fort Valley State University</t>
  </si>
  <si>
    <t>Georgia Institute of Technology-Main Campus</t>
  </si>
  <si>
    <t>Georgia Southwestern State University</t>
  </si>
  <si>
    <t>Georgia College &amp; State University</t>
  </si>
  <si>
    <t>Georgia Southern University</t>
  </si>
  <si>
    <t>Georgia State University</t>
  </si>
  <si>
    <t>University of Georgia</t>
  </si>
  <si>
    <t>LaGrange College</t>
  </si>
  <si>
    <t>Mercer University</t>
  </si>
  <si>
    <t>Oglethorpe University</t>
  </si>
  <si>
    <t>Paine College</t>
  </si>
  <si>
    <t>Piedmont College</t>
  </si>
  <si>
    <t>Savannah State University</t>
  </si>
  <si>
    <t>Shorter University</t>
  </si>
  <si>
    <t>Valdosta State University</t>
  </si>
  <si>
    <t>University of West Georgia</t>
  </si>
  <si>
    <t>Young Harris College</t>
  </si>
  <si>
    <t>Chaminade University of Honolulu</t>
  </si>
  <si>
    <t>University of Hawaii at Hilo</t>
  </si>
  <si>
    <t>University of Hawaii at Manoa</t>
  </si>
  <si>
    <t>Hawaii Pacific University</t>
  </si>
  <si>
    <t>Boise State University</t>
  </si>
  <si>
    <t>Idaho State University</t>
  </si>
  <si>
    <t>University of Idaho</t>
  </si>
  <si>
    <t>Northwest Nazarene University</t>
  </si>
  <si>
    <t>Augustana College</t>
  </si>
  <si>
    <t>East North Central</t>
  </si>
  <si>
    <t>Aurora University</t>
  </si>
  <si>
    <t>Blackburn College</t>
  </si>
  <si>
    <t>Bradley University</t>
  </si>
  <si>
    <t>Chicago State University</t>
  </si>
  <si>
    <t>University of Chicago</t>
  </si>
  <si>
    <t>Concordia University-Chicago</t>
  </si>
  <si>
    <t>DePaul University</t>
  </si>
  <si>
    <t>Eastern Illinois University</t>
  </si>
  <si>
    <t>Elmhurst College</t>
  </si>
  <si>
    <t>Eureka College</t>
  </si>
  <si>
    <t>Greenville University</t>
  </si>
  <si>
    <t>University of Illinois at Chicago</t>
  </si>
  <si>
    <t>Benedictine University</t>
  </si>
  <si>
    <t>University of Illinois at Urbana-Champaign</t>
  </si>
  <si>
    <t>Illinois Wesleyan University</t>
  </si>
  <si>
    <t>Illinois College</t>
  </si>
  <si>
    <t>Illinois Institute of Technology</t>
  </si>
  <si>
    <t>Illinois State University</t>
  </si>
  <si>
    <t>Knox College</t>
  </si>
  <si>
    <t>Lake Forest College</t>
  </si>
  <si>
    <t>Lewis University</t>
  </si>
  <si>
    <t>Loyola University Chicago</t>
  </si>
  <si>
    <t>McKendree University</t>
  </si>
  <si>
    <t>Millikin University</t>
  </si>
  <si>
    <t>Monmouth College</t>
  </si>
  <si>
    <t>North Central College</t>
  </si>
  <si>
    <t>North Park University</t>
  </si>
  <si>
    <t>Northern Illinois University</t>
  </si>
  <si>
    <t>Northwestern University</t>
  </si>
  <si>
    <t>Quincy University</t>
  </si>
  <si>
    <t>Rockford University</t>
  </si>
  <si>
    <t>Dominican University</t>
  </si>
  <si>
    <t>University of Illinois at Springfield</t>
  </si>
  <si>
    <t>Southern Illinois University-Carbondale</t>
  </si>
  <si>
    <t>Southern Illinois University-Edwardsville</t>
  </si>
  <si>
    <t>Western Illinois University</t>
  </si>
  <si>
    <t>Wheaton College</t>
  </si>
  <si>
    <t>Anderson University</t>
  </si>
  <si>
    <t>Ball State University</t>
  </si>
  <si>
    <t>Butler University</t>
  </si>
  <si>
    <t>DePauw University</t>
  </si>
  <si>
    <t>Earlham College</t>
  </si>
  <si>
    <t>University of Evansville</t>
  </si>
  <si>
    <t>Franklin College</t>
  </si>
  <si>
    <t>Hanover College</t>
  </si>
  <si>
    <t>Purdue University Fort Wayne</t>
  </si>
  <si>
    <t>Indiana University-Purdue University-Indianapolis</t>
  </si>
  <si>
    <t>University of Indianapolis</t>
  </si>
  <si>
    <t>University of Southern Indiana</t>
  </si>
  <si>
    <t>Indiana State University</t>
  </si>
  <si>
    <t>Indiana University-Bloomington</t>
  </si>
  <si>
    <t>Manchester University</t>
  </si>
  <si>
    <t>University of Notre Dame</t>
  </si>
  <si>
    <t>Oakland City University</t>
  </si>
  <si>
    <t>Rose-Hulman Institute of Technology</t>
  </si>
  <si>
    <t>Trine University</t>
  </si>
  <si>
    <t>Valparaiso University</t>
  </si>
  <si>
    <t>Buena Vista University</t>
  </si>
  <si>
    <t>West North Central</t>
  </si>
  <si>
    <t>Central College</t>
  </si>
  <si>
    <t>Coe College</t>
  </si>
  <si>
    <t>Cornell College</t>
  </si>
  <si>
    <t>Drake University</t>
  </si>
  <si>
    <t>University of Dubuque</t>
  </si>
  <si>
    <t>Grinnell College</t>
  </si>
  <si>
    <t>Iowa State University</t>
  </si>
  <si>
    <t>Iowa Wesleyan University</t>
  </si>
  <si>
    <t>University of Iowa</t>
  </si>
  <si>
    <t>Loras College</t>
  </si>
  <si>
    <t>Luther College</t>
  </si>
  <si>
    <t>University of Northern Iowa</t>
  </si>
  <si>
    <t>Simpson College</t>
  </si>
  <si>
    <t>Upper Iowa University</t>
  </si>
  <si>
    <t>Wartburg College</t>
  </si>
  <si>
    <t>Emporia State University</t>
  </si>
  <si>
    <t>Fort Hays State University</t>
  </si>
  <si>
    <t>Hesston College</t>
  </si>
  <si>
    <t>University of Kansas</t>
  </si>
  <si>
    <t>Newman University</t>
  </si>
  <si>
    <t>Kansas State University</t>
  </si>
  <si>
    <t>Pittsburg State University</t>
  </si>
  <si>
    <t>Washburn University</t>
  </si>
  <si>
    <t>Wichita State University</t>
  </si>
  <si>
    <t>Bellarmine University</t>
  </si>
  <si>
    <t>Berea College</t>
  </si>
  <si>
    <t>Centre College</t>
  </si>
  <si>
    <t>Eastern Kentucky University</t>
  </si>
  <si>
    <t>Kentucky State University</t>
  </si>
  <si>
    <t>Kentucky Wesleyan College</t>
  </si>
  <si>
    <t>University of Kentucky</t>
  </si>
  <si>
    <t>University of Louisville</t>
  </si>
  <si>
    <t>Morehead State University</t>
  </si>
  <si>
    <t>Murray State University</t>
  </si>
  <si>
    <t>Northern Kentucky University</t>
  </si>
  <si>
    <t>Spalding University</t>
  </si>
  <si>
    <t>Transylvania University</t>
  </si>
  <si>
    <t>Western Kentucky University</t>
  </si>
  <si>
    <t>Centenary College of Louisiana</t>
  </si>
  <si>
    <t>Grambling State University</t>
  </si>
  <si>
    <t>Louisiana State University and Agricultural &amp; Mechanical College</t>
  </si>
  <si>
    <t>Louisiana College</t>
  </si>
  <si>
    <t>Louisiana Tech University</t>
  </si>
  <si>
    <t>McNeese State University</t>
  </si>
  <si>
    <t>University of New Orleans</t>
  </si>
  <si>
    <t>Nicholls State University</t>
  </si>
  <si>
    <t>University of Louisiana at Monroe</t>
  </si>
  <si>
    <t>Northwestern State University of Louisiana</t>
  </si>
  <si>
    <t>Southeastern Louisiana University</t>
  </si>
  <si>
    <t>Southern University and A &amp; M College</t>
  </si>
  <si>
    <t>University of Louisiana at Lafayette</t>
  </si>
  <si>
    <t>Tulane University of Louisiana</t>
  </si>
  <si>
    <t>Bates College</t>
  </si>
  <si>
    <t>Bowdoin College</t>
  </si>
  <si>
    <t>Colby College</t>
  </si>
  <si>
    <t>University of Maine at Farmington</t>
  </si>
  <si>
    <t>University of Maine</t>
  </si>
  <si>
    <t>Maine Maritime Academy</t>
  </si>
  <si>
    <t>University of Maine at Presque Isle</t>
  </si>
  <si>
    <t>University of New England</t>
  </si>
  <si>
    <t>Saint Joseph's College of Maine</t>
  </si>
  <si>
    <t>University of Southern Maine</t>
  </si>
  <si>
    <t>Thomas College</t>
  </si>
  <si>
    <t>Bowie State University</t>
  </si>
  <si>
    <t>Coppin State University</t>
  </si>
  <si>
    <t>Frostburg State University</t>
  </si>
  <si>
    <t>Goucher College</t>
  </si>
  <si>
    <t>Hood College</t>
  </si>
  <si>
    <t>Loyola University Maryland</t>
  </si>
  <si>
    <t>University of Maryland-Baltimore County</t>
  </si>
  <si>
    <t>University of Maryland-College Park</t>
  </si>
  <si>
    <t>University of Maryland Eastern Shore</t>
  </si>
  <si>
    <t>Morgan State University</t>
  </si>
  <si>
    <t>Mount St. Mary's University</t>
  </si>
  <si>
    <t>Salisbury University</t>
  </si>
  <si>
    <t>St. Mary's College of Maryland</t>
  </si>
  <si>
    <t>Towson University</t>
  </si>
  <si>
    <t>Stevenson University</t>
  </si>
  <si>
    <t>Washington College</t>
  </si>
  <si>
    <t>McDaniel College</t>
  </si>
  <si>
    <t>American International College</t>
  </si>
  <si>
    <t>Amherst College</t>
  </si>
  <si>
    <t>Anna Maria College</t>
  </si>
  <si>
    <t>Assumption College</t>
  </si>
  <si>
    <t>Babson College</t>
  </si>
  <si>
    <t>Becker College</t>
  </si>
  <si>
    <t>Bentley University</t>
  </si>
  <si>
    <t>Boston College</t>
  </si>
  <si>
    <t>Boston University</t>
  </si>
  <si>
    <t>Brandeis University</t>
  </si>
  <si>
    <t>Bridgewater State University</t>
  </si>
  <si>
    <t>Clark University</t>
  </si>
  <si>
    <t>Curry College</t>
  </si>
  <si>
    <t>Dean College</t>
  </si>
  <si>
    <t>Eastern Nazarene College</t>
  </si>
  <si>
    <t>Emerson College</t>
  </si>
  <si>
    <t>Endicott College</t>
  </si>
  <si>
    <t>Fitchburg State University</t>
  </si>
  <si>
    <t>Framingham State University</t>
  </si>
  <si>
    <t>Gordon College</t>
  </si>
  <si>
    <t>Harvard University</t>
  </si>
  <si>
    <t>College of the Holy Cross</t>
  </si>
  <si>
    <t>Lasell University</t>
  </si>
  <si>
    <t>Lesley University</t>
  </si>
  <si>
    <t>University of Massachusetts-Lowell</t>
  </si>
  <si>
    <t>University of Massachusetts-Amherst</t>
  </si>
  <si>
    <t>University of Massachusetts-Boston</t>
  </si>
  <si>
    <t>Massachusetts Institute of Technology</t>
  </si>
  <si>
    <t>Massachusetts Maritime Academy</t>
  </si>
  <si>
    <t>Merrimack College</t>
  </si>
  <si>
    <t>Nichols College</t>
  </si>
  <si>
    <t>Massachusetts College of Liberal Arts</t>
  </si>
  <si>
    <t>Northeastern University</t>
  </si>
  <si>
    <t>College of Our Lady of the Elms</t>
  </si>
  <si>
    <t>Pine Manor College</t>
  </si>
  <si>
    <t>Regis College</t>
  </si>
  <si>
    <t>Salem State University</t>
  </si>
  <si>
    <t>Springfield College</t>
  </si>
  <si>
    <t>University of Massachusetts-Dartmouth</t>
  </si>
  <si>
    <t>Stonehill College</t>
  </si>
  <si>
    <t>Suffolk University</t>
  </si>
  <si>
    <t>Tufts University</t>
  </si>
  <si>
    <t>Wentworth Institute of Technology</t>
  </si>
  <si>
    <t>Western New England University</t>
  </si>
  <si>
    <t>Westfield State University</t>
  </si>
  <si>
    <t>Williams College</t>
  </si>
  <si>
    <t>Worcester Polytechnic Institute</t>
  </si>
  <si>
    <t>Worcester State University</t>
  </si>
  <si>
    <t>Adrian College</t>
  </si>
  <si>
    <t>Albion College</t>
  </si>
  <si>
    <t>Alma College</t>
  </si>
  <si>
    <t>Calvin University</t>
  </si>
  <si>
    <t>Central Michigan University</t>
  </si>
  <si>
    <t>Davenport University</t>
  </si>
  <si>
    <t>University of Detroit Mercy</t>
  </si>
  <si>
    <t>Eastern Michigan University</t>
  </si>
  <si>
    <t>Grand Valley State University</t>
  </si>
  <si>
    <t>Hope College</t>
  </si>
  <si>
    <t>Kalamazoo College</t>
  </si>
  <si>
    <t>Lake Superior State University</t>
  </si>
  <si>
    <t>University of Michigan-Ann Arbor</t>
  </si>
  <si>
    <t>Michigan State University</t>
  </si>
  <si>
    <t>Michigan Technological University</t>
  </si>
  <si>
    <t>Northern Michigan University</t>
  </si>
  <si>
    <t>Northwood University</t>
  </si>
  <si>
    <t>Oakland University</t>
  </si>
  <si>
    <t>Olivet College</t>
  </si>
  <si>
    <t>Saginaw Valley State University</t>
  </si>
  <si>
    <t>Finlandia University</t>
  </si>
  <si>
    <t>Wayne State University</t>
  </si>
  <si>
    <t>Western Michigan University</t>
  </si>
  <si>
    <t>Augsburg University</t>
  </si>
  <si>
    <t>Bemidji State University</t>
  </si>
  <si>
    <t>Bethany Lutheran College</t>
  </si>
  <si>
    <t>Bethel University</t>
  </si>
  <si>
    <t>Carleton College</t>
  </si>
  <si>
    <t>Concordia College at Moorhead</t>
  </si>
  <si>
    <t>Concordia University-Saint Paul</t>
  </si>
  <si>
    <t>Martin Luther College</t>
  </si>
  <si>
    <t>Gustavus Adolphus College</t>
  </si>
  <si>
    <t>Hamline University</t>
  </si>
  <si>
    <t>Macalester College</t>
  </si>
  <si>
    <t>Minnesota State University-Mankato</t>
  </si>
  <si>
    <t>University of Minnesota-Twin Cities</t>
  </si>
  <si>
    <t>University of Minnesota-Crookston</t>
  </si>
  <si>
    <t>University of Minnesota-Duluth</t>
  </si>
  <si>
    <t>University of Minnesota-Morris</t>
  </si>
  <si>
    <t>Minnesota State University Moorhead</t>
  </si>
  <si>
    <t>North Central University</t>
  </si>
  <si>
    <t>University of Northwestern-St Paul</t>
  </si>
  <si>
    <t>Saint Cloud State University</t>
  </si>
  <si>
    <t>Saint Mary's University of Minnesota</t>
  </si>
  <si>
    <t>St Olaf College</t>
  </si>
  <si>
    <t>Crown College</t>
  </si>
  <si>
    <t>The College of Saint Scholastica</t>
  </si>
  <si>
    <t>University of St Thomas</t>
  </si>
  <si>
    <t>Southwest Minnesota State University</t>
  </si>
  <si>
    <t>Winona State University</t>
  </si>
  <si>
    <t>Alcorn State University</t>
  </si>
  <si>
    <t>Belhaven University</t>
  </si>
  <si>
    <t>Delta State University</t>
  </si>
  <si>
    <t>Jackson State University</t>
  </si>
  <si>
    <t>Millsaps College</t>
  </si>
  <si>
    <t>University of Mississippi</t>
  </si>
  <si>
    <t>Mississippi Valley State University</t>
  </si>
  <si>
    <t>Mississippi College</t>
  </si>
  <si>
    <t>Mississippi State University</t>
  </si>
  <si>
    <t>University of Southern Mississippi</t>
  </si>
  <si>
    <t>University of Central Missouri</t>
  </si>
  <si>
    <t>Drury University</t>
  </si>
  <si>
    <t>Fontbonne University</t>
  </si>
  <si>
    <t>Lincoln University</t>
  </si>
  <si>
    <t>Lindenwood University</t>
  </si>
  <si>
    <t>Maryville University of Saint Louis</t>
  </si>
  <si>
    <t>Missouri Southern State University</t>
  </si>
  <si>
    <t>Missouri Western State University</t>
  </si>
  <si>
    <t>University of Missouri-Columbia</t>
  </si>
  <si>
    <t>University of Missouri-Kansas City</t>
  </si>
  <si>
    <t>Missouri University of Science and Technology</t>
  </si>
  <si>
    <t>University of Missouri-St Louis</t>
  </si>
  <si>
    <t>Truman State University</t>
  </si>
  <si>
    <t>Northwest Missouri State University</t>
  </si>
  <si>
    <t>Rockhurst University</t>
  </si>
  <si>
    <t>Saint Louis University</t>
  </si>
  <si>
    <t>Southwest Baptist University</t>
  </si>
  <si>
    <t>Southeast Missouri State University</t>
  </si>
  <si>
    <t>Missouri State University-Springfield</t>
  </si>
  <si>
    <t>Washington University in St Louis</t>
  </si>
  <si>
    <t>Webster University</t>
  </si>
  <si>
    <t>Westminster College</t>
  </si>
  <si>
    <t>William Jewell College</t>
  </si>
  <si>
    <t>Montana State University Billings</t>
  </si>
  <si>
    <t>Montana State University</t>
  </si>
  <si>
    <t>The University of Montana</t>
  </si>
  <si>
    <t>Chadron State College</t>
  </si>
  <si>
    <t>Creighton University</t>
  </si>
  <si>
    <t>University of Nebraska at Kearney</t>
  </si>
  <si>
    <t>University of Nebraska at Omaha</t>
  </si>
  <si>
    <t>Nebraska Wesleyan University</t>
  </si>
  <si>
    <t>University of Nebraska-Lincoln</t>
  </si>
  <si>
    <t>Wayne State College</t>
  </si>
  <si>
    <t>University of Nevada-Las Vegas</t>
  </si>
  <si>
    <t>University of Nevada-Reno</t>
  </si>
  <si>
    <t>Colby-Sawyer College</t>
  </si>
  <si>
    <t>Dartmouth College</t>
  </si>
  <si>
    <t>Franklin Pierce University</t>
  </si>
  <si>
    <t>New England College</t>
  </si>
  <si>
    <t>Southern New Hampshire University</t>
  </si>
  <si>
    <t>University of New Hampshire-Main Campus</t>
  </si>
  <si>
    <t>Keene State College</t>
  </si>
  <si>
    <t>Plymouth State University</t>
  </si>
  <si>
    <t>Rivier University</t>
  </si>
  <si>
    <t>Saint Anselm College</t>
  </si>
  <si>
    <t>Bloomfield College</t>
  </si>
  <si>
    <t>Mid-Atlantic</t>
  </si>
  <si>
    <t>Caldwell University</t>
  </si>
  <si>
    <t>Centenary University</t>
  </si>
  <si>
    <t>Drew University</t>
  </si>
  <si>
    <t>Fairleigh Dickinson University-Metropolitan Campus</t>
  </si>
  <si>
    <t>Felician University</t>
  </si>
  <si>
    <t>Fairleigh Dickinson University-Florham Campus</t>
  </si>
  <si>
    <t>Georgian Court University</t>
  </si>
  <si>
    <t>Rowan University</t>
  </si>
  <si>
    <t>New Jersey City University</t>
  </si>
  <si>
    <t>Kean University</t>
  </si>
  <si>
    <t>Monmouth University</t>
  </si>
  <si>
    <t>Montclair State University</t>
  </si>
  <si>
    <t>New Jersey Institute of Technology</t>
  </si>
  <si>
    <t>Princeton University</t>
  </si>
  <si>
    <t>Ramapo College of New Jersey</t>
  </si>
  <si>
    <t>Rider University</t>
  </si>
  <si>
    <t>Rutgers University-Camden</t>
  </si>
  <si>
    <t>Rutgers University-New Brunswick</t>
  </si>
  <si>
    <t>Rutgers University-Newark</t>
  </si>
  <si>
    <t>Saint Peter's University</t>
  </si>
  <si>
    <t>Seton Hall University</t>
  </si>
  <si>
    <t>College of Saint Elizabeth</t>
  </si>
  <si>
    <t>Stevens Institute of Technology</t>
  </si>
  <si>
    <t>Stockton University</t>
  </si>
  <si>
    <t>The College of New Jersey</t>
  </si>
  <si>
    <t>William Paterson University of New Jersey</t>
  </si>
  <si>
    <t>Eastern New Mexico University-Main Campus</t>
  </si>
  <si>
    <t>New Mexico Highlands University</t>
  </si>
  <si>
    <t>University of New Mexico-Main Campus</t>
  </si>
  <si>
    <t>New Mexico State University-Main Campus</t>
  </si>
  <si>
    <t>Western New Mexico University</t>
  </si>
  <si>
    <t>Adelphi University</t>
  </si>
  <si>
    <t>Alfred University</t>
  </si>
  <si>
    <t>Bard College</t>
  </si>
  <si>
    <t>Canisius College</t>
  </si>
  <si>
    <t>Cazenovia College</t>
  </si>
  <si>
    <t>Clarkson University</t>
  </si>
  <si>
    <t>Colgate University</t>
  </si>
  <si>
    <t>Columbia University in the City of New York</t>
  </si>
  <si>
    <t>Columbia-Greene Community College</t>
  </si>
  <si>
    <t>2-year</t>
  </si>
  <si>
    <t>Concordia College-New York</t>
  </si>
  <si>
    <t>Cornell University</t>
  </si>
  <si>
    <t>CUNY Bernard M Baruch College</t>
  </si>
  <si>
    <t>CUNY Brooklyn College</t>
  </si>
  <si>
    <t>College of Staten Island CUNY</t>
  </si>
  <si>
    <t>CUNY City College</t>
  </si>
  <si>
    <t>CUNY Hunter College</t>
  </si>
  <si>
    <t>CUNY John Jay College of Criminal Justice</t>
  </si>
  <si>
    <t>CUNY Lehman College</t>
  </si>
  <si>
    <t>CUNY Medgar Evers College</t>
  </si>
  <si>
    <t>CUNY Queens College</t>
  </si>
  <si>
    <t>CUNY York College</t>
  </si>
  <si>
    <t>D'Youville College</t>
  </si>
  <si>
    <t>Daemen College</t>
  </si>
  <si>
    <t>Dominican College of Blauvelt</t>
  </si>
  <si>
    <t>Elmira College</t>
  </si>
  <si>
    <t>Fordham University</t>
  </si>
  <si>
    <t>Hamilton College</t>
  </si>
  <si>
    <t>Hartwick College</t>
  </si>
  <si>
    <t>Hilbert College</t>
  </si>
  <si>
    <t>Hobart William Smith Colleges</t>
  </si>
  <si>
    <t>Hofstra University</t>
  </si>
  <si>
    <t>Houghton College</t>
  </si>
  <si>
    <t>Iona College</t>
  </si>
  <si>
    <t>Ithaca College</t>
  </si>
  <si>
    <t>Keuka College</t>
  </si>
  <si>
    <t>Le Moyne College</t>
  </si>
  <si>
    <t>Long Island University</t>
  </si>
  <si>
    <t>Manhattan College</t>
  </si>
  <si>
    <t>Manhattanville College</t>
  </si>
  <si>
    <t>Marist College</t>
  </si>
  <si>
    <t>Medaille College</t>
  </si>
  <si>
    <t>Mercy College</t>
  </si>
  <si>
    <t>Molloy College</t>
  </si>
  <si>
    <t>Mount Saint Mary College</t>
  </si>
  <si>
    <t>College of Mount Saint Vincent</t>
  </si>
  <si>
    <t>Nazareth College</t>
  </si>
  <si>
    <t>New York University</t>
  </si>
  <si>
    <t>Niagara University</t>
  </si>
  <si>
    <t>New York Institute of Technology</t>
  </si>
  <si>
    <t>Nyack College</t>
  </si>
  <si>
    <t>Pace University</t>
  </si>
  <si>
    <t>Pratt Institute-Main</t>
  </si>
  <si>
    <t>Rensselaer Polytechnic Institute</t>
  </si>
  <si>
    <t>Roberts Wesleyan College</t>
  </si>
  <si>
    <t>University of Rochester</t>
  </si>
  <si>
    <t>The Sage Colleges</t>
  </si>
  <si>
    <t>St Bonaventure University</t>
  </si>
  <si>
    <t>St Francis College</t>
  </si>
  <si>
    <t>St Lawrence University</t>
  </si>
  <si>
    <t>The College of Saint Rose</t>
  </si>
  <si>
    <t>St. Thomas Aquinas College</t>
  </si>
  <si>
    <t>Sarah Lawrence College</t>
  </si>
  <si>
    <t>Siena College</t>
  </si>
  <si>
    <t>Skidmore College</t>
  </si>
  <si>
    <t>St. Joseph's College-New York</t>
  </si>
  <si>
    <t>St. Joseph's College-Long Island</t>
  </si>
  <si>
    <t>Saint John Fisher College</t>
  </si>
  <si>
    <t>St John's University-New York</t>
  </si>
  <si>
    <t>SUNY College of Technology at Alfred</t>
  </si>
  <si>
    <t>SUNY College of Technology at Canton</t>
  </si>
  <si>
    <t>SUNY College of Technology at Delhi</t>
  </si>
  <si>
    <t>SUNY College of Agriculture and Technology at Cobleskill</t>
  </si>
  <si>
    <t>Farmingdale State College</t>
  </si>
  <si>
    <t>SUNY Morrisville</t>
  </si>
  <si>
    <t>SUNY at Albany</t>
  </si>
  <si>
    <t>Binghamton University</t>
  </si>
  <si>
    <t>University at Buffalo</t>
  </si>
  <si>
    <t>Stony Brook University</t>
  </si>
  <si>
    <t>SUNY Polytechnic Institute</t>
  </si>
  <si>
    <t>SUNY College at Brockport</t>
  </si>
  <si>
    <t>SUNY Buffalo State</t>
  </si>
  <si>
    <t>SUNY Cortland</t>
  </si>
  <si>
    <t>SUNY at Fredonia</t>
  </si>
  <si>
    <t>SUNY College at Geneseo</t>
  </si>
  <si>
    <t>State University of New York at New Paltz</t>
  </si>
  <si>
    <t>SUNY Oneonta</t>
  </si>
  <si>
    <t>SUNY College at Oswego</t>
  </si>
  <si>
    <t>SUNY College at Potsdam</t>
  </si>
  <si>
    <t>SUNY at Purchase College</t>
  </si>
  <si>
    <t>SUNY College at Old Westbury</t>
  </si>
  <si>
    <t>SUNY College at Plattsburgh</t>
  </si>
  <si>
    <t>SUNY Maritime College</t>
  </si>
  <si>
    <t>Syracuse University</t>
  </si>
  <si>
    <t>Union College</t>
  </si>
  <si>
    <t>United States Merchant Marine Academy</t>
  </si>
  <si>
    <t>Utica College</t>
  </si>
  <si>
    <t>Vassar College</t>
  </si>
  <si>
    <t>Wagner College</t>
  </si>
  <si>
    <t>Wells College</t>
  </si>
  <si>
    <t>Yeshiva University</t>
  </si>
  <si>
    <t>Appalachian State University</t>
  </si>
  <si>
    <t>Barton College</t>
  </si>
  <si>
    <t>Belmont Abbey College</t>
  </si>
  <si>
    <t>Brevard College</t>
  </si>
  <si>
    <t>Campbell University</t>
  </si>
  <si>
    <t>Catawba College</t>
  </si>
  <si>
    <t>Chowan University</t>
  </si>
  <si>
    <t>Davidson College</t>
  </si>
  <si>
    <t>Duke University</t>
  </si>
  <si>
    <t>East Carolina University</t>
  </si>
  <si>
    <t>Elizabeth City State University</t>
  </si>
  <si>
    <t>Elon University</t>
  </si>
  <si>
    <t>Fayetteville State University</t>
  </si>
  <si>
    <t>Gardner-Webb University</t>
  </si>
  <si>
    <t>Greensboro College</t>
  </si>
  <si>
    <t>Guilford College</t>
  </si>
  <si>
    <t>High Point University</t>
  </si>
  <si>
    <t>Johnson C Smith University</t>
  </si>
  <si>
    <t>Lees-McRae College</t>
  </si>
  <si>
    <t>Lenoir-Rhyne University</t>
  </si>
  <si>
    <t>Livingstone College</t>
  </si>
  <si>
    <t>Mars Hill University</t>
  </si>
  <si>
    <t>Methodist University</t>
  </si>
  <si>
    <t>University of Mount Olive</t>
  </si>
  <si>
    <t>North Carolina A &amp; T State University</t>
  </si>
  <si>
    <t>University of North Carolina at Asheville</t>
  </si>
  <si>
    <t>University of North Carolina at Chapel Hill</t>
  </si>
  <si>
    <t>University of North Carolina at Charlotte</t>
  </si>
  <si>
    <t>University of North Carolina at Greensboro</t>
  </si>
  <si>
    <t>North Carolina Central University</t>
  </si>
  <si>
    <t>North Carolina State University at Raleigh</t>
  </si>
  <si>
    <t>North Carolina Wesleyan College</t>
  </si>
  <si>
    <t>University of North Carolina Wilmington</t>
  </si>
  <si>
    <t>William Peace University</t>
  </si>
  <si>
    <t>University of North Carolina at Pembroke</t>
  </si>
  <si>
    <t>Pfeiffer University</t>
  </si>
  <si>
    <t>Queens University of Charlotte</t>
  </si>
  <si>
    <t>Saint Augustine's University</t>
  </si>
  <si>
    <t>Shaw University</t>
  </si>
  <si>
    <t>Wake Forest University</t>
  </si>
  <si>
    <t>Wingate University</t>
  </si>
  <si>
    <t>Winston-Salem State University</t>
  </si>
  <si>
    <t>Western Carolina University</t>
  </si>
  <si>
    <t>University of Mary</t>
  </si>
  <si>
    <t>Minot State University</t>
  </si>
  <si>
    <t>University of North Dakota</t>
  </si>
  <si>
    <t>North Dakota State University-Main Campus</t>
  </si>
  <si>
    <t>University of Akron Main Campus</t>
  </si>
  <si>
    <t>Ashland University</t>
  </si>
  <si>
    <t>Baldwin Wallace University</t>
  </si>
  <si>
    <t>Bluffton University</t>
  </si>
  <si>
    <t>Bowling Green State University-Main Campus</t>
  </si>
  <si>
    <t>Capital University</t>
  </si>
  <si>
    <t>Case Western Reserve University</t>
  </si>
  <si>
    <t>Cedarville University</t>
  </si>
  <si>
    <t>Central State University</t>
  </si>
  <si>
    <t>University of Cincinnati-Main Campus</t>
  </si>
  <si>
    <t>Cleveland State University</t>
  </si>
  <si>
    <t>University of Dayton</t>
  </si>
  <si>
    <t>Defiance College</t>
  </si>
  <si>
    <t>Denison University</t>
  </si>
  <si>
    <t>The University of Findlay</t>
  </si>
  <si>
    <t>Heidelberg University</t>
  </si>
  <si>
    <t>Hiram College</t>
  </si>
  <si>
    <t>John Carroll University</t>
  </si>
  <si>
    <t>Kent State University at Kent</t>
  </si>
  <si>
    <t>Kenyon College</t>
  </si>
  <si>
    <t>Lake Erie College</t>
  </si>
  <si>
    <t>Malone University</t>
  </si>
  <si>
    <t>Marietta College</t>
  </si>
  <si>
    <t>Miami University-Oxford</t>
  </si>
  <si>
    <t>University of Mount Union</t>
  </si>
  <si>
    <t>Mount Saint Joseph University</t>
  </si>
  <si>
    <t>Muskingum University</t>
  </si>
  <si>
    <t>Notre Dame College</t>
  </si>
  <si>
    <t>Oberlin College</t>
  </si>
  <si>
    <t>Ohio Dominican University</t>
  </si>
  <si>
    <t>Ohio Northern University</t>
  </si>
  <si>
    <t>Ohio State University-Main Campus</t>
  </si>
  <si>
    <t>Ohio University-Main Campus</t>
  </si>
  <si>
    <t>Ohio Wesleyan University</t>
  </si>
  <si>
    <t>Otterbein University</t>
  </si>
  <si>
    <t>Franciscan University of Steubenville</t>
  </si>
  <si>
    <t>Tiffin University</t>
  </si>
  <si>
    <t>University of Toledo</t>
  </si>
  <si>
    <t>Walsh University</t>
  </si>
  <si>
    <t>Wilmington College</t>
  </si>
  <si>
    <t>Wittenberg University</t>
  </si>
  <si>
    <t>The College of Wooster</t>
  </si>
  <si>
    <t>Wright State University-Main Campus</t>
  </si>
  <si>
    <t>Xavier University</t>
  </si>
  <si>
    <t>Youngstown State University</t>
  </si>
  <si>
    <t>Southern Nazarene University</t>
  </si>
  <si>
    <t>Cameron University</t>
  </si>
  <si>
    <t>University of Central Oklahoma</t>
  </si>
  <si>
    <t>East Central University</t>
  </si>
  <si>
    <t>Northeastern State University</t>
  </si>
  <si>
    <t>Northwestern Oklahoma State University</t>
  </si>
  <si>
    <t>Oklahoma Christian University</t>
  </si>
  <si>
    <t>Oklahoma State University-Main Campus</t>
  </si>
  <si>
    <t>Oklahoma Baptist University</t>
  </si>
  <si>
    <t>University of Oklahoma-Norman Campus</t>
  </si>
  <si>
    <t>Oral Roberts University</t>
  </si>
  <si>
    <t>Rogers State University</t>
  </si>
  <si>
    <t>Southeastern Oklahoma State University</t>
  </si>
  <si>
    <t>Southwestern Oklahoma State University</t>
  </si>
  <si>
    <t>University of Tulsa</t>
  </si>
  <si>
    <t>George Fox University</t>
  </si>
  <si>
    <t>Lewis &amp; Clark College</t>
  </si>
  <si>
    <t>Linfield College-McMinnville Campus</t>
  </si>
  <si>
    <t>Oregon State University</t>
  </si>
  <si>
    <t>University of Oregon</t>
  </si>
  <si>
    <t>Pacific University</t>
  </si>
  <si>
    <t>Portland State University</t>
  </si>
  <si>
    <t>University of Portland</t>
  </si>
  <si>
    <t>Willamette University</t>
  </si>
  <si>
    <t>Western Oregon University</t>
  </si>
  <si>
    <t>Bryn Athyn College of the New Church</t>
  </si>
  <si>
    <t>Albright College</t>
  </si>
  <si>
    <t>Allegheny College</t>
  </si>
  <si>
    <t>DeSales University</t>
  </si>
  <si>
    <t>Alvernia University</t>
  </si>
  <si>
    <t>Clarks Summit University</t>
  </si>
  <si>
    <t>Arcadia University</t>
  </si>
  <si>
    <t>Bloomsburg University of Pennsylvania</t>
  </si>
  <si>
    <t>Bucknell University</t>
  </si>
  <si>
    <t>Cabrini University</t>
  </si>
  <si>
    <t>California University of Pennsylvania</t>
  </si>
  <si>
    <t>Carnegie Mellon University</t>
  </si>
  <si>
    <t>Chatham University</t>
  </si>
  <si>
    <t>Chestnut Hill College</t>
  </si>
  <si>
    <t>Clarion University of Pennsylvania</t>
  </si>
  <si>
    <t>Delaware Valley University</t>
  </si>
  <si>
    <t>Dickinson College</t>
  </si>
  <si>
    <t>Drexel University</t>
  </si>
  <si>
    <t>Duquesne University</t>
  </si>
  <si>
    <t>East Stroudsburg University of Pennsylvania</t>
  </si>
  <si>
    <t>Eastern University</t>
  </si>
  <si>
    <t>Edinboro University of Pennsylvania</t>
  </si>
  <si>
    <t>Elizabethtown College</t>
  </si>
  <si>
    <t>Franklin and Marshall College</t>
  </si>
  <si>
    <t>Gannon University</t>
  </si>
  <si>
    <t>Geneva College</t>
  </si>
  <si>
    <t>Gettysburg College</t>
  </si>
  <si>
    <t>Gwynedd Mercy University</t>
  </si>
  <si>
    <t>Haverford College</t>
  </si>
  <si>
    <t>Holy Family University</t>
  </si>
  <si>
    <t>Immaculata University</t>
  </si>
  <si>
    <t>Indiana University of Pennsylvania-Main Campus</t>
  </si>
  <si>
    <t>Juniata College</t>
  </si>
  <si>
    <t>Keystone College</t>
  </si>
  <si>
    <t>King's College</t>
  </si>
  <si>
    <t>Kutztown University of Pennsylvania</t>
  </si>
  <si>
    <t>La Roche University</t>
  </si>
  <si>
    <t>La Salle University</t>
  </si>
  <si>
    <t>Lafayette College</t>
  </si>
  <si>
    <t>Lancaster Bible College</t>
  </si>
  <si>
    <t>Lebanon Valley College</t>
  </si>
  <si>
    <t>Lehigh University</t>
  </si>
  <si>
    <t>Lock Haven University</t>
  </si>
  <si>
    <t>Lycoming College</t>
  </si>
  <si>
    <t>Mansfield University of Pennsylvania</t>
  </si>
  <si>
    <t>Marywood University</t>
  </si>
  <si>
    <t>Mercyhurst University</t>
  </si>
  <si>
    <t>Messiah College</t>
  </si>
  <si>
    <t>Millersville University of Pennsylvania</t>
  </si>
  <si>
    <t>Misericordia University</t>
  </si>
  <si>
    <t>Moravian College</t>
  </si>
  <si>
    <t>Mount Aloysius College</t>
  </si>
  <si>
    <t>Muhlenberg College</t>
  </si>
  <si>
    <t>Neumann University</t>
  </si>
  <si>
    <t>Pennsylvania State University-Penn State Erie-Behrend College</t>
  </si>
  <si>
    <t>Pennsylvania State University-Penn State Altoona</t>
  </si>
  <si>
    <t>Pennsylvania State University-Penn State Berks</t>
  </si>
  <si>
    <t>Pennsylvania State University-Penn State Harrisburg</t>
  </si>
  <si>
    <t>Pennsylvania State University-Main Campus</t>
  </si>
  <si>
    <t>Pennsylvania State University-Penn State Abington</t>
  </si>
  <si>
    <t>University of Pennsylvania</t>
  </si>
  <si>
    <t>Cairn University-Langhorne</t>
  </si>
  <si>
    <t>University of the Sciences</t>
  </si>
  <si>
    <t>University of Pittsburgh-Bradford</t>
  </si>
  <si>
    <t>University of Pittsburgh-Greensburg</t>
  </si>
  <si>
    <t>University of Pittsburgh-Johnstown</t>
  </si>
  <si>
    <t>University of Pittsburgh-Pittsburgh Campus</t>
  </si>
  <si>
    <t>Robert Morris University</t>
  </si>
  <si>
    <t>Rosemont College</t>
  </si>
  <si>
    <t>Saint Francis University</t>
  </si>
  <si>
    <t>Saint Joseph's University</t>
  </si>
  <si>
    <t>Saint Vincent College</t>
  </si>
  <si>
    <t>University of Scranton</t>
  </si>
  <si>
    <t>Seton Hill University</t>
  </si>
  <si>
    <t>Shippensburg University of Pennsylvania</t>
  </si>
  <si>
    <t>Slippery Rock University of Pennsylvania</t>
  </si>
  <si>
    <t>Susquehanna University</t>
  </si>
  <si>
    <t>Swarthmore College</t>
  </si>
  <si>
    <t>Temple University</t>
  </si>
  <si>
    <t>Thiel College</t>
  </si>
  <si>
    <t>Thomas Jefferson University</t>
  </si>
  <si>
    <t>Ursinus College</t>
  </si>
  <si>
    <t>University of Valley Forge</t>
  </si>
  <si>
    <t>Villanova University</t>
  </si>
  <si>
    <t>Washington &amp; Jefferson College</t>
  </si>
  <si>
    <t>Waynesburg University</t>
  </si>
  <si>
    <t>West Chester University of Pennsylvania</t>
  </si>
  <si>
    <t>Widener University</t>
  </si>
  <si>
    <t>Wilkes University</t>
  </si>
  <si>
    <t>Wilson College</t>
  </si>
  <si>
    <t>York College of Pennsylvania</t>
  </si>
  <si>
    <t>Brown University</t>
  </si>
  <si>
    <t>Bryant University</t>
  </si>
  <si>
    <t>Johnson &amp; Wales University-Providence</t>
  </si>
  <si>
    <t>Providence College</t>
  </si>
  <si>
    <t>Rhode Island College</t>
  </si>
  <si>
    <t>University of Rhode Island</t>
  </si>
  <si>
    <t>Roger Williams University</t>
  </si>
  <si>
    <t>Salve Regina University</t>
  </si>
  <si>
    <t>Charleston Southern University</t>
  </si>
  <si>
    <t>Benedict College</t>
  </si>
  <si>
    <t>Southern Wesleyan University</t>
  </si>
  <si>
    <t>College of Charleston</t>
  </si>
  <si>
    <t>Citadel Military College of South Carolina</t>
  </si>
  <si>
    <t>Claflin University</t>
  </si>
  <si>
    <t>Clemson University</t>
  </si>
  <si>
    <t>Coker University</t>
  </si>
  <si>
    <t>Erskine College</t>
  </si>
  <si>
    <t>Francis Marion University</t>
  </si>
  <si>
    <t>Furman University</t>
  </si>
  <si>
    <t>Lander University</t>
  </si>
  <si>
    <t>Limestone College</t>
  </si>
  <si>
    <t>Newberry College</t>
  </si>
  <si>
    <t>North Greenville University</t>
  </si>
  <si>
    <t>Presbyterian College</t>
  </si>
  <si>
    <t>University of South Carolina Aiken</t>
  </si>
  <si>
    <t>University of South Carolina-Columbia</t>
  </si>
  <si>
    <t>Coastal Carolina University</t>
  </si>
  <si>
    <t>South Carolina State University</t>
  </si>
  <si>
    <t>University of South Carolina-Upstate</t>
  </si>
  <si>
    <t>Winthrop University</t>
  </si>
  <si>
    <t>Wofford College</t>
  </si>
  <si>
    <t>Augustana University</t>
  </si>
  <si>
    <t>Black Hills State University</t>
  </si>
  <si>
    <t>Northern State University</t>
  </si>
  <si>
    <t>South Dakota School of Mines and Technology</t>
  </si>
  <si>
    <t>South Dakota State University</t>
  </si>
  <si>
    <t>University of Sioux Falls</t>
  </si>
  <si>
    <t>University of South Dakota</t>
  </si>
  <si>
    <t>Austin Peay State University</t>
  </si>
  <si>
    <t>Belmont University</t>
  </si>
  <si>
    <t>Carson-Newman University</t>
  </si>
  <si>
    <t>Christian Brothers University</t>
  </si>
  <si>
    <t>Lipscomb University</t>
  </si>
  <si>
    <t>East Tennessee State University</t>
  </si>
  <si>
    <t>King University</t>
  </si>
  <si>
    <t>Lane College</t>
  </si>
  <si>
    <t>Le Moyne-Owen College</t>
  </si>
  <si>
    <t>Lee University</t>
  </si>
  <si>
    <t>Lincoln Memorial University</t>
  </si>
  <si>
    <t>Maryville College</t>
  </si>
  <si>
    <t>University of Memphis</t>
  </si>
  <si>
    <t>Middle Tennessee State University</t>
  </si>
  <si>
    <t>Rhodes College</t>
  </si>
  <si>
    <t>The University of the South</t>
  </si>
  <si>
    <t>The University of Tennessee-Chattanooga</t>
  </si>
  <si>
    <t>The University of Tennessee-Knoxville</t>
  </si>
  <si>
    <t>The University of Tennessee-Martin</t>
  </si>
  <si>
    <t>Tennessee State University</t>
  </si>
  <si>
    <t>Tennessee Technological University</t>
  </si>
  <si>
    <t>Trevecca Nazarene University</t>
  </si>
  <si>
    <t>Tusculum University</t>
  </si>
  <si>
    <t>Union University</t>
  </si>
  <si>
    <t>Vanderbilt University</t>
  </si>
  <si>
    <t>Abilene Christian University</t>
  </si>
  <si>
    <t>Angelo State University</t>
  </si>
  <si>
    <t>Austin College</t>
  </si>
  <si>
    <t>Baylor University</t>
  </si>
  <si>
    <t>Concordia University Texas</t>
  </si>
  <si>
    <t>Texas A &amp; M University-Corpus Christi</t>
  </si>
  <si>
    <t>Dallas Baptist University</t>
  </si>
  <si>
    <t>University of Dallas</t>
  </si>
  <si>
    <t>East Texas Baptist University</t>
  </si>
  <si>
    <t>Texas A &amp; M University-Commerce</t>
  </si>
  <si>
    <t>Hardin-Simmons University</t>
  </si>
  <si>
    <t>Houston Baptist University</t>
  </si>
  <si>
    <t>University of Houston</t>
  </si>
  <si>
    <t>Howard Payne University</t>
  </si>
  <si>
    <t>University of the Incarnate Word</t>
  </si>
  <si>
    <t>Lamar University</t>
  </si>
  <si>
    <t>Texas A &amp; M International University</t>
  </si>
  <si>
    <t>LeTourneau University</t>
  </si>
  <si>
    <t>Lubbock Christian University</t>
  </si>
  <si>
    <t>University of Mary Hardin-Baylor</t>
  </si>
  <si>
    <t>McMurry University</t>
  </si>
  <si>
    <t>Midwestern State University</t>
  </si>
  <si>
    <t>University of North Texas</t>
  </si>
  <si>
    <t>The University of Texas Rio Grande Valley</t>
  </si>
  <si>
    <t>Prairie View A &amp; M University</t>
  </si>
  <si>
    <t>Rice University</t>
  </si>
  <si>
    <t>Saint Edward's University</t>
  </si>
  <si>
    <t>Sam Houston State University</t>
  </si>
  <si>
    <t>Schreiner University</t>
  </si>
  <si>
    <t>St. Mary's University</t>
  </si>
  <si>
    <t>Southern Methodist University</t>
  </si>
  <si>
    <t>Southwestern University</t>
  </si>
  <si>
    <t>Stephen F Austin State University</t>
  </si>
  <si>
    <t>Texas State University</t>
  </si>
  <si>
    <t>Sul Ross State University</t>
  </si>
  <si>
    <t>Tarleton State University</t>
  </si>
  <si>
    <t>Texas A &amp; M University-Kingsville</t>
  </si>
  <si>
    <t>Texas A &amp; M University-College Station</t>
  </si>
  <si>
    <t>The University of Texas at Arlington</t>
  </si>
  <si>
    <t>The University of Texas at Austin</t>
  </si>
  <si>
    <t>The University of Texas at Dallas</t>
  </si>
  <si>
    <t>The University of Texas at El Paso</t>
  </si>
  <si>
    <t>The University of Texas at Tyler</t>
  </si>
  <si>
    <t>Texas Christian University</t>
  </si>
  <si>
    <t>Texas Lutheran University</t>
  </si>
  <si>
    <t>The University of Texas of the Permian Basin</t>
  </si>
  <si>
    <t>The University of Texas at San Antonio</t>
  </si>
  <si>
    <t>Texas Southern University</t>
  </si>
  <si>
    <t>Texas Tech University</t>
  </si>
  <si>
    <t>Trinity University</t>
  </si>
  <si>
    <t>West Texas A &amp; M University</t>
  </si>
  <si>
    <t>Brigham Young University-Provo</t>
  </si>
  <si>
    <t>Dixie State University</t>
  </si>
  <si>
    <t>Southern Utah University</t>
  </si>
  <si>
    <t>Utah State University</t>
  </si>
  <si>
    <t>Utah Valley University</t>
  </si>
  <si>
    <t>University of Utah</t>
  </si>
  <si>
    <t>Weber State University</t>
  </si>
  <si>
    <t>Castleton University</t>
  </si>
  <si>
    <t>Northern Vermont University</t>
  </si>
  <si>
    <t>Middlebury College</t>
  </si>
  <si>
    <t>Norwich University</t>
  </si>
  <si>
    <t>Saint Michael's College</t>
  </si>
  <si>
    <t>University of Vermont</t>
  </si>
  <si>
    <t>Averett University</t>
  </si>
  <si>
    <t>Bridgewater College</t>
  </si>
  <si>
    <t>William &amp; Mary</t>
  </si>
  <si>
    <t>Christopher Newport University</t>
  </si>
  <si>
    <t>Emory &amp; Henry College</t>
  </si>
  <si>
    <t>Eastern Mennonite University</t>
  </si>
  <si>
    <t>Ferrum College</t>
  </si>
  <si>
    <t>George Mason University</t>
  </si>
  <si>
    <t>Hampton University</t>
  </si>
  <si>
    <t>James Madison University</t>
  </si>
  <si>
    <t>Liberty University</t>
  </si>
  <si>
    <t>Longwood University</t>
  </si>
  <si>
    <t>University of Lynchburg</t>
  </si>
  <si>
    <t>Mary Baldwin University</t>
  </si>
  <si>
    <t>University of Mary Washington</t>
  </si>
  <si>
    <t>Marymount University</t>
  </si>
  <si>
    <t>Norfolk State University</t>
  </si>
  <si>
    <t>Old Dominion University</t>
  </si>
  <si>
    <t>Radford University</t>
  </si>
  <si>
    <t>Randolph-Macon College</t>
  </si>
  <si>
    <t>Randolph College</t>
  </si>
  <si>
    <t>University of Richmond</t>
  </si>
  <si>
    <t>Roanoke College</t>
  </si>
  <si>
    <t>Shenandoah University</t>
  </si>
  <si>
    <t>Southern Virginia University</t>
  </si>
  <si>
    <t>The University of Virginia's College at Wise</t>
  </si>
  <si>
    <t>Virginia Polytechnic Institute and State University</t>
  </si>
  <si>
    <t>Virginia Commonwealth University</t>
  </si>
  <si>
    <t>University of Virginia-Main Campus</t>
  </si>
  <si>
    <t>Virginia Military Institute</t>
  </si>
  <si>
    <t>Virginia State University</t>
  </si>
  <si>
    <t>Virginia Union University</t>
  </si>
  <si>
    <t>Virginia Wesleyan University</t>
  </si>
  <si>
    <t>Washington and Lee University</t>
  </si>
  <si>
    <t>Central Washington University</t>
  </si>
  <si>
    <t>Eastern Washington University</t>
  </si>
  <si>
    <t>Gonzaga University</t>
  </si>
  <si>
    <t>Pacific Lutheran University</t>
  </si>
  <si>
    <t>University of Puget Sound</t>
  </si>
  <si>
    <t>Saint Martin's University</t>
  </si>
  <si>
    <t>Seattle Pacific University</t>
  </si>
  <si>
    <t>Seattle University</t>
  </si>
  <si>
    <t>Washington State University</t>
  </si>
  <si>
    <t>University of Washington-Seattle Campus</t>
  </si>
  <si>
    <t>Western Washington University</t>
  </si>
  <si>
    <t>Whitman College</t>
  </si>
  <si>
    <t>Whitworth University</t>
  </si>
  <si>
    <t>Alderson Broaddus University</t>
  </si>
  <si>
    <t>Bethany College</t>
  </si>
  <si>
    <t>Bluefield State College</t>
  </si>
  <si>
    <t>University of Charleston</t>
  </si>
  <si>
    <t>Concord University</t>
  </si>
  <si>
    <t>Davis &amp; Elkins College</t>
  </si>
  <si>
    <t>Fairmont State University</t>
  </si>
  <si>
    <t>Glenville State College</t>
  </si>
  <si>
    <t>Marshall University</t>
  </si>
  <si>
    <t>Ohio Valley University</t>
  </si>
  <si>
    <t>Salem University</t>
  </si>
  <si>
    <t>Shepherd University</t>
  </si>
  <si>
    <t>West Virginia State University</t>
  </si>
  <si>
    <t>West Liberty University</t>
  </si>
  <si>
    <t>West Virginia Wesleyan College</t>
  </si>
  <si>
    <t>West Virginia University</t>
  </si>
  <si>
    <t>Wheeling University</t>
  </si>
  <si>
    <t>Beloit College</t>
  </si>
  <si>
    <t>Carroll University</t>
  </si>
  <si>
    <t>Carthage College</t>
  </si>
  <si>
    <t>Concordia University-Wisconsin</t>
  </si>
  <si>
    <t>Edgewood College</t>
  </si>
  <si>
    <t>Lakeland University</t>
  </si>
  <si>
    <t>Lawrence University</t>
  </si>
  <si>
    <t>Maranatha Baptist University</t>
  </si>
  <si>
    <t>Marian University</t>
  </si>
  <si>
    <t>Marquette University</t>
  </si>
  <si>
    <t>Milwaukee School of Engineering</t>
  </si>
  <si>
    <t>Northland College</t>
  </si>
  <si>
    <t>Ripon College</t>
  </si>
  <si>
    <t>Saint Norbert College</t>
  </si>
  <si>
    <t>University of Wisconsin-Whitewater</t>
  </si>
  <si>
    <t>University of Wisconsin-Eau Claire</t>
  </si>
  <si>
    <t>University of Wisconsin-Green Bay</t>
  </si>
  <si>
    <t>University of Wisconsin-La Crosse</t>
  </si>
  <si>
    <t>Wisconsin Lutheran College</t>
  </si>
  <si>
    <t>University of Wisconsin-Oshkosh</t>
  </si>
  <si>
    <t>University of Wisconsin-Parkside</t>
  </si>
  <si>
    <t>University of Wisconsin-Superior</t>
  </si>
  <si>
    <t>University of Wisconsin-Madison</t>
  </si>
  <si>
    <t>University of Wisconsin-Milwaukee</t>
  </si>
  <si>
    <t>University of Wisconsin-Platteville</t>
  </si>
  <si>
    <t>University of Wisconsin-River Falls</t>
  </si>
  <si>
    <t>University of Wisconsin-Stevens Point</t>
  </si>
  <si>
    <t>University of Wyoming</t>
  </si>
  <si>
    <t>University of Puerto Rico-Bayamon</t>
  </si>
  <si>
    <t>University of Puerto Rico-Mayaguez</t>
  </si>
  <si>
    <t>University of Puerto Rico-Rio Piedras</t>
  </si>
  <si>
    <t>Stanford University</t>
  </si>
  <si>
    <t>Purdue University-Main Campus</t>
  </si>
  <si>
    <t>Pennsylvania College of Technology</t>
  </si>
  <si>
    <t>California State University-San Marcos</t>
  </si>
  <si>
    <t>California State University-Monterey Bay</t>
  </si>
  <si>
    <t>Florida Gulf Coast University</t>
  </si>
  <si>
    <t>Johnson &amp; Wales University-Denver</t>
  </si>
  <si>
    <t>Augusta University</t>
  </si>
  <si>
    <t>University of North Georgia</t>
  </si>
  <si>
    <t>Kennesaw State University</t>
  </si>
  <si>
    <t>Husson University</t>
  </si>
  <si>
    <t>Purdue University Northwest</t>
  </si>
  <si>
    <t>Simon Fraser University</t>
  </si>
  <si>
    <t>Female spend %</t>
  </si>
  <si>
    <t>Division 2</t>
  </si>
  <si>
    <t>Division 3</t>
  </si>
  <si>
    <t>Division 1</t>
  </si>
  <si>
    <t>Two</t>
  </si>
  <si>
    <t>One</t>
  </si>
  <si>
    <t>Three</t>
  </si>
  <si>
    <t>Count of Sector</t>
  </si>
  <si>
    <t>The dataset includes a total of 250 institutions, divided between private and public sectors.</t>
  </si>
  <si>
    <t>Grand Total</t>
  </si>
  <si>
    <t>Of these, 138 (55.2%) are part of the private sector, while 112 (44.8%) belong to the public</t>
  </si>
  <si>
    <t>sector. This indicates that the private sector makes up a slightly larger portion of the total sample.</t>
  </si>
  <si>
    <t>Count of Football</t>
  </si>
  <si>
    <t>58% of the colleges polled have a football program at their school, leaving 42% not offering football, indicating a majority of the sample does have a football program.</t>
  </si>
  <si>
    <t xml:space="preserve">The total number of athletes ranges from 46 to 1,054 with a median of 446.5. </t>
  </si>
  <si>
    <t xml:space="preserve">The distrubution is fairly semetrical with a slightly right skewed distrubution. </t>
  </si>
  <si>
    <t>Mean</t>
  </si>
  <si>
    <t xml:space="preserve">The mode is 608 which is slightly higher than the median and mean which supports the right-skewed pattern. </t>
  </si>
  <si>
    <t>Standard Error</t>
  </si>
  <si>
    <t>The mean and median, only being seperated by 9, further supports the idea of symetry but showing a slightly right skew</t>
  </si>
  <si>
    <t>Median</t>
  </si>
  <si>
    <t>Mode</t>
  </si>
  <si>
    <t>Standard Deviation</t>
  </si>
  <si>
    <t>Sample Variance</t>
  </si>
  <si>
    <t>Kurtosis</t>
  </si>
  <si>
    <t>Skewness</t>
  </si>
  <si>
    <t>Range</t>
  </si>
  <si>
    <t>Minimum</t>
  </si>
  <si>
    <t>Maximum</t>
  </si>
  <si>
    <t>Sum</t>
  </si>
  <si>
    <t>Count</t>
  </si>
  <si>
    <t>Confidence Level(92.0%)</t>
  </si>
  <si>
    <t xml:space="preserve">This box and whisker plot shows the distribution of the percent of female athletes on the random sample of colleges. </t>
  </si>
  <si>
    <t xml:space="preserve">The average percent of female athletes between the schools is 44.2628. </t>
  </si>
  <si>
    <t>The distribution is slightly skewed to the left but looking at the visualization the skewness is very minuscule.</t>
  </si>
  <si>
    <t xml:space="preserve"> This sample also has an extremely low standard error meaning this is a good representation female athlete percentage around the country in bigger sample sizes.</t>
  </si>
  <si>
    <t>Male spending</t>
  </si>
  <si>
    <t>The total amount of male spending has a range from $47,970 to $77,672,346 with a mean of $6,229,297.968.</t>
  </si>
  <si>
    <t xml:space="preserve">The skewness is about 3.67 which indicated a strong right skew in the graph which explains why most all of the outliers are on the higher end of the graph. </t>
  </si>
  <si>
    <t>The median is 2,093,986, which is much lower than the mean of 6,229,297. This is because of the outliers on the higher end, bringing up the mean. In this case, the median is a better representation of the data sample.</t>
  </si>
  <si>
    <t>The range of female spending on sports from the sample is from $26,400 to $26,240,975</t>
  </si>
  <si>
    <t>Average (mean) total spending for females is $3,405,047.</t>
  </si>
  <si>
    <t>Total female spending is highly variable; the standard deviation is $4,270,250, compared to the mean of $3,405047.</t>
  </si>
  <si>
    <t>Since standard deviaiton is higher than the mean, it indicates very high dispersion and high variability.</t>
  </si>
  <si>
    <t xml:space="preserve">The distribution is right-skewed, suggesting that fewer schools have much higher total female spending than most. </t>
  </si>
  <si>
    <t>The average is increased by 13 outliers. The total female spending of $1,000,000 and above is classified as outliers.</t>
  </si>
  <si>
    <t>$$ Per Female Athlete</t>
  </si>
  <si>
    <t>The average spending per female athelte is $15,388</t>
  </si>
  <si>
    <t>The large disparity between the mean (15388) and median (10978) show the (right) skewdness of the data</t>
  </si>
  <si>
    <t>Everything above 48000 are the outliers, with 9 different data points pulling the average way above the median</t>
  </si>
  <si>
    <t>The large variance is obvious in the many outliers, with most of the female athletes falling in a range of spending from $4200 to $21000</t>
  </si>
  <si>
    <t>The standard deviation of 15,068 is largely affected by the outliers, but also displays the disparity in spending from school to school</t>
  </si>
  <si>
    <t>$$ Per Male Athlete</t>
  </si>
  <si>
    <t>The mean (or average) spending per male athlete is $22,775</t>
  </si>
  <si>
    <t>It ranges from a low of $1498 to a high of $319,608</t>
  </si>
  <si>
    <t>The distrbution is right skewed, pulling the average up through some extreme outliers being over $5,000 per student</t>
  </si>
  <si>
    <t xml:space="preserve">The median is $9,540, about $13,000 away from the average, further emphasising it's skewedness </t>
  </si>
  <si>
    <t>This helps us understand the large variance displayed in the descriptive statistics, as well as $39,399 standard deviation over the sample, showing the disparity from school to school</t>
  </si>
  <si>
    <t>This histogram represents the frequency of spending on female atheltes as a % of total athletic spending.</t>
  </si>
  <si>
    <t>It ranges from (18.4%-20.9%) as the smallest bin and (60.9%-63.4%) as the largest bin.</t>
  </si>
  <si>
    <t>The histogram is organized into bins of 2.5%, and showing how often a school falls into that bin of 2.5%</t>
  </si>
  <si>
    <t>The average spending % on females is 43.05% of their total athletic spending</t>
  </si>
  <si>
    <t>The standard deviation is 9%, with variance being minimal at .7%</t>
  </si>
  <si>
    <t>It is negatively skewed to the left, displaying that on average woman receive unfavorable spending totals compared to their male counterparts</t>
  </si>
  <si>
    <t>The most common bin in the histogram is the 48.4%-50.9% bin, this shows the most common occurance is that universities about evenly split spending between the male and female segments</t>
  </si>
  <si>
    <t>Despite this being the most common bin, the average is considerably below at 43.05%</t>
  </si>
  <si>
    <t>Do school's that have football teams use a larger share of their athletic spending on male athletes</t>
  </si>
  <si>
    <t>Null Hyphothesis: The mean of spend share % for female athletics is the same with or without football</t>
  </si>
  <si>
    <t>Alternative Hypothesis: The mean of spend share % for female athletics is different with and without football</t>
  </si>
  <si>
    <t>Two tailed p-value = .5</t>
  </si>
  <si>
    <t>t-Test: Two-Sample Assuming Unequal Variances</t>
  </si>
  <si>
    <t xml:space="preserve">We fail to reject the null hypothesis that the mean of spend share % on </t>
  </si>
  <si>
    <t>Variable 1</t>
  </si>
  <si>
    <t>Variable 2</t>
  </si>
  <si>
    <t>female athetlics is the same for schools with and without football</t>
  </si>
  <si>
    <t>Variance</t>
  </si>
  <si>
    <t>Observations</t>
  </si>
  <si>
    <t>Hypothesized Mean Difference</t>
  </si>
  <si>
    <t>df</t>
  </si>
  <si>
    <t>t Stat</t>
  </si>
  <si>
    <t>P(T&lt;=t) one-tail</t>
  </si>
  <si>
    <t>t Critical one-tail</t>
  </si>
  <si>
    <t>P(T&lt;=t) two-tail</t>
  </si>
  <si>
    <t>t Critical two-tail</t>
  </si>
  <si>
    <t>Regression 1: All Variables</t>
  </si>
  <si>
    <t>Regression Statistics</t>
  </si>
  <si>
    <t>Multiple R</t>
  </si>
  <si>
    <t>R Square</t>
  </si>
  <si>
    <t>Adjusted R Square</t>
  </si>
  <si>
    <t>ANOVA</t>
  </si>
  <si>
    <t>SS</t>
  </si>
  <si>
    <t>MS</t>
  </si>
  <si>
    <t>F</t>
  </si>
  <si>
    <t>Significance F</t>
  </si>
  <si>
    <t>Regression</t>
  </si>
  <si>
    <t>Residual</t>
  </si>
  <si>
    <t>Total</t>
  </si>
  <si>
    <t>Coefficients</t>
  </si>
  <si>
    <t>P-value</t>
  </si>
  <si>
    <t>Lower 95%</t>
  </si>
  <si>
    <t>Upper 95%</t>
  </si>
  <si>
    <t>Lower 95.0%</t>
  </si>
  <si>
    <t>Upper 95.0%</t>
  </si>
  <si>
    <t>Intercept</t>
  </si>
  <si>
    <t>FINAL REGRESSION</t>
  </si>
  <si>
    <t>SUMMARY OUTPUT</t>
  </si>
  <si>
    <t>RESIDUAL OUTPUT</t>
  </si>
  <si>
    <t>Observation</t>
  </si>
  <si>
    <t>Predicted Female spend %</t>
  </si>
  <si>
    <t>Residuals</t>
  </si>
  <si>
    <t>Standard Residuals</t>
  </si>
  <si>
    <t>Across the first three scatter splots, the points are randomly scattered with no obvious curve or pattern</t>
  </si>
  <si>
    <t>This is the only scatter plot that shows any sign of linearity. Although minimal,</t>
  </si>
  <si>
    <t>residuals increase with % of spending going up. This is expected because it uses our dependent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</si>
</sst>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b/>
      <sz val="12"/>
      <color rgb="FF000000"/>
      <name val="Aptos Narrow"/>
      <family val="2"/>
    </font>
    <font>
      <sz val="12"/>
      <color rgb="FF000000"/>
      <name val="Aptos Narrow"/>
      <family val="2"/>
    </font>
    <font>
      <sz val="11"/>
      <color rgb="FF000000"/>
      <name val="Calibri"/>
      <family val="2"/>
    </font>
    <font>
      <i/>
      <sz val="11"/>
      <color theme="1"/>
      <name val="Calibri"/>
      <family val="2"/>
      <scheme val="minor"/>
    </font>
    <font>
      <sz val="11"/>
      <color rgb="FF000000"/>
      <name val="Calibri"/>
      <family val="2"/>
      <scheme val="minor"/>
    </font>
    <font>
      <sz val="11"/>
      <color rgb="FF242424"/>
      <name val="Aptos Narrow"/>
      <family val="2"/>
    </font>
    <font>
      <b/>
      <sz val="18"/>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10" fontId="0" fillId="0" borderId="0" xfId="0" applyNumberFormat="1"/>
    <xf numFmtId="0" fontId="3" fillId="0" borderId="0" xfId="0" applyFont="1"/>
    <xf numFmtId="0" fontId="0" fillId="0" borderId="1" xfId="0" applyBorder="1"/>
    <xf numFmtId="0" fontId="4" fillId="0" borderId="2" xfId="0" applyFont="1" applyBorder="1" applyAlignment="1">
      <alignment horizontal="center"/>
    </xf>
    <xf numFmtId="164" fontId="0" fillId="0" borderId="0" xfId="0" applyNumberFormat="1"/>
    <xf numFmtId="0" fontId="0" fillId="2" borderId="0" xfId="0" applyFill="1"/>
    <xf numFmtId="0" fontId="5" fillId="0" borderId="0" xfId="0" applyFont="1"/>
    <xf numFmtId="0" fontId="4" fillId="0" borderId="2" xfId="0" applyFont="1" applyBorder="1" applyAlignment="1">
      <alignment horizontal="centerContinuous"/>
    </xf>
    <xf numFmtId="0" fontId="6" fillId="0" borderId="0" xfId="0" applyFont="1"/>
    <xf numFmtId="0" fontId="0" fillId="0" borderId="0" xfId="0" pivotButton="1"/>
    <xf numFmtId="0" fontId="4" fillId="0" borderId="0" xfId="0" applyFont="1" applyAlignment="1">
      <alignment horizontal="center"/>
    </xf>
    <xf numFmtId="1" fontId="0" fillId="0" borderId="0" xfId="0" applyNumberFormat="1"/>
    <xf numFmtId="1" fontId="0" fillId="2" borderId="0" xfId="0" applyNumberFormat="1" applyFill="1"/>
    <xf numFmtId="0" fontId="7" fillId="0" borderId="0" xfId="0" applyFont="1"/>
    <xf numFmtId="0" fontId="0" fillId="2" borderId="1" xfId="0" applyFill="1" applyBorder="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s>
    <c:plotArea>
      <c:layout/>
      <c:pieChart>
        <c:varyColors val="1"/>
        <c:ser>
          <c:idx val="0"/>
          <c:order val="0"/>
          <c:tx>
            <c:v>Total</c:v>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9212-45EE-8905-BE3B712A2D62}"/>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9212-45EE-8905-BE3B712A2D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Private</c:v>
              </c:pt>
              <c:pt idx="1">
                <c:v>Public</c:v>
              </c:pt>
            </c:strLit>
          </c:cat>
          <c:val>
            <c:numLit>
              <c:formatCode>General</c:formatCode>
              <c:ptCount val="2"/>
              <c:pt idx="0">
                <c:v>138</c:v>
              </c:pt>
              <c:pt idx="1">
                <c:v>112</c:v>
              </c:pt>
            </c:numLit>
          </c:val>
          <c:extLst>
            <c:ext xmlns:c16="http://schemas.microsoft.com/office/drawing/2014/chart" uri="{C3380CC4-5D6E-409C-BE32-E72D297353CC}">
              <c16:uniqueId val="{00000004-9212-45EE-8905-BE3B712A2D6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Football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s>
    <c:plotArea>
      <c:layout/>
      <c:pieChart>
        <c:varyColors val="1"/>
        <c:ser>
          <c:idx val="0"/>
          <c:order val="0"/>
          <c:tx>
            <c:v>Total</c:v>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66A2-48FA-A45B-1F45E7B4416C}"/>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66A2-48FA-A45B-1F45E7B44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Yes</c:v>
              </c:pt>
              <c:pt idx="1">
                <c:v>No</c:v>
              </c:pt>
            </c:strLit>
          </c:cat>
          <c:val>
            <c:numLit>
              <c:formatCode>General</c:formatCode>
              <c:ptCount val="2"/>
              <c:pt idx="0">
                <c:v>0.57999999999999996</c:v>
              </c:pt>
              <c:pt idx="1">
                <c:v>0.42</c:v>
              </c:pt>
            </c:numLit>
          </c:val>
          <c:extLst>
            <c:ext xmlns:c16="http://schemas.microsoft.com/office/drawing/2014/chart" uri="{C3380CC4-5D6E-409C-BE32-E72D297353CC}">
              <c16:uniqueId val="{00000004-66A2-48FA-A45B-1F45E7B4416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Athletes x Female Athlete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Correlation!$B$1</c:f>
              <c:strCache>
                <c:ptCount val="1"/>
                <c:pt idx="0">
                  <c:v>Female Athlete %</c:v>
                </c:pt>
              </c:strCache>
            </c:strRef>
          </c:tx>
          <c:spPr>
            <a:ln w="25400" cap="rnd">
              <a:noFill/>
              <a:round/>
            </a:ln>
            <a:effectLst/>
          </c:spPr>
          <c:marker>
            <c:symbol val="circle"/>
            <c:size val="5"/>
            <c:spPr>
              <a:solidFill>
                <a:srgbClr val="637CEF"/>
              </a:solidFill>
              <a:ln w="9525">
                <a:solidFill>
                  <a:srgbClr val="637CEF"/>
                </a:solidFill>
              </a:ln>
              <a:effectLst/>
            </c:spPr>
          </c:marker>
          <c:xVal>
            <c:numRef>
              <c:f>Correlation!$A$2:$A$251</c:f>
              <c:numCache>
                <c:formatCode>General</c:formatCode>
                <c:ptCount val="250"/>
                <c:pt idx="0">
                  <c:v>299</c:v>
                </c:pt>
                <c:pt idx="1">
                  <c:v>320</c:v>
                </c:pt>
                <c:pt idx="2">
                  <c:v>201</c:v>
                </c:pt>
                <c:pt idx="3">
                  <c:v>731</c:v>
                </c:pt>
                <c:pt idx="4">
                  <c:v>611</c:v>
                </c:pt>
                <c:pt idx="5">
                  <c:v>186</c:v>
                </c:pt>
                <c:pt idx="6">
                  <c:v>583</c:v>
                </c:pt>
                <c:pt idx="7">
                  <c:v>608</c:v>
                </c:pt>
                <c:pt idx="8">
                  <c:v>730</c:v>
                </c:pt>
                <c:pt idx="9">
                  <c:v>363</c:v>
                </c:pt>
                <c:pt idx="10">
                  <c:v>213</c:v>
                </c:pt>
                <c:pt idx="11">
                  <c:v>579</c:v>
                </c:pt>
                <c:pt idx="12">
                  <c:v>194</c:v>
                </c:pt>
                <c:pt idx="13">
                  <c:v>414</c:v>
                </c:pt>
                <c:pt idx="14">
                  <c:v>206</c:v>
                </c:pt>
                <c:pt idx="15">
                  <c:v>649</c:v>
                </c:pt>
                <c:pt idx="16">
                  <c:v>237</c:v>
                </c:pt>
                <c:pt idx="17">
                  <c:v>520</c:v>
                </c:pt>
                <c:pt idx="18">
                  <c:v>749</c:v>
                </c:pt>
                <c:pt idx="19">
                  <c:v>224</c:v>
                </c:pt>
                <c:pt idx="20">
                  <c:v>560</c:v>
                </c:pt>
                <c:pt idx="21">
                  <c:v>594</c:v>
                </c:pt>
                <c:pt idx="22">
                  <c:v>898</c:v>
                </c:pt>
                <c:pt idx="23">
                  <c:v>755</c:v>
                </c:pt>
                <c:pt idx="24">
                  <c:v>354</c:v>
                </c:pt>
                <c:pt idx="25">
                  <c:v>330</c:v>
                </c:pt>
                <c:pt idx="26">
                  <c:v>482</c:v>
                </c:pt>
                <c:pt idx="27">
                  <c:v>496</c:v>
                </c:pt>
                <c:pt idx="28">
                  <c:v>276</c:v>
                </c:pt>
                <c:pt idx="29">
                  <c:v>475</c:v>
                </c:pt>
                <c:pt idx="30">
                  <c:v>381</c:v>
                </c:pt>
                <c:pt idx="31">
                  <c:v>341</c:v>
                </c:pt>
                <c:pt idx="32">
                  <c:v>479</c:v>
                </c:pt>
                <c:pt idx="33">
                  <c:v>415</c:v>
                </c:pt>
                <c:pt idx="34">
                  <c:v>472</c:v>
                </c:pt>
                <c:pt idx="35">
                  <c:v>386</c:v>
                </c:pt>
                <c:pt idx="36">
                  <c:v>416</c:v>
                </c:pt>
                <c:pt idx="37">
                  <c:v>452</c:v>
                </c:pt>
                <c:pt idx="38">
                  <c:v>525</c:v>
                </c:pt>
                <c:pt idx="39">
                  <c:v>259</c:v>
                </c:pt>
                <c:pt idx="40">
                  <c:v>752</c:v>
                </c:pt>
                <c:pt idx="41">
                  <c:v>457</c:v>
                </c:pt>
                <c:pt idx="42">
                  <c:v>554</c:v>
                </c:pt>
                <c:pt idx="43">
                  <c:v>272</c:v>
                </c:pt>
                <c:pt idx="44">
                  <c:v>337</c:v>
                </c:pt>
                <c:pt idx="45">
                  <c:v>203</c:v>
                </c:pt>
                <c:pt idx="46">
                  <c:v>215</c:v>
                </c:pt>
                <c:pt idx="47">
                  <c:v>421</c:v>
                </c:pt>
                <c:pt idx="48">
                  <c:v>795</c:v>
                </c:pt>
                <c:pt idx="49">
                  <c:v>501</c:v>
                </c:pt>
                <c:pt idx="50">
                  <c:v>720</c:v>
                </c:pt>
                <c:pt idx="51">
                  <c:v>321</c:v>
                </c:pt>
                <c:pt idx="52">
                  <c:v>464</c:v>
                </c:pt>
                <c:pt idx="53">
                  <c:v>292</c:v>
                </c:pt>
                <c:pt idx="54">
                  <c:v>608</c:v>
                </c:pt>
                <c:pt idx="55">
                  <c:v>606</c:v>
                </c:pt>
                <c:pt idx="56">
                  <c:v>454</c:v>
                </c:pt>
                <c:pt idx="57">
                  <c:v>240</c:v>
                </c:pt>
                <c:pt idx="58">
                  <c:v>559</c:v>
                </c:pt>
                <c:pt idx="59">
                  <c:v>480</c:v>
                </c:pt>
                <c:pt idx="60">
                  <c:v>128</c:v>
                </c:pt>
                <c:pt idx="61">
                  <c:v>194</c:v>
                </c:pt>
                <c:pt idx="62">
                  <c:v>796</c:v>
                </c:pt>
                <c:pt idx="63">
                  <c:v>371</c:v>
                </c:pt>
                <c:pt idx="64">
                  <c:v>596</c:v>
                </c:pt>
                <c:pt idx="65">
                  <c:v>314</c:v>
                </c:pt>
                <c:pt idx="66">
                  <c:v>427</c:v>
                </c:pt>
                <c:pt idx="67">
                  <c:v>460</c:v>
                </c:pt>
                <c:pt idx="68">
                  <c:v>402</c:v>
                </c:pt>
                <c:pt idx="69">
                  <c:v>113</c:v>
                </c:pt>
                <c:pt idx="70">
                  <c:v>398</c:v>
                </c:pt>
                <c:pt idx="71">
                  <c:v>737</c:v>
                </c:pt>
                <c:pt idx="72">
                  <c:v>796</c:v>
                </c:pt>
                <c:pt idx="73">
                  <c:v>377</c:v>
                </c:pt>
                <c:pt idx="74">
                  <c:v>481</c:v>
                </c:pt>
                <c:pt idx="75">
                  <c:v>811</c:v>
                </c:pt>
                <c:pt idx="76">
                  <c:v>298</c:v>
                </c:pt>
                <c:pt idx="77">
                  <c:v>386</c:v>
                </c:pt>
                <c:pt idx="78">
                  <c:v>358</c:v>
                </c:pt>
                <c:pt idx="79">
                  <c:v>447</c:v>
                </c:pt>
                <c:pt idx="80">
                  <c:v>499</c:v>
                </c:pt>
                <c:pt idx="81">
                  <c:v>474</c:v>
                </c:pt>
                <c:pt idx="82">
                  <c:v>549</c:v>
                </c:pt>
                <c:pt idx="83">
                  <c:v>571</c:v>
                </c:pt>
                <c:pt idx="84">
                  <c:v>320</c:v>
                </c:pt>
                <c:pt idx="85">
                  <c:v>368</c:v>
                </c:pt>
                <c:pt idx="86">
                  <c:v>1007</c:v>
                </c:pt>
                <c:pt idx="87">
                  <c:v>514</c:v>
                </c:pt>
                <c:pt idx="88">
                  <c:v>693</c:v>
                </c:pt>
                <c:pt idx="89">
                  <c:v>477</c:v>
                </c:pt>
                <c:pt idx="90">
                  <c:v>223</c:v>
                </c:pt>
                <c:pt idx="91">
                  <c:v>450</c:v>
                </c:pt>
                <c:pt idx="92">
                  <c:v>426</c:v>
                </c:pt>
                <c:pt idx="93">
                  <c:v>574</c:v>
                </c:pt>
                <c:pt idx="94">
                  <c:v>330</c:v>
                </c:pt>
                <c:pt idx="95">
                  <c:v>460</c:v>
                </c:pt>
                <c:pt idx="96">
                  <c:v>906</c:v>
                </c:pt>
                <c:pt idx="97">
                  <c:v>425</c:v>
                </c:pt>
                <c:pt idx="98">
                  <c:v>274</c:v>
                </c:pt>
                <c:pt idx="99">
                  <c:v>545</c:v>
                </c:pt>
                <c:pt idx="100">
                  <c:v>354</c:v>
                </c:pt>
                <c:pt idx="101">
                  <c:v>359</c:v>
                </c:pt>
                <c:pt idx="102">
                  <c:v>353</c:v>
                </c:pt>
                <c:pt idx="103">
                  <c:v>321</c:v>
                </c:pt>
                <c:pt idx="104">
                  <c:v>502</c:v>
                </c:pt>
                <c:pt idx="105">
                  <c:v>488</c:v>
                </c:pt>
                <c:pt idx="106">
                  <c:v>446</c:v>
                </c:pt>
                <c:pt idx="107">
                  <c:v>608</c:v>
                </c:pt>
                <c:pt idx="108">
                  <c:v>450</c:v>
                </c:pt>
                <c:pt idx="109">
                  <c:v>451</c:v>
                </c:pt>
                <c:pt idx="110">
                  <c:v>183</c:v>
                </c:pt>
                <c:pt idx="111">
                  <c:v>546</c:v>
                </c:pt>
                <c:pt idx="112">
                  <c:v>505</c:v>
                </c:pt>
                <c:pt idx="113">
                  <c:v>221</c:v>
                </c:pt>
                <c:pt idx="114">
                  <c:v>448</c:v>
                </c:pt>
                <c:pt idx="115">
                  <c:v>386</c:v>
                </c:pt>
                <c:pt idx="116">
                  <c:v>471</c:v>
                </c:pt>
                <c:pt idx="117">
                  <c:v>509</c:v>
                </c:pt>
                <c:pt idx="118">
                  <c:v>482</c:v>
                </c:pt>
                <c:pt idx="119">
                  <c:v>227</c:v>
                </c:pt>
                <c:pt idx="120">
                  <c:v>292</c:v>
                </c:pt>
                <c:pt idx="121">
                  <c:v>255</c:v>
                </c:pt>
                <c:pt idx="122">
                  <c:v>933</c:v>
                </c:pt>
                <c:pt idx="123">
                  <c:v>337</c:v>
                </c:pt>
                <c:pt idx="124">
                  <c:v>333</c:v>
                </c:pt>
                <c:pt idx="125">
                  <c:v>402</c:v>
                </c:pt>
                <c:pt idx="126">
                  <c:v>46</c:v>
                </c:pt>
                <c:pt idx="127">
                  <c:v>627</c:v>
                </c:pt>
                <c:pt idx="128">
                  <c:v>216</c:v>
                </c:pt>
                <c:pt idx="129">
                  <c:v>364</c:v>
                </c:pt>
                <c:pt idx="130">
                  <c:v>313</c:v>
                </c:pt>
                <c:pt idx="131">
                  <c:v>685</c:v>
                </c:pt>
                <c:pt idx="132">
                  <c:v>685</c:v>
                </c:pt>
                <c:pt idx="133">
                  <c:v>324</c:v>
                </c:pt>
                <c:pt idx="134">
                  <c:v>443</c:v>
                </c:pt>
                <c:pt idx="135">
                  <c:v>264</c:v>
                </c:pt>
                <c:pt idx="136">
                  <c:v>769</c:v>
                </c:pt>
                <c:pt idx="137">
                  <c:v>545</c:v>
                </c:pt>
                <c:pt idx="138">
                  <c:v>605</c:v>
                </c:pt>
                <c:pt idx="139">
                  <c:v>211</c:v>
                </c:pt>
                <c:pt idx="140">
                  <c:v>308</c:v>
                </c:pt>
                <c:pt idx="141">
                  <c:v>165</c:v>
                </c:pt>
                <c:pt idx="142">
                  <c:v>744</c:v>
                </c:pt>
                <c:pt idx="143">
                  <c:v>383</c:v>
                </c:pt>
                <c:pt idx="144">
                  <c:v>407</c:v>
                </c:pt>
                <c:pt idx="145">
                  <c:v>821</c:v>
                </c:pt>
                <c:pt idx="146">
                  <c:v>530</c:v>
                </c:pt>
                <c:pt idx="147">
                  <c:v>737</c:v>
                </c:pt>
                <c:pt idx="148">
                  <c:v>461</c:v>
                </c:pt>
                <c:pt idx="149">
                  <c:v>274</c:v>
                </c:pt>
                <c:pt idx="150">
                  <c:v>313</c:v>
                </c:pt>
                <c:pt idx="151">
                  <c:v>593</c:v>
                </c:pt>
                <c:pt idx="152">
                  <c:v>448</c:v>
                </c:pt>
                <c:pt idx="153">
                  <c:v>495</c:v>
                </c:pt>
                <c:pt idx="154">
                  <c:v>364</c:v>
                </c:pt>
                <c:pt idx="155">
                  <c:v>280</c:v>
                </c:pt>
                <c:pt idx="156">
                  <c:v>885</c:v>
                </c:pt>
                <c:pt idx="157">
                  <c:v>722</c:v>
                </c:pt>
                <c:pt idx="158">
                  <c:v>676</c:v>
                </c:pt>
                <c:pt idx="159">
                  <c:v>419</c:v>
                </c:pt>
                <c:pt idx="160">
                  <c:v>268</c:v>
                </c:pt>
                <c:pt idx="161">
                  <c:v>277</c:v>
                </c:pt>
                <c:pt idx="162">
                  <c:v>367</c:v>
                </c:pt>
                <c:pt idx="163">
                  <c:v>461</c:v>
                </c:pt>
                <c:pt idx="164">
                  <c:v>586</c:v>
                </c:pt>
                <c:pt idx="165">
                  <c:v>492</c:v>
                </c:pt>
                <c:pt idx="166">
                  <c:v>917</c:v>
                </c:pt>
                <c:pt idx="167">
                  <c:v>385</c:v>
                </c:pt>
                <c:pt idx="168">
                  <c:v>254</c:v>
                </c:pt>
                <c:pt idx="169">
                  <c:v>465</c:v>
                </c:pt>
                <c:pt idx="170">
                  <c:v>427</c:v>
                </c:pt>
                <c:pt idx="171">
                  <c:v>472</c:v>
                </c:pt>
                <c:pt idx="172">
                  <c:v>203</c:v>
                </c:pt>
                <c:pt idx="173">
                  <c:v>496</c:v>
                </c:pt>
                <c:pt idx="174">
                  <c:v>424</c:v>
                </c:pt>
                <c:pt idx="175">
                  <c:v>480</c:v>
                </c:pt>
                <c:pt idx="176">
                  <c:v>616</c:v>
                </c:pt>
                <c:pt idx="177">
                  <c:v>795</c:v>
                </c:pt>
                <c:pt idx="178">
                  <c:v>505</c:v>
                </c:pt>
                <c:pt idx="179">
                  <c:v>596</c:v>
                </c:pt>
                <c:pt idx="180">
                  <c:v>608</c:v>
                </c:pt>
                <c:pt idx="181">
                  <c:v>228</c:v>
                </c:pt>
                <c:pt idx="182">
                  <c:v>661</c:v>
                </c:pt>
                <c:pt idx="183">
                  <c:v>299</c:v>
                </c:pt>
                <c:pt idx="184">
                  <c:v>248</c:v>
                </c:pt>
                <c:pt idx="185">
                  <c:v>559</c:v>
                </c:pt>
                <c:pt idx="186">
                  <c:v>362</c:v>
                </c:pt>
                <c:pt idx="187">
                  <c:v>272</c:v>
                </c:pt>
                <c:pt idx="188">
                  <c:v>473</c:v>
                </c:pt>
                <c:pt idx="189">
                  <c:v>270</c:v>
                </c:pt>
                <c:pt idx="190">
                  <c:v>431</c:v>
                </c:pt>
                <c:pt idx="191">
                  <c:v>240</c:v>
                </c:pt>
                <c:pt idx="192">
                  <c:v>449</c:v>
                </c:pt>
                <c:pt idx="193">
                  <c:v>461</c:v>
                </c:pt>
                <c:pt idx="194">
                  <c:v>315</c:v>
                </c:pt>
                <c:pt idx="195">
                  <c:v>694</c:v>
                </c:pt>
                <c:pt idx="196">
                  <c:v>517</c:v>
                </c:pt>
                <c:pt idx="197">
                  <c:v>767</c:v>
                </c:pt>
                <c:pt idx="198">
                  <c:v>500</c:v>
                </c:pt>
                <c:pt idx="199">
                  <c:v>468</c:v>
                </c:pt>
                <c:pt idx="200">
                  <c:v>473</c:v>
                </c:pt>
                <c:pt idx="201">
                  <c:v>586</c:v>
                </c:pt>
                <c:pt idx="202">
                  <c:v>666</c:v>
                </c:pt>
                <c:pt idx="203">
                  <c:v>234</c:v>
                </c:pt>
                <c:pt idx="204">
                  <c:v>666</c:v>
                </c:pt>
                <c:pt idx="205">
                  <c:v>438</c:v>
                </c:pt>
                <c:pt idx="206">
                  <c:v>346</c:v>
                </c:pt>
                <c:pt idx="207">
                  <c:v>495</c:v>
                </c:pt>
                <c:pt idx="208">
                  <c:v>417</c:v>
                </c:pt>
                <c:pt idx="209">
                  <c:v>302</c:v>
                </c:pt>
                <c:pt idx="210">
                  <c:v>302</c:v>
                </c:pt>
                <c:pt idx="211">
                  <c:v>1054</c:v>
                </c:pt>
                <c:pt idx="212">
                  <c:v>330</c:v>
                </c:pt>
                <c:pt idx="213">
                  <c:v>261</c:v>
                </c:pt>
                <c:pt idx="214">
                  <c:v>362</c:v>
                </c:pt>
                <c:pt idx="215">
                  <c:v>172</c:v>
                </c:pt>
                <c:pt idx="216">
                  <c:v>746</c:v>
                </c:pt>
                <c:pt idx="217">
                  <c:v>600</c:v>
                </c:pt>
                <c:pt idx="218">
                  <c:v>400</c:v>
                </c:pt>
                <c:pt idx="219">
                  <c:v>530</c:v>
                </c:pt>
                <c:pt idx="220">
                  <c:v>402</c:v>
                </c:pt>
                <c:pt idx="221">
                  <c:v>812</c:v>
                </c:pt>
                <c:pt idx="222">
                  <c:v>440</c:v>
                </c:pt>
                <c:pt idx="223">
                  <c:v>426</c:v>
                </c:pt>
                <c:pt idx="224">
                  <c:v>505</c:v>
                </c:pt>
                <c:pt idx="225">
                  <c:v>491</c:v>
                </c:pt>
                <c:pt idx="226">
                  <c:v>315</c:v>
                </c:pt>
                <c:pt idx="227">
                  <c:v>357</c:v>
                </c:pt>
                <c:pt idx="228">
                  <c:v>315</c:v>
                </c:pt>
                <c:pt idx="229">
                  <c:v>537</c:v>
                </c:pt>
                <c:pt idx="230">
                  <c:v>263</c:v>
                </c:pt>
                <c:pt idx="231">
                  <c:v>604</c:v>
                </c:pt>
                <c:pt idx="232">
                  <c:v>378</c:v>
                </c:pt>
                <c:pt idx="233">
                  <c:v>893</c:v>
                </c:pt>
                <c:pt idx="234">
                  <c:v>187</c:v>
                </c:pt>
                <c:pt idx="235">
                  <c:v>362</c:v>
                </c:pt>
                <c:pt idx="236">
                  <c:v>516</c:v>
                </c:pt>
                <c:pt idx="237">
                  <c:v>202</c:v>
                </c:pt>
                <c:pt idx="238">
                  <c:v>440</c:v>
                </c:pt>
                <c:pt idx="239">
                  <c:v>374</c:v>
                </c:pt>
                <c:pt idx="240">
                  <c:v>693</c:v>
                </c:pt>
                <c:pt idx="241">
                  <c:v>462</c:v>
                </c:pt>
                <c:pt idx="242">
                  <c:v>527</c:v>
                </c:pt>
                <c:pt idx="243">
                  <c:v>367</c:v>
                </c:pt>
                <c:pt idx="244">
                  <c:v>311</c:v>
                </c:pt>
                <c:pt idx="245">
                  <c:v>387</c:v>
                </c:pt>
                <c:pt idx="246">
                  <c:v>358</c:v>
                </c:pt>
                <c:pt idx="247">
                  <c:v>913</c:v>
                </c:pt>
                <c:pt idx="248">
                  <c:v>355</c:v>
                </c:pt>
                <c:pt idx="249">
                  <c:v>310</c:v>
                </c:pt>
              </c:numCache>
            </c:numRef>
          </c:xVal>
          <c:yVal>
            <c:numRef>
              <c:f>Correlation!$B$2:$B$251</c:f>
              <c:numCache>
                <c:formatCode>0.00%</c:formatCode>
                <c:ptCount val="250"/>
                <c:pt idx="0">
                  <c:v>0.54200000000000004</c:v>
                </c:pt>
                <c:pt idx="1">
                  <c:v>0.6</c:v>
                </c:pt>
                <c:pt idx="2">
                  <c:v>0.46299999999999997</c:v>
                </c:pt>
                <c:pt idx="3">
                  <c:v>0.47500000000000003</c:v>
                </c:pt>
                <c:pt idx="4">
                  <c:v>0.498</c:v>
                </c:pt>
                <c:pt idx="5">
                  <c:v>0.40299999999999997</c:v>
                </c:pt>
                <c:pt idx="6">
                  <c:v>0.42</c:v>
                </c:pt>
                <c:pt idx="7">
                  <c:v>0.32100000000000001</c:v>
                </c:pt>
                <c:pt idx="8">
                  <c:v>0.34500000000000003</c:v>
                </c:pt>
                <c:pt idx="9">
                  <c:v>0.35299999999999998</c:v>
                </c:pt>
                <c:pt idx="10">
                  <c:v>0.54900000000000004</c:v>
                </c:pt>
                <c:pt idx="11">
                  <c:v>0.435</c:v>
                </c:pt>
                <c:pt idx="12">
                  <c:v>0.45900000000000002</c:v>
                </c:pt>
                <c:pt idx="13">
                  <c:v>0.45900000000000002</c:v>
                </c:pt>
                <c:pt idx="14">
                  <c:v>0.56299999999999994</c:v>
                </c:pt>
                <c:pt idx="15">
                  <c:v>0.378</c:v>
                </c:pt>
                <c:pt idx="16">
                  <c:v>0.44700000000000006</c:v>
                </c:pt>
                <c:pt idx="17">
                  <c:v>0.312</c:v>
                </c:pt>
                <c:pt idx="18">
                  <c:v>0.434</c:v>
                </c:pt>
                <c:pt idx="19">
                  <c:v>0.53100000000000003</c:v>
                </c:pt>
                <c:pt idx="20">
                  <c:v>0.40700000000000003</c:v>
                </c:pt>
                <c:pt idx="21">
                  <c:v>0.40200000000000002</c:v>
                </c:pt>
                <c:pt idx="22">
                  <c:v>0.46</c:v>
                </c:pt>
                <c:pt idx="23">
                  <c:v>0.39200000000000002</c:v>
                </c:pt>
                <c:pt idx="24">
                  <c:v>0.503</c:v>
                </c:pt>
                <c:pt idx="25">
                  <c:v>0.33</c:v>
                </c:pt>
                <c:pt idx="26">
                  <c:v>0.46899999999999997</c:v>
                </c:pt>
                <c:pt idx="27">
                  <c:v>0.44400000000000001</c:v>
                </c:pt>
                <c:pt idx="28">
                  <c:v>0.5</c:v>
                </c:pt>
                <c:pt idx="29">
                  <c:v>0.52200000000000002</c:v>
                </c:pt>
                <c:pt idx="30">
                  <c:v>0.50700000000000001</c:v>
                </c:pt>
                <c:pt idx="31">
                  <c:v>0.59200000000000008</c:v>
                </c:pt>
                <c:pt idx="32">
                  <c:v>0.52</c:v>
                </c:pt>
                <c:pt idx="33">
                  <c:v>0.47000000000000003</c:v>
                </c:pt>
                <c:pt idx="34">
                  <c:v>0.33299999999999996</c:v>
                </c:pt>
                <c:pt idx="35">
                  <c:v>0.376</c:v>
                </c:pt>
                <c:pt idx="36">
                  <c:v>0.38900000000000001</c:v>
                </c:pt>
                <c:pt idx="37">
                  <c:v>0.41600000000000004</c:v>
                </c:pt>
                <c:pt idx="38">
                  <c:v>0.47000000000000003</c:v>
                </c:pt>
                <c:pt idx="39">
                  <c:v>0.43200000000000005</c:v>
                </c:pt>
                <c:pt idx="40">
                  <c:v>0.45600000000000002</c:v>
                </c:pt>
                <c:pt idx="41">
                  <c:v>0.438</c:v>
                </c:pt>
                <c:pt idx="42">
                  <c:v>0.28199999999999997</c:v>
                </c:pt>
                <c:pt idx="43">
                  <c:v>0.45200000000000001</c:v>
                </c:pt>
                <c:pt idx="44">
                  <c:v>0.48399999999999999</c:v>
                </c:pt>
                <c:pt idx="45">
                  <c:v>0.49299999999999999</c:v>
                </c:pt>
                <c:pt idx="46">
                  <c:v>0.53</c:v>
                </c:pt>
                <c:pt idx="47">
                  <c:v>0.45799999999999996</c:v>
                </c:pt>
                <c:pt idx="48">
                  <c:v>0.39900000000000002</c:v>
                </c:pt>
                <c:pt idx="49">
                  <c:v>0.47500000000000003</c:v>
                </c:pt>
                <c:pt idx="50">
                  <c:v>0.48799999999999999</c:v>
                </c:pt>
                <c:pt idx="51">
                  <c:v>0.53900000000000003</c:v>
                </c:pt>
                <c:pt idx="52">
                  <c:v>0.46100000000000002</c:v>
                </c:pt>
                <c:pt idx="53">
                  <c:v>0.46200000000000002</c:v>
                </c:pt>
                <c:pt idx="54">
                  <c:v>0.433</c:v>
                </c:pt>
                <c:pt idx="55">
                  <c:v>0.502</c:v>
                </c:pt>
                <c:pt idx="56">
                  <c:v>0.42100000000000004</c:v>
                </c:pt>
                <c:pt idx="57">
                  <c:v>0.57100000000000006</c:v>
                </c:pt>
                <c:pt idx="58">
                  <c:v>0.36499999999999999</c:v>
                </c:pt>
                <c:pt idx="59">
                  <c:v>0.5</c:v>
                </c:pt>
                <c:pt idx="60">
                  <c:v>0.46899999999999997</c:v>
                </c:pt>
                <c:pt idx="61">
                  <c:v>0.47899999999999998</c:v>
                </c:pt>
                <c:pt idx="62">
                  <c:v>0.42100000000000004</c:v>
                </c:pt>
                <c:pt idx="63">
                  <c:v>0.32100000000000001</c:v>
                </c:pt>
                <c:pt idx="64">
                  <c:v>0.38400000000000001</c:v>
                </c:pt>
                <c:pt idx="65">
                  <c:v>0.433</c:v>
                </c:pt>
                <c:pt idx="66">
                  <c:v>0.51500000000000001</c:v>
                </c:pt>
                <c:pt idx="67">
                  <c:v>0.38300000000000001</c:v>
                </c:pt>
                <c:pt idx="68">
                  <c:v>0.49</c:v>
                </c:pt>
                <c:pt idx="69">
                  <c:v>0.46899999999999997</c:v>
                </c:pt>
                <c:pt idx="70">
                  <c:v>0.34700000000000003</c:v>
                </c:pt>
                <c:pt idx="71">
                  <c:v>0.48700000000000004</c:v>
                </c:pt>
                <c:pt idx="72">
                  <c:v>0.45600000000000002</c:v>
                </c:pt>
                <c:pt idx="73">
                  <c:v>0.43</c:v>
                </c:pt>
                <c:pt idx="74">
                  <c:v>0.39500000000000002</c:v>
                </c:pt>
                <c:pt idx="75">
                  <c:v>0.35499999999999998</c:v>
                </c:pt>
                <c:pt idx="76">
                  <c:v>0.55400000000000005</c:v>
                </c:pt>
                <c:pt idx="77">
                  <c:v>0.48399999999999999</c:v>
                </c:pt>
                <c:pt idx="78">
                  <c:v>0.26300000000000001</c:v>
                </c:pt>
                <c:pt idx="79">
                  <c:v>0.45</c:v>
                </c:pt>
                <c:pt idx="80">
                  <c:v>0.51100000000000001</c:v>
                </c:pt>
                <c:pt idx="81">
                  <c:v>0.39200000000000002</c:v>
                </c:pt>
                <c:pt idx="82">
                  <c:v>0.37200000000000005</c:v>
                </c:pt>
                <c:pt idx="83">
                  <c:v>0.48499999999999999</c:v>
                </c:pt>
                <c:pt idx="84">
                  <c:v>0.46299999999999997</c:v>
                </c:pt>
                <c:pt idx="85">
                  <c:v>0.47000000000000003</c:v>
                </c:pt>
                <c:pt idx="86">
                  <c:v>0.47399999999999998</c:v>
                </c:pt>
                <c:pt idx="87">
                  <c:v>0.57399999999999995</c:v>
                </c:pt>
                <c:pt idx="88">
                  <c:v>0.51400000000000001</c:v>
                </c:pt>
                <c:pt idx="89">
                  <c:v>0.44</c:v>
                </c:pt>
                <c:pt idx="90">
                  <c:v>0.42600000000000005</c:v>
                </c:pt>
                <c:pt idx="91">
                  <c:v>0.48200000000000004</c:v>
                </c:pt>
                <c:pt idx="92">
                  <c:v>0.48600000000000004</c:v>
                </c:pt>
                <c:pt idx="93">
                  <c:v>0.43700000000000006</c:v>
                </c:pt>
                <c:pt idx="94">
                  <c:v>0.49700000000000005</c:v>
                </c:pt>
                <c:pt idx="95">
                  <c:v>0.42200000000000004</c:v>
                </c:pt>
                <c:pt idx="96">
                  <c:v>0.32299999999999995</c:v>
                </c:pt>
                <c:pt idx="97">
                  <c:v>0.51500000000000001</c:v>
                </c:pt>
                <c:pt idx="98">
                  <c:v>0.36499999999999999</c:v>
                </c:pt>
                <c:pt idx="99">
                  <c:v>0.39100000000000001</c:v>
                </c:pt>
                <c:pt idx="100">
                  <c:v>0.49700000000000005</c:v>
                </c:pt>
                <c:pt idx="101">
                  <c:v>0.51500000000000001</c:v>
                </c:pt>
                <c:pt idx="102">
                  <c:v>0.58600000000000008</c:v>
                </c:pt>
                <c:pt idx="103">
                  <c:v>0.498</c:v>
                </c:pt>
                <c:pt idx="104">
                  <c:v>0.41000000000000003</c:v>
                </c:pt>
                <c:pt idx="105">
                  <c:v>0.58200000000000007</c:v>
                </c:pt>
                <c:pt idx="106">
                  <c:v>0.48200000000000004</c:v>
                </c:pt>
                <c:pt idx="107">
                  <c:v>0.42100000000000004</c:v>
                </c:pt>
                <c:pt idx="108">
                  <c:v>0.504</c:v>
                </c:pt>
                <c:pt idx="109">
                  <c:v>0.51900000000000002</c:v>
                </c:pt>
                <c:pt idx="110">
                  <c:v>0.54600000000000004</c:v>
                </c:pt>
                <c:pt idx="111">
                  <c:v>0.56600000000000006</c:v>
                </c:pt>
                <c:pt idx="112">
                  <c:v>0.39200000000000002</c:v>
                </c:pt>
                <c:pt idx="113">
                  <c:v>0.43</c:v>
                </c:pt>
                <c:pt idx="114">
                  <c:v>0.42899999999999999</c:v>
                </c:pt>
                <c:pt idx="115">
                  <c:v>0.26900000000000002</c:v>
                </c:pt>
                <c:pt idx="116">
                  <c:v>0.46899999999999997</c:v>
                </c:pt>
                <c:pt idx="117">
                  <c:v>0.46600000000000003</c:v>
                </c:pt>
                <c:pt idx="118">
                  <c:v>0.39200000000000002</c:v>
                </c:pt>
                <c:pt idx="119">
                  <c:v>0.61699999999999999</c:v>
                </c:pt>
                <c:pt idx="120">
                  <c:v>0.46600000000000003</c:v>
                </c:pt>
                <c:pt idx="121">
                  <c:v>0.49</c:v>
                </c:pt>
                <c:pt idx="122">
                  <c:v>0.33</c:v>
                </c:pt>
                <c:pt idx="123">
                  <c:v>0.46899999999999997</c:v>
                </c:pt>
                <c:pt idx="124">
                  <c:v>0.39900000000000002</c:v>
                </c:pt>
                <c:pt idx="125">
                  <c:v>0.52500000000000002</c:v>
                </c:pt>
                <c:pt idx="126">
                  <c:v>0.30399999999999999</c:v>
                </c:pt>
                <c:pt idx="127">
                  <c:v>0.58899999999999997</c:v>
                </c:pt>
                <c:pt idx="128">
                  <c:v>0.49100000000000005</c:v>
                </c:pt>
                <c:pt idx="129">
                  <c:v>0.48899999999999999</c:v>
                </c:pt>
                <c:pt idx="130">
                  <c:v>0.45700000000000002</c:v>
                </c:pt>
                <c:pt idx="131">
                  <c:v>0.45700000000000002</c:v>
                </c:pt>
                <c:pt idx="132">
                  <c:v>0.33100000000000002</c:v>
                </c:pt>
                <c:pt idx="133">
                  <c:v>0.29600000000000004</c:v>
                </c:pt>
                <c:pt idx="134">
                  <c:v>0.49700000000000005</c:v>
                </c:pt>
                <c:pt idx="135">
                  <c:v>0.46200000000000002</c:v>
                </c:pt>
                <c:pt idx="136">
                  <c:v>0.33799999999999997</c:v>
                </c:pt>
                <c:pt idx="137">
                  <c:v>0.34100000000000003</c:v>
                </c:pt>
                <c:pt idx="138">
                  <c:v>0.41000000000000003</c:v>
                </c:pt>
                <c:pt idx="139">
                  <c:v>0.24600000000000002</c:v>
                </c:pt>
                <c:pt idx="140">
                  <c:v>0.40899999999999997</c:v>
                </c:pt>
                <c:pt idx="141">
                  <c:v>0.503</c:v>
                </c:pt>
                <c:pt idx="142">
                  <c:v>0.45</c:v>
                </c:pt>
                <c:pt idx="143">
                  <c:v>0.51200000000000001</c:v>
                </c:pt>
                <c:pt idx="144">
                  <c:v>0.378</c:v>
                </c:pt>
                <c:pt idx="145">
                  <c:v>0.36299999999999999</c:v>
                </c:pt>
                <c:pt idx="146">
                  <c:v>0.54300000000000004</c:v>
                </c:pt>
                <c:pt idx="147">
                  <c:v>0.42600000000000005</c:v>
                </c:pt>
                <c:pt idx="148">
                  <c:v>0.44900000000000001</c:v>
                </c:pt>
                <c:pt idx="149">
                  <c:v>0.39100000000000001</c:v>
                </c:pt>
                <c:pt idx="150">
                  <c:v>0.51800000000000002</c:v>
                </c:pt>
                <c:pt idx="151">
                  <c:v>0.46899999999999997</c:v>
                </c:pt>
                <c:pt idx="152">
                  <c:v>0.42899999999999999</c:v>
                </c:pt>
                <c:pt idx="153">
                  <c:v>0.501</c:v>
                </c:pt>
                <c:pt idx="154">
                  <c:v>0.379</c:v>
                </c:pt>
                <c:pt idx="155">
                  <c:v>0.311</c:v>
                </c:pt>
                <c:pt idx="156">
                  <c:v>0.52</c:v>
                </c:pt>
                <c:pt idx="157">
                  <c:v>0.45400000000000001</c:v>
                </c:pt>
                <c:pt idx="158">
                  <c:v>0.36700000000000005</c:v>
                </c:pt>
                <c:pt idx="159">
                  <c:v>0.46100000000000002</c:v>
                </c:pt>
                <c:pt idx="160">
                  <c:v>0.47000000000000003</c:v>
                </c:pt>
                <c:pt idx="161">
                  <c:v>0.314</c:v>
                </c:pt>
                <c:pt idx="162">
                  <c:v>0.436</c:v>
                </c:pt>
                <c:pt idx="163">
                  <c:v>0.35399999999999998</c:v>
                </c:pt>
                <c:pt idx="164">
                  <c:v>0.44700000000000006</c:v>
                </c:pt>
                <c:pt idx="165">
                  <c:v>0.49200000000000005</c:v>
                </c:pt>
                <c:pt idx="166">
                  <c:v>0.46200000000000002</c:v>
                </c:pt>
                <c:pt idx="167">
                  <c:v>0.51900000000000002</c:v>
                </c:pt>
                <c:pt idx="168">
                  <c:v>0.45700000000000002</c:v>
                </c:pt>
                <c:pt idx="169">
                  <c:v>0.35700000000000004</c:v>
                </c:pt>
                <c:pt idx="170">
                  <c:v>0.36799999999999999</c:v>
                </c:pt>
                <c:pt idx="171">
                  <c:v>0.38100000000000001</c:v>
                </c:pt>
                <c:pt idx="172">
                  <c:v>0.433</c:v>
                </c:pt>
                <c:pt idx="173">
                  <c:v>0.47200000000000003</c:v>
                </c:pt>
                <c:pt idx="174">
                  <c:v>0.50700000000000001</c:v>
                </c:pt>
                <c:pt idx="175">
                  <c:v>0.50600000000000001</c:v>
                </c:pt>
                <c:pt idx="176">
                  <c:v>0.36499999999999999</c:v>
                </c:pt>
                <c:pt idx="177">
                  <c:v>0.40399999999999997</c:v>
                </c:pt>
                <c:pt idx="178">
                  <c:v>0.45299999999999996</c:v>
                </c:pt>
                <c:pt idx="179">
                  <c:v>0.435</c:v>
                </c:pt>
                <c:pt idx="180">
                  <c:v>0.42799999999999999</c:v>
                </c:pt>
                <c:pt idx="181">
                  <c:v>0.58799999999999997</c:v>
                </c:pt>
                <c:pt idx="182">
                  <c:v>0.40399999999999997</c:v>
                </c:pt>
                <c:pt idx="183">
                  <c:v>0.52500000000000002</c:v>
                </c:pt>
                <c:pt idx="184">
                  <c:v>0.41899999999999998</c:v>
                </c:pt>
                <c:pt idx="185">
                  <c:v>0.33500000000000002</c:v>
                </c:pt>
                <c:pt idx="186">
                  <c:v>0.503</c:v>
                </c:pt>
                <c:pt idx="187">
                  <c:v>0.36399999999999999</c:v>
                </c:pt>
                <c:pt idx="188">
                  <c:v>0.27100000000000002</c:v>
                </c:pt>
                <c:pt idx="189">
                  <c:v>0.57799999999999996</c:v>
                </c:pt>
                <c:pt idx="190">
                  <c:v>0.47600000000000003</c:v>
                </c:pt>
                <c:pt idx="191">
                  <c:v>0.504</c:v>
                </c:pt>
                <c:pt idx="192">
                  <c:v>0.57899999999999996</c:v>
                </c:pt>
                <c:pt idx="193">
                  <c:v>0.52700000000000002</c:v>
                </c:pt>
                <c:pt idx="194">
                  <c:v>0.42499999999999999</c:v>
                </c:pt>
                <c:pt idx="195">
                  <c:v>0.34399999999999997</c:v>
                </c:pt>
                <c:pt idx="196">
                  <c:v>0.47200000000000003</c:v>
                </c:pt>
                <c:pt idx="197">
                  <c:v>0.46500000000000002</c:v>
                </c:pt>
                <c:pt idx="198">
                  <c:v>0.46399999999999997</c:v>
                </c:pt>
                <c:pt idx="199">
                  <c:v>0.438</c:v>
                </c:pt>
                <c:pt idx="200">
                  <c:v>0.33799999999999997</c:v>
                </c:pt>
                <c:pt idx="201">
                  <c:v>0.41600000000000004</c:v>
                </c:pt>
                <c:pt idx="202">
                  <c:v>0.434</c:v>
                </c:pt>
                <c:pt idx="203">
                  <c:v>0.33299999999999996</c:v>
                </c:pt>
                <c:pt idx="204">
                  <c:v>0.36600000000000005</c:v>
                </c:pt>
                <c:pt idx="205">
                  <c:v>0.47299999999999998</c:v>
                </c:pt>
                <c:pt idx="206">
                  <c:v>0.46799999999999997</c:v>
                </c:pt>
                <c:pt idx="207">
                  <c:v>0.32299999999999995</c:v>
                </c:pt>
                <c:pt idx="208">
                  <c:v>0.4</c:v>
                </c:pt>
                <c:pt idx="209">
                  <c:v>0.318</c:v>
                </c:pt>
                <c:pt idx="210">
                  <c:v>0.32500000000000001</c:v>
                </c:pt>
                <c:pt idx="211">
                  <c:v>0.45600000000000002</c:v>
                </c:pt>
                <c:pt idx="212">
                  <c:v>0.46700000000000003</c:v>
                </c:pt>
                <c:pt idx="213">
                  <c:v>0.375</c:v>
                </c:pt>
                <c:pt idx="214">
                  <c:v>0.28999999999999998</c:v>
                </c:pt>
                <c:pt idx="215">
                  <c:v>0.61</c:v>
                </c:pt>
                <c:pt idx="216">
                  <c:v>0.5</c:v>
                </c:pt>
                <c:pt idx="217">
                  <c:v>0.36299999999999999</c:v>
                </c:pt>
                <c:pt idx="218">
                  <c:v>0.42299999999999999</c:v>
                </c:pt>
                <c:pt idx="219">
                  <c:v>0.45799999999999996</c:v>
                </c:pt>
                <c:pt idx="220">
                  <c:v>0.38799999999999996</c:v>
                </c:pt>
                <c:pt idx="221">
                  <c:v>0.443</c:v>
                </c:pt>
                <c:pt idx="222">
                  <c:v>0.47700000000000004</c:v>
                </c:pt>
                <c:pt idx="223">
                  <c:v>0.312</c:v>
                </c:pt>
                <c:pt idx="224">
                  <c:v>0.42399999999999999</c:v>
                </c:pt>
                <c:pt idx="225">
                  <c:v>0.36499999999999999</c:v>
                </c:pt>
                <c:pt idx="226">
                  <c:v>0.38100000000000001</c:v>
                </c:pt>
                <c:pt idx="227">
                  <c:v>0.47600000000000003</c:v>
                </c:pt>
                <c:pt idx="228">
                  <c:v>0.42499999999999999</c:v>
                </c:pt>
                <c:pt idx="229">
                  <c:v>0.35000000000000003</c:v>
                </c:pt>
                <c:pt idx="230">
                  <c:v>0.47500000000000003</c:v>
                </c:pt>
                <c:pt idx="231">
                  <c:v>0.29499999999999998</c:v>
                </c:pt>
                <c:pt idx="232">
                  <c:v>0.35200000000000004</c:v>
                </c:pt>
                <c:pt idx="233">
                  <c:v>0.498</c:v>
                </c:pt>
                <c:pt idx="234">
                  <c:v>0.42200000000000004</c:v>
                </c:pt>
                <c:pt idx="235">
                  <c:v>0.49399999999999999</c:v>
                </c:pt>
                <c:pt idx="236">
                  <c:v>0.51200000000000001</c:v>
                </c:pt>
                <c:pt idx="237">
                  <c:v>0.54</c:v>
                </c:pt>
                <c:pt idx="238">
                  <c:v>0.32299999999999995</c:v>
                </c:pt>
                <c:pt idx="239">
                  <c:v>0.47299999999999998</c:v>
                </c:pt>
                <c:pt idx="240">
                  <c:v>0.44200000000000006</c:v>
                </c:pt>
                <c:pt idx="241">
                  <c:v>0.41600000000000004</c:v>
                </c:pt>
                <c:pt idx="242">
                  <c:v>0.501</c:v>
                </c:pt>
                <c:pt idx="243">
                  <c:v>0.44400000000000001</c:v>
                </c:pt>
                <c:pt idx="244">
                  <c:v>0.53400000000000003</c:v>
                </c:pt>
                <c:pt idx="245">
                  <c:v>0.47000000000000003</c:v>
                </c:pt>
                <c:pt idx="246">
                  <c:v>0.49700000000000005</c:v>
                </c:pt>
                <c:pt idx="247">
                  <c:v>0.50700000000000001</c:v>
                </c:pt>
                <c:pt idx="248">
                  <c:v>0.45100000000000001</c:v>
                </c:pt>
                <c:pt idx="249">
                  <c:v>0.52900000000000003</c:v>
                </c:pt>
              </c:numCache>
            </c:numRef>
          </c:yVal>
          <c:smooth val="0"/>
          <c:extLst>
            <c:ext xmlns:c16="http://schemas.microsoft.com/office/drawing/2014/chart" uri="{C3380CC4-5D6E-409C-BE32-E72D297353CC}">
              <c16:uniqueId val="{00000000-EEF4-40E6-B17F-9FDF37DDD3A2}"/>
            </c:ext>
          </c:extLst>
        </c:ser>
        <c:dLbls>
          <c:showLegendKey val="0"/>
          <c:showVal val="0"/>
          <c:showCatName val="0"/>
          <c:showSerName val="0"/>
          <c:showPercent val="0"/>
          <c:showBubbleSize val="0"/>
        </c:dLbls>
        <c:axId val="92455432"/>
        <c:axId val="1531219975"/>
      </c:scatterChart>
      <c:valAx>
        <c:axId val="92455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Athletes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19975"/>
        <c:crosses val="autoZero"/>
        <c:crossBetween val="midCat"/>
      </c:valAx>
      <c:valAx>
        <c:axId val="1531219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Female Athlete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54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Spending x Female Spending %</a:t>
            </a:r>
          </a:p>
        </c:rich>
      </c:tx>
      <c:layout>
        <c:manualLayout>
          <c:xMode val="edge"/>
          <c:yMode val="edge"/>
          <c:x val="0.25001550418499791"/>
          <c:y val="2.79269748263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Correlation!$D$1</c:f>
              <c:strCache>
                <c:ptCount val="1"/>
                <c:pt idx="0">
                  <c:v>Female spend %</c:v>
                </c:pt>
              </c:strCache>
            </c:strRef>
          </c:tx>
          <c:spPr>
            <a:ln w="28575" cap="rnd">
              <a:noFill/>
              <a:round/>
            </a:ln>
            <a:effectLst/>
          </c:spPr>
          <c:marker>
            <c:symbol val="circle"/>
            <c:size val="5"/>
            <c:spPr>
              <a:solidFill>
                <a:schemeClr val="accent1"/>
              </a:solidFill>
              <a:ln w="9525">
                <a:solidFill>
                  <a:schemeClr val="accent1"/>
                </a:solidFill>
              </a:ln>
              <a:effectLst/>
            </c:spPr>
          </c:marker>
          <c:xVal>
            <c:numRef>
              <c:f>Correlation!$C$2:$C$503</c:f>
              <c:numCache>
                <c:formatCode>"$"#,##0.00</c:formatCode>
                <c:ptCount val="502"/>
                <c:pt idx="0">
                  <c:v>5713327</c:v>
                </c:pt>
                <c:pt idx="1">
                  <c:v>10627020</c:v>
                </c:pt>
                <c:pt idx="2">
                  <c:v>3589042</c:v>
                </c:pt>
                <c:pt idx="3">
                  <c:v>29093061</c:v>
                </c:pt>
                <c:pt idx="4">
                  <c:v>17346909</c:v>
                </c:pt>
                <c:pt idx="5">
                  <c:v>690448</c:v>
                </c:pt>
                <c:pt idx="6">
                  <c:v>17876804</c:v>
                </c:pt>
                <c:pt idx="7">
                  <c:v>2960787</c:v>
                </c:pt>
                <c:pt idx="8">
                  <c:v>7007753</c:v>
                </c:pt>
                <c:pt idx="9">
                  <c:v>7454057</c:v>
                </c:pt>
                <c:pt idx="10">
                  <c:v>516439</c:v>
                </c:pt>
                <c:pt idx="11">
                  <c:v>12304601</c:v>
                </c:pt>
                <c:pt idx="12">
                  <c:v>476923</c:v>
                </c:pt>
                <c:pt idx="13">
                  <c:v>11004696</c:v>
                </c:pt>
                <c:pt idx="14">
                  <c:v>372331</c:v>
                </c:pt>
                <c:pt idx="15">
                  <c:v>2762782</c:v>
                </c:pt>
                <c:pt idx="16">
                  <c:v>1141701</c:v>
                </c:pt>
                <c:pt idx="17">
                  <c:v>2249065</c:v>
                </c:pt>
                <c:pt idx="18">
                  <c:v>4380868</c:v>
                </c:pt>
                <c:pt idx="19">
                  <c:v>574568</c:v>
                </c:pt>
                <c:pt idx="20">
                  <c:v>2450246</c:v>
                </c:pt>
                <c:pt idx="21">
                  <c:v>6308712</c:v>
                </c:pt>
                <c:pt idx="22">
                  <c:v>71997827</c:v>
                </c:pt>
                <c:pt idx="23">
                  <c:v>4089296</c:v>
                </c:pt>
                <c:pt idx="24">
                  <c:v>1188745</c:v>
                </c:pt>
                <c:pt idx="25">
                  <c:v>2659044</c:v>
                </c:pt>
                <c:pt idx="26">
                  <c:v>14353706</c:v>
                </c:pt>
                <c:pt idx="27">
                  <c:v>5113232</c:v>
                </c:pt>
                <c:pt idx="28">
                  <c:v>5975133</c:v>
                </c:pt>
                <c:pt idx="29">
                  <c:v>19767665</c:v>
                </c:pt>
                <c:pt idx="30">
                  <c:v>1581178</c:v>
                </c:pt>
                <c:pt idx="31">
                  <c:v>4416654</c:v>
                </c:pt>
                <c:pt idx="32">
                  <c:v>13894714</c:v>
                </c:pt>
                <c:pt idx="33">
                  <c:v>43152829</c:v>
                </c:pt>
                <c:pt idx="34">
                  <c:v>4285223</c:v>
                </c:pt>
                <c:pt idx="35">
                  <c:v>1291292</c:v>
                </c:pt>
                <c:pt idx="36">
                  <c:v>8786653</c:v>
                </c:pt>
                <c:pt idx="37">
                  <c:v>12765375</c:v>
                </c:pt>
                <c:pt idx="38">
                  <c:v>25794623</c:v>
                </c:pt>
                <c:pt idx="39">
                  <c:v>1423732</c:v>
                </c:pt>
                <c:pt idx="40">
                  <c:v>72761856</c:v>
                </c:pt>
                <c:pt idx="41">
                  <c:v>1908200</c:v>
                </c:pt>
                <c:pt idx="42">
                  <c:v>6918234</c:v>
                </c:pt>
                <c:pt idx="43">
                  <c:v>4186109</c:v>
                </c:pt>
                <c:pt idx="44">
                  <c:v>614250</c:v>
                </c:pt>
                <c:pt idx="45">
                  <c:v>3418783</c:v>
                </c:pt>
                <c:pt idx="46">
                  <c:v>4642905</c:v>
                </c:pt>
                <c:pt idx="47">
                  <c:v>4151886</c:v>
                </c:pt>
                <c:pt idx="48">
                  <c:v>3510734</c:v>
                </c:pt>
                <c:pt idx="49">
                  <c:v>1335767</c:v>
                </c:pt>
                <c:pt idx="50">
                  <c:v>80631180</c:v>
                </c:pt>
                <c:pt idx="51">
                  <c:v>8542548</c:v>
                </c:pt>
                <c:pt idx="52">
                  <c:v>12386814</c:v>
                </c:pt>
                <c:pt idx="53">
                  <c:v>1116865</c:v>
                </c:pt>
                <c:pt idx="54">
                  <c:v>52735058</c:v>
                </c:pt>
                <c:pt idx="55">
                  <c:v>51713559</c:v>
                </c:pt>
                <c:pt idx="56">
                  <c:v>6549507</c:v>
                </c:pt>
                <c:pt idx="57">
                  <c:v>3858415</c:v>
                </c:pt>
                <c:pt idx="58">
                  <c:v>5739417</c:v>
                </c:pt>
                <c:pt idx="59">
                  <c:v>11882284</c:v>
                </c:pt>
                <c:pt idx="60">
                  <c:v>3296000</c:v>
                </c:pt>
                <c:pt idx="61">
                  <c:v>2000067</c:v>
                </c:pt>
                <c:pt idx="62">
                  <c:v>101627591</c:v>
                </c:pt>
                <c:pt idx="63">
                  <c:v>1849317</c:v>
                </c:pt>
                <c:pt idx="64">
                  <c:v>3029389</c:v>
                </c:pt>
                <c:pt idx="65">
                  <c:v>3672052</c:v>
                </c:pt>
                <c:pt idx="66">
                  <c:v>10417036</c:v>
                </c:pt>
                <c:pt idx="67">
                  <c:v>2088018</c:v>
                </c:pt>
                <c:pt idx="68">
                  <c:v>17044487</c:v>
                </c:pt>
                <c:pt idx="69">
                  <c:v>303545</c:v>
                </c:pt>
                <c:pt idx="70">
                  <c:v>4010897</c:v>
                </c:pt>
                <c:pt idx="71">
                  <c:v>2824403</c:v>
                </c:pt>
                <c:pt idx="72">
                  <c:v>4268961</c:v>
                </c:pt>
                <c:pt idx="73">
                  <c:v>21164677</c:v>
                </c:pt>
                <c:pt idx="74">
                  <c:v>28809882</c:v>
                </c:pt>
                <c:pt idx="75">
                  <c:v>3033895</c:v>
                </c:pt>
                <c:pt idx="76">
                  <c:v>719237</c:v>
                </c:pt>
                <c:pt idx="77">
                  <c:v>828075</c:v>
                </c:pt>
                <c:pt idx="78">
                  <c:v>3549181</c:v>
                </c:pt>
                <c:pt idx="79">
                  <c:v>14258775</c:v>
                </c:pt>
                <c:pt idx="80">
                  <c:v>7836144</c:v>
                </c:pt>
                <c:pt idx="81">
                  <c:v>2683821</c:v>
                </c:pt>
                <c:pt idx="82">
                  <c:v>12333372</c:v>
                </c:pt>
                <c:pt idx="83">
                  <c:v>18045694</c:v>
                </c:pt>
                <c:pt idx="84">
                  <c:v>3095117</c:v>
                </c:pt>
                <c:pt idx="85">
                  <c:v>705952</c:v>
                </c:pt>
                <c:pt idx="86">
                  <c:v>17022019</c:v>
                </c:pt>
                <c:pt idx="87">
                  <c:v>4648360</c:v>
                </c:pt>
                <c:pt idx="88">
                  <c:v>22344165</c:v>
                </c:pt>
                <c:pt idx="89">
                  <c:v>1211938</c:v>
                </c:pt>
                <c:pt idx="90">
                  <c:v>846593</c:v>
                </c:pt>
                <c:pt idx="91">
                  <c:v>9456989</c:v>
                </c:pt>
                <c:pt idx="92">
                  <c:v>2571335</c:v>
                </c:pt>
                <c:pt idx="93">
                  <c:v>10968228</c:v>
                </c:pt>
                <c:pt idx="94">
                  <c:v>797743</c:v>
                </c:pt>
                <c:pt idx="95">
                  <c:v>12034064</c:v>
                </c:pt>
                <c:pt idx="96">
                  <c:v>3136616</c:v>
                </c:pt>
                <c:pt idx="97">
                  <c:v>84330744</c:v>
                </c:pt>
                <c:pt idx="98">
                  <c:v>2411340</c:v>
                </c:pt>
                <c:pt idx="99">
                  <c:v>44745806</c:v>
                </c:pt>
                <c:pt idx="100">
                  <c:v>1218797</c:v>
                </c:pt>
                <c:pt idx="101">
                  <c:v>816915</c:v>
                </c:pt>
                <c:pt idx="102">
                  <c:v>9711258</c:v>
                </c:pt>
                <c:pt idx="103">
                  <c:v>577835</c:v>
                </c:pt>
                <c:pt idx="104">
                  <c:v>5013233</c:v>
                </c:pt>
                <c:pt idx="105">
                  <c:v>15346032</c:v>
                </c:pt>
                <c:pt idx="106">
                  <c:v>2148214</c:v>
                </c:pt>
                <c:pt idx="107">
                  <c:v>4328227</c:v>
                </c:pt>
                <c:pt idx="108">
                  <c:v>4582583</c:v>
                </c:pt>
                <c:pt idx="109">
                  <c:v>5213193</c:v>
                </c:pt>
                <c:pt idx="110">
                  <c:v>7379063</c:v>
                </c:pt>
                <c:pt idx="111">
                  <c:v>6939737</c:v>
                </c:pt>
                <c:pt idx="112">
                  <c:v>2026466</c:v>
                </c:pt>
                <c:pt idx="113">
                  <c:v>4217557</c:v>
                </c:pt>
                <c:pt idx="114">
                  <c:v>11134589</c:v>
                </c:pt>
                <c:pt idx="115">
                  <c:v>1620709</c:v>
                </c:pt>
                <c:pt idx="116">
                  <c:v>6679239</c:v>
                </c:pt>
                <c:pt idx="117">
                  <c:v>24959807</c:v>
                </c:pt>
                <c:pt idx="118">
                  <c:v>10959152</c:v>
                </c:pt>
                <c:pt idx="119">
                  <c:v>357459</c:v>
                </c:pt>
                <c:pt idx="120">
                  <c:v>1107410</c:v>
                </c:pt>
                <c:pt idx="121">
                  <c:v>4122237</c:v>
                </c:pt>
                <c:pt idx="122">
                  <c:v>2832463</c:v>
                </c:pt>
                <c:pt idx="123">
                  <c:v>4303941</c:v>
                </c:pt>
                <c:pt idx="124">
                  <c:v>3403074</c:v>
                </c:pt>
                <c:pt idx="125">
                  <c:v>2562929</c:v>
                </c:pt>
                <c:pt idx="126">
                  <c:v>74370</c:v>
                </c:pt>
                <c:pt idx="127">
                  <c:v>79719731</c:v>
                </c:pt>
                <c:pt idx="128">
                  <c:v>3653764</c:v>
                </c:pt>
                <c:pt idx="129">
                  <c:v>1789311</c:v>
                </c:pt>
                <c:pt idx="130">
                  <c:v>3004339</c:v>
                </c:pt>
                <c:pt idx="131">
                  <c:v>3098688</c:v>
                </c:pt>
                <c:pt idx="132">
                  <c:v>1884240</c:v>
                </c:pt>
                <c:pt idx="133">
                  <c:v>4018248</c:v>
                </c:pt>
                <c:pt idx="134">
                  <c:v>18703190</c:v>
                </c:pt>
                <c:pt idx="135">
                  <c:v>1482726</c:v>
                </c:pt>
                <c:pt idx="136">
                  <c:v>4854278</c:v>
                </c:pt>
                <c:pt idx="137">
                  <c:v>2641910</c:v>
                </c:pt>
                <c:pt idx="138">
                  <c:v>3016591</c:v>
                </c:pt>
                <c:pt idx="139">
                  <c:v>695585</c:v>
                </c:pt>
                <c:pt idx="140">
                  <c:v>742945</c:v>
                </c:pt>
                <c:pt idx="141">
                  <c:v>428383</c:v>
                </c:pt>
                <c:pt idx="142">
                  <c:v>5348776</c:v>
                </c:pt>
                <c:pt idx="143">
                  <c:v>5078906</c:v>
                </c:pt>
                <c:pt idx="144">
                  <c:v>1293005</c:v>
                </c:pt>
                <c:pt idx="145">
                  <c:v>8046322</c:v>
                </c:pt>
                <c:pt idx="146">
                  <c:v>18956826</c:v>
                </c:pt>
                <c:pt idx="147">
                  <c:v>3748170</c:v>
                </c:pt>
                <c:pt idx="148">
                  <c:v>4068710</c:v>
                </c:pt>
                <c:pt idx="149">
                  <c:v>1646320</c:v>
                </c:pt>
                <c:pt idx="150">
                  <c:v>9345986</c:v>
                </c:pt>
                <c:pt idx="151">
                  <c:v>2997108</c:v>
                </c:pt>
                <c:pt idx="152">
                  <c:v>5005471</c:v>
                </c:pt>
                <c:pt idx="153">
                  <c:v>2464943</c:v>
                </c:pt>
                <c:pt idx="154">
                  <c:v>1860167</c:v>
                </c:pt>
                <c:pt idx="155">
                  <c:v>3466028</c:v>
                </c:pt>
                <c:pt idx="156">
                  <c:v>21453064</c:v>
                </c:pt>
                <c:pt idx="157">
                  <c:v>2905881</c:v>
                </c:pt>
                <c:pt idx="158">
                  <c:v>8453326</c:v>
                </c:pt>
                <c:pt idx="159">
                  <c:v>5494696</c:v>
                </c:pt>
                <c:pt idx="160">
                  <c:v>4105328</c:v>
                </c:pt>
                <c:pt idx="161">
                  <c:v>3349138</c:v>
                </c:pt>
                <c:pt idx="162">
                  <c:v>2583155</c:v>
                </c:pt>
                <c:pt idx="163">
                  <c:v>3172039</c:v>
                </c:pt>
                <c:pt idx="164">
                  <c:v>5660679</c:v>
                </c:pt>
                <c:pt idx="165">
                  <c:v>5203694</c:v>
                </c:pt>
                <c:pt idx="166">
                  <c:v>16671563</c:v>
                </c:pt>
                <c:pt idx="167">
                  <c:v>6587786</c:v>
                </c:pt>
                <c:pt idx="168">
                  <c:v>4407349</c:v>
                </c:pt>
                <c:pt idx="169">
                  <c:v>2722577</c:v>
                </c:pt>
                <c:pt idx="170">
                  <c:v>1323325</c:v>
                </c:pt>
                <c:pt idx="171">
                  <c:v>11567115</c:v>
                </c:pt>
                <c:pt idx="172">
                  <c:v>542206</c:v>
                </c:pt>
                <c:pt idx="173">
                  <c:v>1175569</c:v>
                </c:pt>
                <c:pt idx="174">
                  <c:v>11600522</c:v>
                </c:pt>
                <c:pt idx="175">
                  <c:v>25694253</c:v>
                </c:pt>
                <c:pt idx="176">
                  <c:v>1895180</c:v>
                </c:pt>
                <c:pt idx="177">
                  <c:v>4409626</c:v>
                </c:pt>
                <c:pt idx="178">
                  <c:v>1950716</c:v>
                </c:pt>
                <c:pt idx="179">
                  <c:v>2542251</c:v>
                </c:pt>
                <c:pt idx="180">
                  <c:v>3648281</c:v>
                </c:pt>
                <c:pt idx="181">
                  <c:v>779287</c:v>
                </c:pt>
                <c:pt idx="182">
                  <c:v>5149358</c:v>
                </c:pt>
                <c:pt idx="183">
                  <c:v>920005</c:v>
                </c:pt>
                <c:pt idx="184">
                  <c:v>817583</c:v>
                </c:pt>
                <c:pt idx="185">
                  <c:v>2526131</c:v>
                </c:pt>
                <c:pt idx="186">
                  <c:v>4862764</c:v>
                </c:pt>
                <c:pt idx="187">
                  <c:v>3889136</c:v>
                </c:pt>
                <c:pt idx="188">
                  <c:v>5230213</c:v>
                </c:pt>
                <c:pt idx="189">
                  <c:v>2986937</c:v>
                </c:pt>
                <c:pt idx="190">
                  <c:v>5789418</c:v>
                </c:pt>
                <c:pt idx="191">
                  <c:v>2894046</c:v>
                </c:pt>
                <c:pt idx="192">
                  <c:v>13298777</c:v>
                </c:pt>
                <c:pt idx="193">
                  <c:v>22461499</c:v>
                </c:pt>
                <c:pt idx="194">
                  <c:v>1136275</c:v>
                </c:pt>
                <c:pt idx="195">
                  <c:v>2609100</c:v>
                </c:pt>
                <c:pt idx="196">
                  <c:v>2523462</c:v>
                </c:pt>
                <c:pt idx="197">
                  <c:v>3449423</c:v>
                </c:pt>
                <c:pt idx="198">
                  <c:v>4070570</c:v>
                </c:pt>
                <c:pt idx="199">
                  <c:v>2032992</c:v>
                </c:pt>
                <c:pt idx="200">
                  <c:v>5633416</c:v>
                </c:pt>
                <c:pt idx="201">
                  <c:v>8773153</c:v>
                </c:pt>
                <c:pt idx="202">
                  <c:v>3625546</c:v>
                </c:pt>
                <c:pt idx="203">
                  <c:v>2229930</c:v>
                </c:pt>
                <c:pt idx="204">
                  <c:v>2964916</c:v>
                </c:pt>
                <c:pt idx="205">
                  <c:v>24823606</c:v>
                </c:pt>
                <c:pt idx="206">
                  <c:v>12592594</c:v>
                </c:pt>
                <c:pt idx="207">
                  <c:v>1181511</c:v>
                </c:pt>
                <c:pt idx="208">
                  <c:v>75327515</c:v>
                </c:pt>
                <c:pt idx="209">
                  <c:v>1395719</c:v>
                </c:pt>
                <c:pt idx="210">
                  <c:v>2217242</c:v>
                </c:pt>
                <c:pt idx="211">
                  <c:v>20239048</c:v>
                </c:pt>
                <c:pt idx="212">
                  <c:v>1110856</c:v>
                </c:pt>
                <c:pt idx="213">
                  <c:v>3214219</c:v>
                </c:pt>
                <c:pt idx="214">
                  <c:v>2454844</c:v>
                </c:pt>
                <c:pt idx="215">
                  <c:v>540890</c:v>
                </c:pt>
                <c:pt idx="216">
                  <c:v>72360663</c:v>
                </c:pt>
                <c:pt idx="217">
                  <c:v>12821935</c:v>
                </c:pt>
                <c:pt idx="218">
                  <c:v>7023115</c:v>
                </c:pt>
                <c:pt idx="219">
                  <c:v>9228360</c:v>
                </c:pt>
                <c:pt idx="220">
                  <c:v>2446863</c:v>
                </c:pt>
                <c:pt idx="221">
                  <c:v>32370943</c:v>
                </c:pt>
                <c:pt idx="222">
                  <c:v>17224262</c:v>
                </c:pt>
                <c:pt idx="223">
                  <c:v>2071046</c:v>
                </c:pt>
                <c:pt idx="224">
                  <c:v>12309192</c:v>
                </c:pt>
                <c:pt idx="225">
                  <c:v>1544532</c:v>
                </c:pt>
                <c:pt idx="226">
                  <c:v>2650043</c:v>
                </c:pt>
                <c:pt idx="227">
                  <c:v>3780635</c:v>
                </c:pt>
                <c:pt idx="228">
                  <c:v>4124481</c:v>
                </c:pt>
                <c:pt idx="229">
                  <c:v>4228466</c:v>
                </c:pt>
                <c:pt idx="230">
                  <c:v>1156375</c:v>
                </c:pt>
                <c:pt idx="231">
                  <c:v>2300088</c:v>
                </c:pt>
                <c:pt idx="232">
                  <c:v>2061097</c:v>
                </c:pt>
                <c:pt idx="233">
                  <c:v>15554195</c:v>
                </c:pt>
                <c:pt idx="234">
                  <c:v>386924</c:v>
                </c:pt>
                <c:pt idx="235">
                  <c:v>6538733</c:v>
                </c:pt>
                <c:pt idx="236">
                  <c:v>66825920</c:v>
                </c:pt>
                <c:pt idx="237">
                  <c:v>2859710</c:v>
                </c:pt>
                <c:pt idx="238">
                  <c:v>1742021</c:v>
                </c:pt>
                <c:pt idx="239">
                  <c:v>10022180</c:v>
                </c:pt>
                <c:pt idx="240">
                  <c:v>31275909</c:v>
                </c:pt>
                <c:pt idx="241">
                  <c:v>17573649</c:v>
                </c:pt>
                <c:pt idx="242">
                  <c:v>20017623</c:v>
                </c:pt>
                <c:pt idx="243">
                  <c:v>8001913</c:v>
                </c:pt>
                <c:pt idx="244">
                  <c:v>17736798</c:v>
                </c:pt>
                <c:pt idx="245">
                  <c:v>3989583</c:v>
                </c:pt>
                <c:pt idx="246">
                  <c:v>2167626</c:v>
                </c:pt>
                <c:pt idx="247">
                  <c:v>25438043</c:v>
                </c:pt>
                <c:pt idx="248">
                  <c:v>4906487</c:v>
                </c:pt>
                <c:pt idx="249">
                  <c:v>4213436</c:v>
                </c:pt>
              </c:numCache>
            </c:numRef>
          </c:xVal>
          <c:yVal>
            <c:numRef>
              <c:f>Correlation!$D$2:$D$503</c:f>
              <c:numCache>
                <c:formatCode>0.00%</c:formatCode>
                <c:ptCount val="502"/>
                <c:pt idx="0">
                  <c:v>0.54392475697610165</c:v>
                </c:pt>
                <c:pt idx="1">
                  <c:v>0.5755838419425201</c:v>
                </c:pt>
                <c:pt idx="2">
                  <c:v>0.54803203751864704</c:v>
                </c:pt>
                <c:pt idx="3">
                  <c:v>0.28834284573905783</c:v>
                </c:pt>
                <c:pt idx="4">
                  <c:v>0.4039700675203865</c:v>
                </c:pt>
                <c:pt idx="5">
                  <c:v>0.40293258869603504</c:v>
                </c:pt>
                <c:pt idx="6">
                  <c:v>0.31285010452651379</c:v>
                </c:pt>
                <c:pt idx="7">
                  <c:v>0.31673335501675737</c:v>
                </c:pt>
                <c:pt idx="8">
                  <c:v>0.35031314602555197</c:v>
                </c:pt>
                <c:pt idx="9">
                  <c:v>0.32327898753658579</c:v>
                </c:pt>
                <c:pt idx="10">
                  <c:v>0.56119502980990976</c:v>
                </c:pt>
                <c:pt idx="11">
                  <c:v>0.36915638304728449</c:v>
                </c:pt>
                <c:pt idx="12">
                  <c:v>0.51914669663656399</c:v>
                </c:pt>
                <c:pt idx="13">
                  <c:v>0.49496387723931673</c:v>
                </c:pt>
                <c:pt idx="14">
                  <c:v>0.49685897763011944</c:v>
                </c:pt>
                <c:pt idx="15">
                  <c:v>0.42188163959371389</c:v>
                </c:pt>
                <c:pt idx="16">
                  <c:v>0.48259132645062058</c:v>
                </c:pt>
                <c:pt idx="17">
                  <c:v>0.37684148746256779</c:v>
                </c:pt>
                <c:pt idx="18">
                  <c:v>0.4391490453490039</c:v>
                </c:pt>
                <c:pt idx="19">
                  <c:v>0.47653541443310454</c:v>
                </c:pt>
                <c:pt idx="20">
                  <c:v>0.4457311633199279</c:v>
                </c:pt>
                <c:pt idx="21">
                  <c:v>0.52485879843619432</c:v>
                </c:pt>
                <c:pt idx="22">
                  <c:v>0.27270936940916285</c:v>
                </c:pt>
                <c:pt idx="23">
                  <c:v>0.38296445158286413</c:v>
                </c:pt>
                <c:pt idx="24">
                  <c:v>0.53611581962489852</c:v>
                </c:pt>
                <c:pt idx="25">
                  <c:v>0.36495447235923889</c:v>
                </c:pt>
                <c:pt idx="26">
                  <c:v>0.35471041416063559</c:v>
                </c:pt>
                <c:pt idx="27">
                  <c:v>0.49486880313664627</c:v>
                </c:pt>
                <c:pt idx="28">
                  <c:v>0.59432735639524681</c:v>
                </c:pt>
                <c:pt idx="29">
                  <c:v>0.40922263706917333</c:v>
                </c:pt>
                <c:pt idx="30">
                  <c:v>0.53256116642149076</c:v>
                </c:pt>
                <c:pt idx="31">
                  <c:v>0.55166286514633023</c:v>
                </c:pt>
                <c:pt idx="32">
                  <c:v>0.4997208290865145</c:v>
                </c:pt>
                <c:pt idx="33">
                  <c:v>0.24496433362456954</c:v>
                </c:pt>
                <c:pt idx="34">
                  <c:v>0.3082572365545504</c:v>
                </c:pt>
                <c:pt idx="35">
                  <c:v>0.40398995734504667</c:v>
                </c:pt>
                <c:pt idx="36">
                  <c:v>0.34715255057870159</c:v>
                </c:pt>
                <c:pt idx="37">
                  <c:v>0.39738950089597835</c:v>
                </c:pt>
                <c:pt idx="38">
                  <c:v>0.26897353762448861</c:v>
                </c:pt>
                <c:pt idx="39">
                  <c:v>0.4716168492384803</c:v>
                </c:pt>
                <c:pt idx="40">
                  <c:v>0.29261778314176046</c:v>
                </c:pt>
                <c:pt idx="41">
                  <c:v>0.51606959438214028</c:v>
                </c:pt>
                <c:pt idx="42">
                  <c:v>0.31469707442679734</c:v>
                </c:pt>
                <c:pt idx="43">
                  <c:v>0.54614296952133834</c:v>
                </c:pt>
                <c:pt idx="44">
                  <c:v>0.53813105413105411</c:v>
                </c:pt>
                <c:pt idx="45">
                  <c:v>0.50446460041482599</c:v>
                </c:pt>
                <c:pt idx="46">
                  <c:v>0.58409810237340631</c:v>
                </c:pt>
                <c:pt idx="47">
                  <c:v>0.51520826920585006</c:v>
                </c:pt>
                <c:pt idx="48">
                  <c:v>0.40470511294789069</c:v>
                </c:pt>
                <c:pt idx="49">
                  <c:v>0.49659858343558422</c:v>
                </c:pt>
                <c:pt idx="50">
                  <c:v>0.25677233050539505</c:v>
                </c:pt>
                <c:pt idx="51">
                  <c:v>0.51713551975359107</c:v>
                </c:pt>
                <c:pt idx="52">
                  <c:v>0.50755949027732228</c:v>
                </c:pt>
                <c:pt idx="53">
                  <c:v>0.48403164214117195</c:v>
                </c:pt>
                <c:pt idx="54">
                  <c:v>0.26037420874743328</c:v>
                </c:pt>
                <c:pt idx="55">
                  <c:v>0.22690381839702814</c:v>
                </c:pt>
                <c:pt idx="56">
                  <c:v>0.47711346823509004</c:v>
                </c:pt>
                <c:pt idx="57">
                  <c:v>0.502801798147685</c:v>
                </c:pt>
                <c:pt idx="58">
                  <c:v>0.38441796440300469</c:v>
                </c:pt>
                <c:pt idx="59">
                  <c:v>0.38218342534145794</c:v>
                </c:pt>
                <c:pt idx="60">
                  <c:v>0.48998968446601943</c:v>
                </c:pt>
                <c:pt idx="61">
                  <c:v>0.43966177133066042</c:v>
                </c:pt>
                <c:pt idx="62">
                  <c:v>0.23571595827751146</c:v>
                </c:pt>
                <c:pt idx="63">
                  <c:v>0.33878832022849514</c:v>
                </c:pt>
                <c:pt idx="64">
                  <c:v>0.38608841584887249</c:v>
                </c:pt>
                <c:pt idx="65">
                  <c:v>0.43271146487032319</c:v>
                </c:pt>
                <c:pt idx="66">
                  <c:v>0.4780039158931581</c:v>
                </c:pt>
                <c:pt idx="67">
                  <c:v>0.37581285218805582</c:v>
                </c:pt>
                <c:pt idx="68">
                  <c:v>0.47869243585917254</c:v>
                </c:pt>
                <c:pt idx="69">
                  <c:v>0.50442932678844987</c:v>
                </c:pt>
                <c:pt idx="70">
                  <c:v>0.41017981763181655</c:v>
                </c:pt>
                <c:pt idx="71">
                  <c:v>0.44537164136987534</c:v>
                </c:pt>
                <c:pt idx="72">
                  <c:v>0.44578036669812632</c:v>
                </c:pt>
                <c:pt idx="73">
                  <c:v>0.33413668443888844</c:v>
                </c:pt>
                <c:pt idx="74">
                  <c:v>0.28716198837607182</c:v>
                </c:pt>
                <c:pt idx="75">
                  <c:v>0.34080678467778219</c:v>
                </c:pt>
                <c:pt idx="76">
                  <c:v>0.53388938555719467</c:v>
                </c:pt>
                <c:pt idx="77">
                  <c:v>0.43727681671346197</c:v>
                </c:pt>
                <c:pt idx="78">
                  <c:v>0.25820830214069107</c:v>
                </c:pt>
                <c:pt idx="79">
                  <c:v>0.47214280329130659</c:v>
                </c:pt>
                <c:pt idx="80">
                  <c:v>0.51073563732366323</c:v>
                </c:pt>
                <c:pt idx="81">
                  <c:v>0.36821867032115779</c:v>
                </c:pt>
                <c:pt idx="82">
                  <c:v>0.3850633873688396</c:v>
                </c:pt>
                <c:pt idx="83">
                  <c:v>0.42194464784784669</c:v>
                </c:pt>
                <c:pt idx="84">
                  <c:v>0.50060078504302097</c:v>
                </c:pt>
                <c:pt idx="85">
                  <c:v>0.49396559539458773</c:v>
                </c:pt>
                <c:pt idx="86">
                  <c:v>0.3804243785651984</c:v>
                </c:pt>
                <c:pt idx="87">
                  <c:v>0.50812867333855383</c:v>
                </c:pt>
                <c:pt idx="88">
                  <c:v>0.47231086952678697</c:v>
                </c:pt>
                <c:pt idx="89">
                  <c:v>0.50249517714602565</c:v>
                </c:pt>
                <c:pt idx="90">
                  <c:v>0.48548121706652431</c:v>
                </c:pt>
                <c:pt idx="91">
                  <c:v>0.46808587807387741</c:v>
                </c:pt>
                <c:pt idx="92">
                  <c:v>0.50654815494674943</c:v>
                </c:pt>
                <c:pt idx="93">
                  <c:v>0.44019298285921848</c:v>
                </c:pt>
                <c:pt idx="94">
                  <c:v>0.52127188831490845</c:v>
                </c:pt>
                <c:pt idx="95">
                  <c:v>0.37151148606156659</c:v>
                </c:pt>
                <c:pt idx="96">
                  <c:v>0.37382102240121201</c:v>
                </c:pt>
                <c:pt idx="97">
                  <c:v>0.2187982238126584</c:v>
                </c:pt>
                <c:pt idx="98">
                  <c:v>0.3102088465334627</c:v>
                </c:pt>
                <c:pt idx="99">
                  <c:v>0.18402576098416912</c:v>
                </c:pt>
                <c:pt idx="100">
                  <c:v>0.48477802291932126</c:v>
                </c:pt>
                <c:pt idx="101">
                  <c:v>0.42949021624036771</c:v>
                </c:pt>
                <c:pt idx="102">
                  <c:v>0.49103936894684497</c:v>
                </c:pt>
                <c:pt idx="103">
                  <c:v>0.49344709129768877</c:v>
                </c:pt>
                <c:pt idx="104">
                  <c:v>0.45773356235387425</c:v>
                </c:pt>
                <c:pt idx="105">
                  <c:v>0.38056052535274265</c:v>
                </c:pt>
                <c:pt idx="106">
                  <c:v>0.51610640280716913</c:v>
                </c:pt>
                <c:pt idx="107">
                  <c:v>0.46964935064635011</c:v>
                </c:pt>
                <c:pt idx="108">
                  <c:v>0.5473432777976962</c:v>
                </c:pt>
                <c:pt idx="109">
                  <c:v>0.65213795077220427</c:v>
                </c:pt>
                <c:pt idx="110">
                  <c:v>0.45598811122767213</c:v>
                </c:pt>
                <c:pt idx="111">
                  <c:v>0.53689268051512617</c:v>
                </c:pt>
                <c:pt idx="112">
                  <c:v>0.38120600098891372</c:v>
                </c:pt>
                <c:pt idx="113">
                  <c:v>0.49027505733769572</c:v>
                </c:pt>
                <c:pt idx="114">
                  <c:v>0.45618064573375811</c:v>
                </c:pt>
                <c:pt idx="115">
                  <c:v>0.31220286923809271</c:v>
                </c:pt>
                <c:pt idx="116">
                  <c:v>0.54773635140170907</c:v>
                </c:pt>
                <c:pt idx="117">
                  <c:v>0.31393588099459263</c:v>
                </c:pt>
                <c:pt idx="118">
                  <c:v>0.42669925556283916</c:v>
                </c:pt>
                <c:pt idx="119">
                  <c:v>0.57261112463247532</c:v>
                </c:pt>
                <c:pt idx="120">
                  <c:v>0.52215078426237793</c:v>
                </c:pt>
                <c:pt idx="121">
                  <c:v>0.55197408591500197</c:v>
                </c:pt>
                <c:pt idx="122">
                  <c:v>0.32445790112704032</c:v>
                </c:pt>
                <c:pt idx="123">
                  <c:v>0.52530808391657791</c:v>
                </c:pt>
                <c:pt idx="124">
                  <c:v>0.47835045608764309</c:v>
                </c:pt>
                <c:pt idx="125">
                  <c:v>0.5693282958677357</c:v>
                </c:pt>
                <c:pt idx="126">
                  <c:v>0.35498184751916095</c:v>
                </c:pt>
                <c:pt idx="127">
                  <c:v>0.32916537312450289</c:v>
                </c:pt>
                <c:pt idx="128">
                  <c:v>0.50665259168353516</c:v>
                </c:pt>
                <c:pt idx="129">
                  <c:v>0.49277291650249733</c:v>
                </c:pt>
                <c:pt idx="130">
                  <c:v>0.50831014742344327</c:v>
                </c:pt>
                <c:pt idx="131">
                  <c:v>0.42024463256707356</c:v>
                </c:pt>
                <c:pt idx="132">
                  <c:v>0.36791650745128007</c:v>
                </c:pt>
                <c:pt idx="133">
                  <c:v>0.35872250791887411</c:v>
                </c:pt>
                <c:pt idx="134">
                  <c:v>0.37486733546523349</c:v>
                </c:pt>
                <c:pt idx="135">
                  <c:v>0.469748287950707</c:v>
                </c:pt>
                <c:pt idx="136">
                  <c:v>0.42035272804730178</c:v>
                </c:pt>
                <c:pt idx="137">
                  <c:v>0.38754121071497516</c:v>
                </c:pt>
                <c:pt idx="138">
                  <c:v>0.45927605034955021</c:v>
                </c:pt>
                <c:pt idx="139">
                  <c:v>0.34315432333934748</c:v>
                </c:pt>
                <c:pt idx="140">
                  <c:v>0.50855985301738349</c:v>
                </c:pt>
                <c:pt idx="141">
                  <c:v>0.56225853967127548</c:v>
                </c:pt>
                <c:pt idx="142">
                  <c:v>0.44147333894707874</c:v>
                </c:pt>
                <c:pt idx="143">
                  <c:v>0.4854478503835275</c:v>
                </c:pt>
                <c:pt idx="144">
                  <c:v>0.41529305764478869</c:v>
                </c:pt>
                <c:pt idx="145">
                  <c:v>0.36043262996434894</c:v>
                </c:pt>
                <c:pt idx="146">
                  <c:v>0.46494207416368122</c:v>
                </c:pt>
                <c:pt idx="147">
                  <c:v>0.44404095865449006</c:v>
                </c:pt>
                <c:pt idx="148">
                  <c:v>0.4388206581447191</c:v>
                </c:pt>
                <c:pt idx="149">
                  <c:v>0.52650092327129594</c:v>
                </c:pt>
                <c:pt idx="150">
                  <c:v>0.53185463791621346</c:v>
                </c:pt>
                <c:pt idx="151">
                  <c:v>0.4918167780406979</c:v>
                </c:pt>
                <c:pt idx="152">
                  <c:v>0.42862499852661218</c:v>
                </c:pt>
                <c:pt idx="153">
                  <c:v>0.47990318640228191</c:v>
                </c:pt>
                <c:pt idx="154">
                  <c:v>0.34836012035478536</c:v>
                </c:pt>
                <c:pt idx="155">
                  <c:v>0.3776083170707219</c:v>
                </c:pt>
                <c:pt idx="156">
                  <c:v>0.41269125939306384</c:v>
                </c:pt>
                <c:pt idx="157">
                  <c:v>0.42441689800786747</c:v>
                </c:pt>
                <c:pt idx="158">
                  <c:v>0.33870609036017302</c:v>
                </c:pt>
                <c:pt idx="159">
                  <c:v>0.44915205499994904</c:v>
                </c:pt>
                <c:pt idx="160">
                  <c:v>0.45884811152726407</c:v>
                </c:pt>
                <c:pt idx="161">
                  <c:v>0.3397327909450133</c:v>
                </c:pt>
                <c:pt idx="162">
                  <c:v>0.43946995050626075</c:v>
                </c:pt>
                <c:pt idx="163">
                  <c:v>0.36767360048221348</c:v>
                </c:pt>
                <c:pt idx="164">
                  <c:v>0.46622834469151136</c:v>
                </c:pt>
                <c:pt idx="165">
                  <c:v>0.48493185802239719</c:v>
                </c:pt>
                <c:pt idx="166">
                  <c:v>0.34769877305445207</c:v>
                </c:pt>
                <c:pt idx="167">
                  <c:v>0.52829873344398259</c:v>
                </c:pt>
                <c:pt idx="168">
                  <c:v>0.52396554028283215</c:v>
                </c:pt>
                <c:pt idx="169">
                  <c:v>0.3352026407333934</c:v>
                </c:pt>
                <c:pt idx="170">
                  <c:v>0.4344465645249655</c:v>
                </c:pt>
                <c:pt idx="171">
                  <c:v>0.35696195637373712</c:v>
                </c:pt>
                <c:pt idx="172">
                  <c:v>0.38688432071943135</c:v>
                </c:pt>
                <c:pt idx="173">
                  <c:v>0.44711369558060821</c:v>
                </c:pt>
                <c:pt idx="174">
                  <c:v>0.50136416275060725</c:v>
                </c:pt>
                <c:pt idx="175">
                  <c:v>0.28047248542310221</c:v>
                </c:pt>
                <c:pt idx="176">
                  <c:v>0.4032962568199327</c:v>
                </c:pt>
                <c:pt idx="177">
                  <c:v>0.39992779432994996</c:v>
                </c:pt>
                <c:pt idx="178">
                  <c:v>0.5220647188006865</c:v>
                </c:pt>
                <c:pt idx="179">
                  <c:v>0.4350534231277714</c:v>
                </c:pt>
                <c:pt idx="180">
                  <c:v>0.40848964210815997</c:v>
                </c:pt>
                <c:pt idx="181">
                  <c:v>0.60658525036347333</c:v>
                </c:pt>
                <c:pt idx="182">
                  <c:v>0.40061965006123096</c:v>
                </c:pt>
                <c:pt idx="183">
                  <c:v>0.5657175776218607</c:v>
                </c:pt>
                <c:pt idx="184">
                  <c:v>0.43677400337335781</c:v>
                </c:pt>
                <c:pt idx="185">
                  <c:v>0.36080591228245884</c:v>
                </c:pt>
                <c:pt idx="186">
                  <c:v>0.53330245925979547</c:v>
                </c:pt>
                <c:pt idx="187">
                  <c:v>0.25485249165881574</c:v>
                </c:pt>
                <c:pt idx="188">
                  <c:v>0.31654676396544462</c:v>
                </c:pt>
                <c:pt idx="189">
                  <c:v>0.65246973739318903</c:v>
                </c:pt>
                <c:pt idx="190">
                  <c:v>0.51360862179928968</c:v>
                </c:pt>
                <c:pt idx="191">
                  <c:v>0.49134637113577323</c:v>
                </c:pt>
                <c:pt idx="192">
                  <c:v>0.52246706595651615</c:v>
                </c:pt>
                <c:pt idx="193">
                  <c:v>0.33821478254857346</c:v>
                </c:pt>
                <c:pt idx="194">
                  <c:v>0.50315900640249944</c:v>
                </c:pt>
                <c:pt idx="195">
                  <c:v>0.34794718485301446</c:v>
                </c:pt>
                <c:pt idx="196">
                  <c:v>0.43136453015737902</c:v>
                </c:pt>
                <c:pt idx="197">
                  <c:v>0.45028980209153818</c:v>
                </c:pt>
                <c:pt idx="198">
                  <c:v>0.49031265891509052</c:v>
                </c:pt>
                <c:pt idx="199">
                  <c:v>0.47482528214572411</c:v>
                </c:pt>
                <c:pt idx="200">
                  <c:v>0.33209778933421569</c:v>
                </c:pt>
                <c:pt idx="201">
                  <c:v>0.48248263765603999</c:v>
                </c:pt>
                <c:pt idx="202">
                  <c:v>0.42090515469945766</c:v>
                </c:pt>
                <c:pt idx="203">
                  <c:v>0.4015767311081514</c:v>
                </c:pt>
                <c:pt idx="204">
                  <c:v>0.3972948980679385</c:v>
                </c:pt>
                <c:pt idx="205">
                  <c:v>0.36029112772737371</c:v>
                </c:pt>
                <c:pt idx="206">
                  <c:v>0.52133404761560642</c:v>
                </c:pt>
                <c:pt idx="207">
                  <c:v>0.39633147723550605</c:v>
                </c:pt>
                <c:pt idx="208">
                  <c:v>0.21721518358862629</c:v>
                </c:pt>
                <c:pt idx="209">
                  <c:v>0.36527911420565312</c:v>
                </c:pt>
                <c:pt idx="210">
                  <c:v>0.46431287157649009</c:v>
                </c:pt>
                <c:pt idx="211">
                  <c:v>0.34926707026931308</c:v>
                </c:pt>
                <c:pt idx="212">
                  <c:v>0.45599249587705337</c:v>
                </c:pt>
                <c:pt idx="213">
                  <c:v>0.46221212680280965</c:v>
                </c:pt>
                <c:pt idx="214">
                  <c:v>0.32116826975563417</c:v>
                </c:pt>
                <c:pt idx="215">
                  <c:v>0.57718020299876127</c:v>
                </c:pt>
                <c:pt idx="216">
                  <c:v>0.27731983329119025</c:v>
                </c:pt>
                <c:pt idx="217">
                  <c:v>0.40737010443431509</c:v>
                </c:pt>
                <c:pt idx="218">
                  <c:v>0.44762943508685249</c:v>
                </c:pt>
                <c:pt idx="219">
                  <c:v>0.45260447143371085</c:v>
                </c:pt>
                <c:pt idx="220">
                  <c:v>0.487810719276069</c:v>
                </c:pt>
                <c:pt idx="221">
                  <c:v>0.31041425021198793</c:v>
                </c:pt>
                <c:pt idx="222">
                  <c:v>0.32122630275828362</c:v>
                </c:pt>
                <c:pt idx="223">
                  <c:v>0.3876688398036548</c:v>
                </c:pt>
                <c:pt idx="224">
                  <c:v>0.4216966475135005</c:v>
                </c:pt>
                <c:pt idx="225">
                  <c:v>0.40634056141277747</c:v>
                </c:pt>
                <c:pt idx="226">
                  <c:v>0.41841019183462308</c:v>
                </c:pt>
                <c:pt idx="227">
                  <c:v>0.48985395310576135</c:v>
                </c:pt>
                <c:pt idx="228">
                  <c:v>0.50657500907386888</c:v>
                </c:pt>
                <c:pt idx="229">
                  <c:v>0.34631518853409249</c:v>
                </c:pt>
                <c:pt idx="230">
                  <c:v>0.48834417900767485</c:v>
                </c:pt>
                <c:pt idx="231">
                  <c:v>0.32189072765911564</c:v>
                </c:pt>
                <c:pt idx="232">
                  <c:v>0.3883815269247396</c:v>
                </c:pt>
                <c:pt idx="233">
                  <c:v>0.41091075430133156</c:v>
                </c:pt>
                <c:pt idx="234">
                  <c:v>0.52063195873091361</c:v>
                </c:pt>
                <c:pt idx="235">
                  <c:v>0.50304913811284235</c:v>
                </c:pt>
                <c:pt idx="236">
                  <c:v>0.2592074602190288</c:v>
                </c:pt>
                <c:pt idx="237">
                  <c:v>0.46435687534750025</c:v>
                </c:pt>
                <c:pt idx="238">
                  <c:v>0.34811176214293627</c:v>
                </c:pt>
                <c:pt idx="239">
                  <c:v>0.44719402365553201</c:v>
                </c:pt>
                <c:pt idx="240">
                  <c:v>0.33440521265105355</c:v>
                </c:pt>
                <c:pt idx="241">
                  <c:v>0.30519273487253556</c:v>
                </c:pt>
                <c:pt idx="242">
                  <c:v>0.36856678737530424</c:v>
                </c:pt>
                <c:pt idx="243">
                  <c:v>0.33499089530216086</c:v>
                </c:pt>
                <c:pt idx="244">
                  <c:v>0.46510136722535828</c:v>
                </c:pt>
                <c:pt idx="245">
                  <c:v>0.48571066199149132</c:v>
                </c:pt>
                <c:pt idx="246">
                  <c:v>0.54874780058921602</c:v>
                </c:pt>
                <c:pt idx="247">
                  <c:v>0.48685679161718531</c:v>
                </c:pt>
                <c:pt idx="248">
                  <c:v>0.42838246590686985</c:v>
                </c:pt>
                <c:pt idx="249">
                  <c:v>0.46319440950331275</c:v>
                </c:pt>
              </c:numCache>
            </c:numRef>
          </c:yVal>
          <c:smooth val="0"/>
          <c:extLst>
            <c:ext xmlns:c16="http://schemas.microsoft.com/office/drawing/2014/chart" uri="{C3380CC4-5D6E-409C-BE32-E72D297353CC}">
              <c16:uniqueId val="{00000000-AB29-4484-9AFA-E554A44C2F55}"/>
            </c:ext>
          </c:extLst>
        </c:ser>
        <c:dLbls>
          <c:showLegendKey val="0"/>
          <c:showVal val="0"/>
          <c:showCatName val="0"/>
          <c:showSerName val="0"/>
          <c:showPercent val="0"/>
          <c:showBubbleSize val="0"/>
        </c:dLbls>
        <c:axId val="1935516191"/>
        <c:axId val="1935517631"/>
      </c:scatterChart>
      <c:valAx>
        <c:axId val="1935516191"/>
        <c:scaling>
          <c:orientation val="minMax"/>
          <c:max val="1000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Spending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17631"/>
        <c:crosses val="autoZero"/>
        <c:crossBetween val="midCat"/>
      </c:valAx>
      <c:valAx>
        <c:axId val="193551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Female Spending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161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 Athlete % x Female Spending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Correlation!$D$1</c:f>
              <c:strCache>
                <c:ptCount val="1"/>
                <c:pt idx="0">
                  <c:v>Female spend %</c:v>
                </c:pt>
              </c:strCache>
            </c:strRef>
          </c:tx>
          <c:spPr>
            <a:ln w="25400" cap="rnd">
              <a:noFill/>
              <a:round/>
            </a:ln>
            <a:effectLst/>
          </c:spPr>
          <c:marker>
            <c:symbol val="circle"/>
            <c:size val="5"/>
            <c:spPr>
              <a:solidFill>
                <a:srgbClr val="637CEF"/>
              </a:solidFill>
              <a:ln w="9525">
                <a:solidFill>
                  <a:srgbClr val="637CEF"/>
                </a:solidFill>
              </a:ln>
              <a:effectLst/>
            </c:spPr>
          </c:marker>
          <c:xVal>
            <c:numRef>
              <c:f>Correlation!$B$2:$B$503</c:f>
              <c:numCache>
                <c:formatCode>0.00%</c:formatCode>
                <c:ptCount val="502"/>
                <c:pt idx="0">
                  <c:v>0.54200000000000004</c:v>
                </c:pt>
                <c:pt idx="1">
                  <c:v>0.6</c:v>
                </c:pt>
                <c:pt idx="2">
                  <c:v>0.46299999999999997</c:v>
                </c:pt>
                <c:pt idx="3">
                  <c:v>0.47500000000000003</c:v>
                </c:pt>
                <c:pt idx="4">
                  <c:v>0.498</c:v>
                </c:pt>
                <c:pt idx="5">
                  <c:v>0.40299999999999997</c:v>
                </c:pt>
                <c:pt idx="6">
                  <c:v>0.42</c:v>
                </c:pt>
                <c:pt idx="7">
                  <c:v>0.32100000000000001</c:v>
                </c:pt>
                <c:pt idx="8">
                  <c:v>0.34500000000000003</c:v>
                </c:pt>
                <c:pt idx="9">
                  <c:v>0.35299999999999998</c:v>
                </c:pt>
                <c:pt idx="10">
                  <c:v>0.54900000000000004</c:v>
                </c:pt>
                <c:pt idx="11">
                  <c:v>0.435</c:v>
                </c:pt>
                <c:pt idx="12">
                  <c:v>0.45900000000000002</c:v>
                </c:pt>
                <c:pt idx="13">
                  <c:v>0.45900000000000002</c:v>
                </c:pt>
                <c:pt idx="14">
                  <c:v>0.56299999999999994</c:v>
                </c:pt>
                <c:pt idx="15">
                  <c:v>0.378</c:v>
                </c:pt>
                <c:pt idx="16">
                  <c:v>0.44700000000000006</c:v>
                </c:pt>
                <c:pt idx="17">
                  <c:v>0.312</c:v>
                </c:pt>
                <c:pt idx="18">
                  <c:v>0.434</c:v>
                </c:pt>
                <c:pt idx="19">
                  <c:v>0.53100000000000003</c:v>
                </c:pt>
                <c:pt idx="20">
                  <c:v>0.40700000000000003</c:v>
                </c:pt>
                <c:pt idx="21">
                  <c:v>0.40200000000000002</c:v>
                </c:pt>
                <c:pt idx="22">
                  <c:v>0.46</c:v>
                </c:pt>
                <c:pt idx="23">
                  <c:v>0.39200000000000002</c:v>
                </c:pt>
                <c:pt idx="24">
                  <c:v>0.503</c:v>
                </c:pt>
                <c:pt idx="25">
                  <c:v>0.33</c:v>
                </c:pt>
                <c:pt idx="26">
                  <c:v>0.46899999999999997</c:v>
                </c:pt>
                <c:pt idx="27">
                  <c:v>0.44400000000000001</c:v>
                </c:pt>
                <c:pt idx="28">
                  <c:v>0.5</c:v>
                </c:pt>
                <c:pt idx="29">
                  <c:v>0.52200000000000002</c:v>
                </c:pt>
                <c:pt idx="30">
                  <c:v>0.50700000000000001</c:v>
                </c:pt>
                <c:pt idx="31">
                  <c:v>0.59200000000000008</c:v>
                </c:pt>
                <c:pt idx="32">
                  <c:v>0.52</c:v>
                </c:pt>
                <c:pt idx="33">
                  <c:v>0.47000000000000003</c:v>
                </c:pt>
                <c:pt idx="34">
                  <c:v>0.33299999999999996</c:v>
                </c:pt>
                <c:pt idx="35">
                  <c:v>0.376</c:v>
                </c:pt>
                <c:pt idx="36">
                  <c:v>0.38900000000000001</c:v>
                </c:pt>
                <c:pt idx="37">
                  <c:v>0.41600000000000004</c:v>
                </c:pt>
                <c:pt idx="38">
                  <c:v>0.47000000000000003</c:v>
                </c:pt>
                <c:pt idx="39">
                  <c:v>0.43200000000000005</c:v>
                </c:pt>
                <c:pt idx="40">
                  <c:v>0.45600000000000002</c:v>
                </c:pt>
                <c:pt idx="41">
                  <c:v>0.438</c:v>
                </c:pt>
                <c:pt idx="42">
                  <c:v>0.28199999999999997</c:v>
                </c:pt>
                <c:pt idx="43">
                  <c:v>0.45200000000000001</c:v>
                </c:pt>
                <c:pt idx="44">
                  <c:v>0.48399999999999999</c:v>
                </c:pt>
                <c:pt idx="45">
                  <c:v>0.49299999999999999</c:v>
                </c:pt>
                <c:pt idx="46">
                  <c:v>0.53</c:v>
                </c:pt>
                <c:pt idx="47">
                  <c:v>0.45799999999999996</c:v>
                </c:pt>
                <c:pt idx="48">
                  <c:v>0.39900000000000002</c:v>
                </c:pt>
                <c:pt idx="49">
                  <c:v>0.47500000000000003</c:v>
                </c:pt>
                <c:pt idx="50">
                  <c:v>0.48799999999999999</c:v>
                </c:pt>
                <c:pt idx="51">
                  <c:v>0.53900000000000003</c:v>
                </c:pt>
                <c:pt idx="52">
                  <c:v>0.46100000000000002</c:v>
                </c:pt>
                <c:pt idx="53">
                  <c:v>0.46200000000000002</c:v>
                </c:pt>
                <c:pt idx="54">
                  <c:v>0.433</c:v>
                </c:pt>
                <c:pt idx="55">
                  <c:v>0.502</c:v>
                </c:pt>
                <c:pt idx="56">
                  <c:v>0.42100000000000004</c:v>
                </c:pt>
                <c:pt idx="57">
                  <c:v>0.57100000000000006</c:v>
                </c:pt>
                <c:pt idx="58">
                  <c:v>0.36499999999999999</c:v>
                </c:pt>
                <c:pt idx="59">
                  <c:v>0.5</c:v>
                </c:pt>
                <c:pt idx="60">
                  <c:v>0.46899999999999997</c:v>
                </c:pt>
                <c:pt idx="61">
                  <c:v>0.47899999999999998</c:v>
                </c:pt>
                <c:pt idx="62">
                  <c:v>0.42100000000000004</c:v>
                </c:pt>
                <c:pt idx="63">
                  <c:v>0.32100000000000001</c:v>
                </c:pt>
                <c:pt idx="64">
                  <c:v>0.38400000000000001</c:v>
                </c:pt>
                <c:pt idx="65">
                  <c:v>0.433</c:v>
                </c:pt>
                <c:pt idx="66">
                  <c:v>0.51500000000000001</c:v>
                </c:pt>
                <c:pt idx="67">
                  <c:v>0.38300000000000001</c:v>
                </c:pt>
                <c:pt idx="68">
                  <c:v>0.49</c:v>
                </c:pt>
                <c:pt idx="69">
                  <c:v>0.46899999999999997</c:v>
                </c:pt>
                <c:pt idx="70">
                  <c:v>0.34700000000000003</c:v>
                </c:pt>
                <c:pt idx="71">
                  <c:v>0.48700000000000004</c:v>
                </c:pt>
                <c:pt idx="72">
                  <c:v>0.45600000000000002</c:v>
                </c:pt>
                <c:pt idx="73">
                  <c:v>0.43</c:v>
                </c:pt>
                <c:pt idx="74">
                  <c:v>0.39500000000000002</c:v>
                </c:pt>
                <c:pt idx="75">
                  <c:v>0.35499999999999998</c:v>
                </c:pt>
                <c:pt idx="76">
                  <c:v>0.55400000000000005</c:v>
                </c:pt>
                <c:pt idx="77">
                  <c:v>0.48399999999999999</c:v>
                </c:pt>
                <c:pt idx="78">
                  <c:v>0.26300000000000001</c:v>
                </c:pt>
                <c:pt idx="79">
                  <c:v>0.45</c:v>
                </c:pt>
                <c:pt idx="80">
                  <c:v>0.51100000000000001</c:v>
                </c:pt>
                <c:pt idx="81">
                  <c:v>0.39200000000000002</c:v>
                </c:pt>
                <c:pt idx="82">
                  <c:v>0.37200000000000005</c:v>
                </c:pt>
                <c:pt idx="83">
                  <c:v>0.48499999999999999</c:v>
                </c:pt>
                <c:pt idx="84">
                  <c:v>0.46299999999999997</c:v>
                </c:pt>
                <c:pt idx="85">
                  <c:v>0.47000000000000003</c:v>
                </c:pt>
                <c:pt idx="86">
                  <c:v>0.47399999999999998</c:v>
                </c:pt>
                <c:pt idx="87">
                  <c:v>0.57399999999999995</c:v>
                </c:pt>
                <c:pt idx="88">
                  <c:v>0.51400000000000001</c:v>
                </c:pt>
                <c:pt idx="89">
                  <c:v>0.44</c:v>
                </c:pt>
                <c:pt idx="90">
                  <c:v>0.42600000000000005</c:v>
                </c:pt>
                <c:pt idx="91">
                  <c:v>0.48200000000000004</c:v>
                </c:pt>
                <c:pt idx="92">
                  <c:v>0.48600000000000004</c:v>
                </c:pt>
                <c:pt idx="93">
                  <c:v>0.43700000000000006</c:v>
                </c:pt>
                <c:pt idx="94">
                  <c:v>0.49700000000000005</c:v>
                </c:pt>
                <c:pt idx="95">
                  <c:v>0.42200000000000004</c:v>
                </c:pt>
                <c:pt idx="96">
                  <c:v>0.32299999999999995</c:v>
                </c:pt>
                <c:pt idx="97">
                  <c:v>0.51500000000000001</c:v>
                </c:pt>
                <c:pt idx="98">
                  <c:v>0.36499999999999999</c:v>
                </c:pt>
                <c:pt idx="99">
                  <c:v>0.39100000000000001</c:v>
                </c:pt>
                <c:pt idx="100">
                  <c:v>0.49700000000000005</c:v>
                </c:pt>
                <c:pt idx="101">
                  <c:v>0.51500000000000001</c:v>
                </c:pt>
                <c:pt idx="102">
                  <c:v>0.58600000000000008</c:v>
                </c:pt>
                <c:pt idx="103">
                  <c:v>0.498</c:v>
                </c:pt>
                <c:pt idx="104">
                  <c:v>0.41000000000000003</c:v>
                </c:pt>
                <c:pt idx="105">
                  <c:v>0.58200000000000007</c:v>
                </c:pt>
                <c:pt idx="106">
                  <c:v>0.48200000000000004</c:v>
                </c:pt>
                <c:pt idx="107">
                  <c:v>0.42100000000000004</c:v>
                </c:pt>
                <c:pt idx="108">
                  <c:v>0.504</c:v>
                </c:pt>
                <c:pt idx="109">
                  <c:v>0.51900000000000002</c:v>
                </c:pt>
                <c:pt idx="110">
                  <c:v>0.54600000000000004</c:v>
                </c:pt>
                <c:pt idx="111">
                  <c:v>0.56600000000000006</c:v>
                </c:pt>
                <c:pt idx="112">
                  <c:v>0.39200000000000002</c:v>
                </c:pt>
                <c:pt idx="113">
                  <c:v>0.43</c:v>
                </c:pt>
                <c:pt idx="114">
                  <c:v>0.42899999999999999</c:v>
                </c:pt>
                <c:pt idx="115">
                  <c:v>0.26900000000000002</c:v>
                </c:pt>
                <c:pt idx="116">
                  <c:v>0.46899999999999997</c:v>
                </c:pt>
                <c:pt idx="117">
                  <c:v>0.46600000000000003</c:v>
                </c:pt>
                <c:pt idx="118">
                  <c:v>0.39200000000000002</c:v>
                </c:pt>
                <c:pt idx="119">
                  <c:v>0.61699999999999999</c:v>
                </c:pt>
                <c:pt idx="120">
                  <c:v>0.46600000000000003</c:v>
                </c:pt>
                <c:pt idx="121">
                  <c:v>0.49</c:v>
                </c:pt>
                <c:pt idx="122">
                  <c:v>0.33</c:v>
                </c:pt>
                <c:pt idx="123">
                  <c:v>0.46899999999999997</c:v>
                </c:pt>
                <c:pt idx="124">
                  <c:v>0.39900000000000002</c:v>
                </c:pt>
                <c:pt idx="125">
                  <c:v>0.52500000000000002</c:v>
                </c:pt>
                <c:pt idx="126">
                  <c:v>0.30399999999999999</c:v>
                </c:pt>
                <c:pt idx="127">
                  <c:v>0.58899999999999997</c:v>
                </c:pt>
                <c:pt idx="128">
                  <c:v>0.49100000000000005</c:v>
                </c:pt>
                <c:pt idx="129">
                  <c:v>0.48899999999999999</c:v>
                </c:pt>
                <c:pt idx="130">
                  <c:v>0.45700000000000002</c:v>
                </c:pt>
                <c:pt idx="131">
                  <c:v>0.45700000000000002</c:v>
                </c:pt>
                <c:pt idx="132">
                  <c:v>0.33100000000000002</c:v>
                </c:pt>
                <c:pt idx="133">
                  <c:v>0.29600000000000004</c:v>
                </c:pt>
                <c:pt idx="134">
                  <c:v>0.49700000000000005</c:v>
                </c:pt>
                <c:pt idx="135">
                  <c:v>0.46200000000000002</c:v>
                </c:pt>
                <c:pt idx="136">
                  <c:v>0.33799999999999997</c:v>
                </c:pt>
                <c:pt idx="137">
                  <c:v>0.34100000000000003</c:v>
                </c:pt>
                <c:pt idx="138">
                  <c:v>0.41000000000000003</c:v>
                </c:pt>
                <c:pt idx="139">
                  <c:v>0.24600000000000002</c:v>
                </c:pt>
                <c:pt idx="140">
                  <c:v>0.40899999999999997</c:v>
                </c:pt>
                <c:pt idx="141">
                  <c:v>0.503</c:v>
                </c:pt>
                <c:pt idx="142">
                  <c:v>0.45</c:v>
                </c:pt>
                <c:pt idx="143">
                  <c:v>0.51200000000000001</c:v>
                </c:pt>
                <c:pt idx="144">
                  <c:v>0.378</c:v>
                </c:pt>
                <c:pt idx="145">
                  <c:v>0.36299999999999999</c:v>
                </c:pt>
                <c:pt idx="146">
                  <c:v>0.54300000000000004</c:v>
                </c:pt>
                <c:pt idx="147">
                  <c:v>0.42600000000000005</c:v>
                </c:pt>
                <c:pt idx="148">
                  <c:v>0.44900000000000001</c:v>
                </c:pt>
                <c:pt idx="149">
                  <c:v>0.39100000000000001</c:v>
                </c:pt>
                <c:pt idx="150">
                  <c:v>0.51800000000000002</c:v>
                </c:pt>
                <c:pt idx="151">
                  <c:v>0.46899999999999997</c:v>
                </c:pt>
                <c:pt idx="152">
                  <c:v>0.42899999999999999</c:v>
                </c:pt>
                <c:pt idx="153">
                  <c:v>0.501</c:v>
                </c:pt>
                <c:pt idx="154">
                  <c:v>0.379</c:v>
                </c:pt>
                <c:pt idx="155">
                  <c:v>0.311</c:v>
                </c:pt>
                <c:pt idx="156">
                  <c:v>0.52</c:v>
                </c:pt>
                <c:pt idx="157">
                  <c:v>0.45400000000000001</c:v>
                </c:pt>
                <c:pt idx="158">
                  <c:v>0.36700000000000005</c:v>
                </c:pt>
                <c:pt idx="159">
                  <c:v>0.46100000000000002</c:v>
                </c:pt>
                <c:pt idx="160">
                  <c:v>0.47000000000000003</c:v>
                </c:pt>
                <c:pt idx="161">
                  <c:v>0.314</c:v>
                </c:pt>
                <c:pt idx="162">
                  <c:v>0.436</c:v>
                </c:pt>
                <c:pt idx="163">
                  <c:v>0.35399999999999998</c:v>
                </c:pt>
                <c:pt idx="164">
                  <c:v>0.44700000000000006</c:v>
                </c:pt>
                <c:pt idx="165">
                  <c:v>0.49200000000000005</c:v>
                </c:pt>
                <c:pt idx="166">
                  <c:v>0.46200000000000002</c:v>
                </c:pt>
                <c:pt idx="167">
                  <c:v>0.51900000000000002</c:v>
                </c:pt>
                <c:pt idx="168">
                  <c:v>0.45700000000000002</c:v>
                </c:pt>
                <c:pt idx="169">
                  <c:v>0.35700000000000004</c:v>
                </c:pt>
                <c:pt idx="170">
                  <c:v>0.36799999999999999</c:v>
                </c:pt>
                <c:pt idx="171">
                  <c:v>0.38100000000000001</c:v>
                </c:pt>
                <c:pt idx="172">
                  <c:v>0.433</c:v>
                </c:pt>
                <c:pt idx="173">
                  <c:v>0.47200000000000003</c:v>
                </c:pt>
                <c:pt idx="174">
                  <c:v>0.50700000000000001</c:v>
                </c:pt>
                <c:pt idx="175">
                  <c:v>0.50600000000000001</c:v>
                </c:pt>
                <c:pt idx="176">
                  <c:v>0.36499999999999999</c:v>
                </c:pt>
                <c:pt idx="177">
                  <c:v>0.40399999999999997</c:v>
                </c:pt>
                <c:pt idx="178">
                  <c:v>0.45299999999999996</c:v>
                </c:pt>
                <c:pt idx="179">
                  <c:v>0.435</c:v>
                </c:pt>
                <c:pt idx="180">
                  <c:v>0.42799999999999999</c:v>
                </c:pt>
                <c:pt idx="181">
                  <c:v>0.58799999999999997</c:v>
                </c:pt>
                <c:pt idx="182">
                  <c:v>0.40399999999999997</c:v>
                </c:pt>
                <c:pt idx="183">
                  <c:v>0.52500000000000002</c:v>
                </c:pt>
                <c:pt idx="184">
                  <c:v>0.41899999999999998</c:v>
                </c:pt>
                <c:pt idx="185">
                  <c:v>0.33500000000000002</c:v>
                </c:pt>
                <c:pt idx="186">
                  <c:v>0.503</c:v>
                </c:pt>
                <c:pt idx="187">
                  <c:v>0.36399999999999999</c:v>
                </c:pt>
                <c:pt idx="188">
                  <c:v>0.27100000000000002</c:v>
                </c:pt>
                <c:pt idx="189">
                  <c:v>0.57799999999999996</c:v>
                </c:pt>
                <c:pt idx="190">
                  <c:v>0.47600000000000003</c:v>
                </c:pt>
                <c:pt idx="191">
                  <c:v>0.504</c:v>
                </c:pt>
                <c:pt idx="192">
                  <c:v>0.57899999999999996</c:v>
                </c:pt>
                <c:pt idx="193">
                  <c:v>0.52700000000000002</c:v>
                </c:pt>
                <c:pt idx="194">
                  <c:v>0.42499999999999999</c:v>
                </c:pt>
                <c:pt idx="195">
                  <c:v>0.34399999999999997</c:v>
                </c:pt>
                <c:pt idx="196">
                  <c:v>0.47200000000000003</c:v>
                </c:pt>
                <c:pt idx="197">
                  <c:v>0.46500000000000002</c:v>
                </c:pt>
                <c:pt idx="198">
                  <c:v>0.46399999999999997</c:v>
                </c:pt>
                <c:pt idx="199">
                  <c:v>0.438</c:v>
                </c:pt>
                <c:pt idx="200">
                  <c:v>0.33799999999999997</c:v>
                </c:pt>
                <c:pt idx="201">
                  <c:v>0.41600000000000004</c:v>
                </c:pt>
                <c:pt idx="202">
                  <c:v>0.434</c:v>
                </c:pt>
                <c:pt idx="203">
                  <c:v>0.33299999999999996</c:v>
                </c:pt>
                <c:pt idx="204">
                  <c:v>0.36600000000000005</c:v>
                </c:pt>
                <c:pt idx="205">
                  <c:v>0.47299999999999998</c:v>
                </c:pt>
                <c:pt idx="206">
                  <c:v>0.46799999999999997</c:v>
                </c:pt>
                <c:pt idx="207">
                  <c:v>0.32299999999999995</c:v>
                </c:pt>
                <c:pt idx="208">
                  <c:v>0.4</c:v>
                </c:pt>
                <c:pt idx="209">
                  <c:v>0.318</c:v>
                </c:pt>
                <c:pt idx="210">
                  <c:v>0.32500000000000001</c:v>
                </c:pt>
                <c:pt idx="211">
                  <c:v>0.45600000000000002</c:v>
                </c:pt>
                <c:pt idx="212">
                  <c:v>0.46700000000000003</c:v>
                </c:pt>
                <c:pt idx="213">
                  <c:v>0.375</c:v>
                </c:pt>
                <c:pt idx="214">
                  <c:v>0.28999999999999998</c:v>
                </c:pt>
                <c:pt idx="215">
                  <c:v>0.61</c:v>
                </c:pt>
                <c:pt idx="216">
                  <c:v>0.5</c:v>
                </c:pt>
                <c:pt idx="217">
                  <c:v>0.36299999999999999</c:v>
                </c:pt>
                <c:pt idx="218">
                  <c:v>0.42299999999999999</c:v>
                </c:pt>
                <c:pt idx="219">
                  <c:v>0.45799999999999996</c:v>
                </c:pt>
                <c:pt idx="220">
                  <c:v>0.38799999999999996</c:v>
                </c:pt>
                <c:pt idx="221">
                  <c:v>0.443</c:v>
                </c:pt>
                <c:pt idx="222">
                  <c:v>0.47700000000000004</c:v>
                </c:pt>
                <c:pt idx="223">
                  <c:v>0.312</c:v>
                </c:pt>
                <c:pt idx="224">
                  <c:v>0.42399999999999999</c:v>
                </c:pt>
                <c:pt idx="225">
                  <c:v>0.36499999999999999</c:v>
                </c:pt>
                <c:pt idx="226">
                  <c:v>0.38100000000000001</c:v>
                </c:pt>
                <c:pt idx="227">
                  <c:v>0.47600000000000003</c:v>
                </c:pt>
                <c:pt idx="228">
                  <c:v>0.42499999999999999</c:v>
                </c:pt>
                <c:pt idx="229">
                  <c:v>0.35000000000000003</c:v>
                </c:pt>
                <c:pt idx="230">
                  <c:v>0.47500000000000003</c:v>
                </c:pt>
                <c:pt idx="231">
                  <c:v>0.29499999999999998</c:v>
                </c:pt>
                <c:pt idx="232">
                  <c:v>0.35200000000000004</c:v>
                </c:pt>
                <c:pt idx="233">
                  <c:v>0.498</c:v>
                </c:pt>
                <c:pt idx="234">
                  <c:v>0.42200000000000004</c:v>
                </c:pt>
                <c:pt idx="235">
                  <c:v>0.49399999999999999</c:v>
                </c:pt>
                <c:pt idx="236">
                  <c:v>0.51200000000000001</c:v>
                </c:pt>
                <c:pt idx="237">
                  <c:v>0.54</c:v>
                </c:pt>
                <c:pt idx="238">
                  <c:v>0.32299999999999995</c:v>
                </c:pt>
                <c:pt idx="239">
                  <c:v>0.47299999999999998</c:v>
                </c:pt>
                <c:pt idx="240">
                  <c:v>0.44200000000000006</c:v>
                </c:pt>
                <c:pt idx="241">
                  <c:v>0.41600000000000004</c:v>
                </c:pt>
                <c:pt idx="242">
                  <c:v>0.501</c:v>
                </c:pt>
                <c:pt idx="243">
                  <c:v>0.44400000000000001</c:v>
                </c:pt>
                <c:pt idx="244">
                  <c:v>0.53400000000000003</c:v>
                </c:pt>
                <c:pt idx="245">
                  <c:v>0.47000000000000003</c:v>
                </c:pt>
                <c:pt idx="246">
                  <c:v>0.49700000000000005</c:v>
                </c:pt>
                <c:pt idx="247">
                  <c:v>0.50700000000000001</c:v>
                </c:pt>
                <c:pt idx="248">
                  <c:v>0.45100000000000001</c:v>
                </c:pt>
                <c:pt idx="249">
                  <c:v>0.52900000000000003</c:v>
                </c:pt>
              </c:numCache>
            </c:numRef>
          </c:xVal>
          <c:yVal>
            <c:numRef>
              <c:f>Correlation!$D$2:$D$503</c:f>
              <c:numCache>
                <c:formatCode>0.00%</c:formatCode>
                <c:ptCount val="502"/>
                <c:pt idx="0">
                  <c:v>0.54392475697610165</c:v>
                </c:pt>
                <c:pt idx="1">
                  <c:v>0.5755838419425201</c:v>
                </c:pt>
                <c:pt idx="2">
                  <c:v>0.54803203751864704</c:v>
                </c:pt>
                <c:pt idx="3">
                  <c:v>0.28834284573905783</c:v>
                </c:pt>
                <c:pt idx="4">
                  <c:v>0.4039700675203865</c:v>
                </c:pt>
                <c:pt idx="5">
                  <c:v>0.40293258869603504</c:v>
                </c:pt>
                <c:pt idx="6">
                  <c:v>0.31285010452651379</c:v>
                </c:pt>
                <c:pt idx="7">
                  <c:v>0.31673335501675737</c:v>
                </c:pt>
                <c:pt idx="8">
                  <c:v>0.35031314602555197</c:v>
                </c:pt>
                <c:pt idx="9">
                  <c:v>0.32327898753658579</c:v>
                </c:pt>
                <c:pt idx="10">
                  <c:v>0.56119502980990976</c:v>
                </c:pt>
                <c:pt idx="11">
                  <c:v>0.36915638304728449</c:v>
                </c:pt>
                <c:pt idx="12">
                  <c:v>0.51914669663656399</c:v>
                </c:pt>
                <c:pt idx="13">
                  <c:v>0.49496387723931673</c:v>
                </c:pt>
                <c:pt idx="14">
                  <c:v>0.49685897763011944</c:v>
                </c:pt>
                <c:pt idx="15">
                  <c:v>0.42188163959371389</c:v>
                </c:pt>
                <c:pt idx="16">
                  <c:v>0.48259132645062058</c:v>
                </c:pt>
                <c:pt idx="17">
                  <c:v>0.37684148746256779</c:v>
                </c:pt>
                <c:pt idx="18">
                  <c:v>0.4391490453490039</c:v>
                </c:pt>
                <c:pt idx="19">
                  <c:v>0.47653541443310454</c:v>
                </c:pt>
                <c:pt idx="20">
                  <c:v>0.4457311633199279</c:v>
                </c:pt>
                <c:pt idx="21">
                  <c:v>0.52485879843619432</c:v>
                </c:pt>
                <c:pt idx="22">
                  <c:v>0.27270936940916285</c:v>
                </c:pt>
                <c:pt idx="23">
                  <c:v>0.38296445158286413</c:v>
                </c:pt>
                <c:pt idx="24">
                  <c:v>0.53611581962489852</c:v>
                </c:pt>
                <c:pt idx="25">
                  <c:v>0.36495447235923889</c:v>
                </c:pt>
                <c:pt idx="26">
                  <c:v>0.35471041416063559</c:v>
                </c:pt>
                <c:pt idx="27">
                  <c:v>0.49486880313664627</c:v>
                </c:pt>
                <c:pt idx="28">
                  <c:v>0.59432735639524681</c:v>
                </c:pt>
                <c:pt idx="29">
                  <c:v>0.40922263706917333</c:v>
                </c:pt>
                <c:pt idx="30">
                  <c:v>0.53256116642149076</c:v>
                </c:pt>
                <c:pt idx="31">
                  <c:v>0.55166286514633023</c:v>
                </c:pt>
                <c:pt idx="32">
                  <c:v>0.4997208290865145</c:v>
                </c:pt>
                <c:pt idx="33">
                  <c:v>0.24496433362456954</c:v>
                </c:pt>
                <c:pt idx="34">
                  <c:v>0.3082572365545504</c:v>
                </c:pt>
                <c:pt idx="35">
                  <c:v>0.40398995734504667</c:v>
                </c:pt>
                <c:pt idx="36">
                  <c:v>0.34715255057870159</c:v>
                </c:pt>
                <c:pt idx="37">
                  <c:v>0.39738950089597835</c:v>
                </c:pt>
                <c:pt idx="38">
                  <c:v>0.26897353762448861</c:v>
                </c:pt>
                <c:pt idx="39">
                  <c:v>0.4716168492384803</c:v>
                </c:pt>
                <c:pt idx="40">
                  <c:v>0.29261778314176046</c:v>
                </c:pt>
                <c:pt idx="41">
                  <c:v>0.51606959438214028</c:v>
                </c:pt>
                <c:pt idx="42">
                  <c:v>0.31469707442679734</c:v>
                </c:pt>
                <c:pt idx="43">
                  <c:v>0.54614296952133834</c:v>
                </c:pt>
                <c:pt idx="44">
                  <c:v>0.53813105413105411</c:v>
                </c:pt>
                <c:pt idx="45">
                  <c:v>0.50446460041482599</c:v>
                </c:pt>
                <c:pt idx="46">
                  <c:v>0.58409810237340631</c:v>
                </c:pt>
                <c:pt idx="47">
                  <c:v>0.51520826920585006</c:v>
                </c:pt>
                <c:pt idx="48">
                  <c:v>0.40470511294789069</c:v>
                </c:pt>
                <c:pt idx="49">
                  <c:v>0.49659858343558422</c:v>
                </c:pt>
                <c:pt idx="50">
                  <c:v>0.25677233050539505</c:v>
                </c:pt>
                <c:pt idx="51">
                  <c:v>0.51713551975359107</c:v>
                </c:pt>
                <c:pt idx="52">
                  <c:v>0.50755949027732228</c:v>
                </c:pt>
                <c:pt idx="53">
                  <c:v>0.48403164214117195</c:v>
                </c:pt>
                <c:pt idx="54">
                  <c:v>0.26037420874743328</c:v>
                </c:pt>
                <c:pt idx="55">
                  <c:v>0.22690381839702814</c:v>
                </c:pt>
                <c:pt idx="56">
                  <c:v>0.47711346823509004</c:v>
                </c:pt>
                <c:pt idx="57">
                  <c:v>0.502801798147685</c:v>
                </c:pt>
                <c:pt idx="58">
                  <c:v>0.38441796440300469</c:v>
                </c:pt>
                <c:pt idx="59">
                  <c:v>0.38218342534145794</c:v>
                </c:pt>
                <c:pt idx="60">
                  <c:v>0.48998968446601943</c:v>
                </c:pt>
                <c:pt idx="61">
                  <c:v>0.43966177133066042</c:v>
                </c:pt>
                <c:pt idx="62">
                  <c:v>0.23571595827751146</c:v>
                </c:pt>
                <c:pt idx="63">
                  <c:v>0.33878832022849514</c:v>
                </c:pt>
                <c:pt idx="64">
                  <c:v>0.38608841584887249</c:v>
                </c:pt>
                <c:pt idx="65">
                  <c:v>0.43271146487032319</c:v>
                </c:pt>
                <c:pt idx="66">
                  <c:v>0.4780039158931581</c:v>
                </c:pt>
                <c:pt idx="67">
                  <c:v>0.37581285218805582</c:v>
                </c:pt>
                <c:pt idx="68">
                  <c:v>0.47869243585917254</c:v>
                </c:pt>
                <c:pt idx="69">
                  <c:v>0.50442932678844987</c:v>
                </c:pt>
                <c:pt idx="70">
                  <c:v>0.41017981763181655</c:v>
                </c:pt>
                <c:pt idx="71">
                  <c:v>0.44537164136987534</c:v>
                </c:pt>
                <c:pt idx="72">
                  <c:v>0.44578036669812632</c:v>
                </c:pt>
                <c:pt idx="73">
                  <c:v>0.33413668443888844</c:v>
                </c:pt>
                <c:pt idx="74">
                  <c:v>0.28716198837607182</c:v>
                </c:pt>
                <c:pt idx="75">
                  <c:v>0.34080678467778219</c:v>
                </c:pt>
                <c:pt idx="76">
                  <c:v>0.53388938555719467</c:v>
                </c:pt>
                <c:pt idx="77">
                  <c:v>0.43727681671346197</c:v>
                </c:pt>
                <c:pt idx="78">
                  <c:v>0.25820830214069107</c:v>
                </c:pt>
                <c:pt idx="79">
                  <c:v>0.47214280329130659</c:v>
                </c:pt>
                <c:pt idx="80">
                  <c:v>0.51073563732366323</c:v>
                </c:pt>
                <c:pt idx="81">
                  <c:v>0.36821867032115779</c:v>
                </c:pt>
                <c:pt idx="82">
                  <c:v>0.3850633873688396</c:v>
                </c:pt>
                <c:pt idx="83">
                  <c:v>0.42194464784784669</c:v>
                </c:pt>
                <c:pt idx="84">
                  <c:v>0.50060078504302097</c:v>
                </c:pt>
                <c:pt idx="85">
                  <c:v>0.49396559539458773</c:v>
                </c:pt>
                <c:pt idx="86">
                  <c:v>0.3804243785651984</c:v>
                </c:pt>
                <c:pt idx="87">
                  <c:v>0.50812867333855383</c:v>
                </c:pt>
                <c:pt idx="88">
                  <c:v>0.47231086952678697</c:v>
                </c:pt>
                <c:pt idx="89">
                  <c:v>0.50249517714602565</c:v>
                </c:pt>
                <c:pt idx="90">
                  <c:v>0.48548121706652431</c:v>
                </c:pt>
                <c:pt idx="91">
                  <c:v>0.46808587807387741</c:v>
                </c:pt>
                <c:pt idx="92">
                  <c:v>0.50654815494674943</c:v>
                </c:pt>
                <c:pt idx="93">
                  <c:v>0.44019298285921848</c:v>
                </c:pt>
                <c:pt idx="94">
                  <c:v>0.52127188831490845</c:v>
                </c:pt>
                <c:pt idx="95">
                  <c:v>0.37151148606156659</c:v>
                </c:pt>
                <c:pt idx="96">
                  <c:v>0.37382102240121201</c:v>
                </c:pt>
                <c:pt idx="97">
                  <c:v>0.2187982238126584</c:v>
                </c:pt>
                <c:pt idx="98">
                  <c:v>0.3102088465334627</c:v>
                </c:pt>
                <c:pt idx="99">
                  <c:v>0.18402576098416912</c:v>
                </c:pt>
                <c:pt idx="100">
                  <c:v>0.48477802291932126</c:v>
                </c:pt>
                <c:pt idx="101">
                  <c:v>0.42949021624036771</c:v>
                </c:pt>
                <c:pt idx="102">
                  <c:v>0.49103936894684497</c:v>
                </c:pt>
                <c:pt idx="103">
                  <c:v>0.49344709129768877</c:v>
                </c:pt>
                <c:pt idx="104">
                  <c:v>0.45773356235387425</c:v>
                </c:pt>
                <c:pt idx="105">
                  <c:v>0.38056052535274265</c:v>
                </c:pt>
                <c:pt idx="106">
                  <c:v>0.51610640280716913</c:v>
                </c:pt>
                <c:pt idx="107">
                  <c:v>0.46964935064635011</c:v>
                </c:pt>
                <c:pt idx="108">
                  <c:v>0.5473432777976962</c:v>
                </c:pt>
                <c:pt idx="109">
                  <c:v>0.65213795077220427</c:v>
                </c:pt>
                <c:pt idx="110">
                  <c:v>0.45598811122767213</c:v>
                </c:pt>
                <c:pt idx="111">
                  <c:v>0.53689268051512617</c:v>
                </c:pt>
                <c:pt idx="112">
                  <c:v>0.38120600098891372</c:v>
                </c:pt>
                <c:pt idx="113">
                  <c:v>0.49027505733769572</c:v>
                </c:pt>
                <c:pt idx="114">
                  <c:v>0.45618064573375811</c:v>
                </c:pt>
                <c:pt idx="115">
                  <c:v>0.31220286923809271</c:v>
                </c:pt>
                <c:pt idx="116">
                  <c:v>0.54773635140170907</c:v>
                </c:pt>
                <c:pt idx="117">
                  <c:v>0.31393588099459263</c:v>
                </c:pt>
                <c:pt idx="118">
                  <c:v>0.42669925556283916</c:v>
                </c:pt>
                <c:pt idx="119">
                  <c:v>0.57261112463247532</c:v>
                </c:pt>
                <c:pt idx="120">
                  <c:v>0.52215078426237793</c:v>
                </c:pt>
                <c:pt idx="121">
                  <c:v>0.55197408591500197</c:v>
                </c:pt>
                <c:pt idx="122">
                  <c:v>0.32445790112704032</c:v>
                </c:pt>
                <c:pt idx="123">
                  <c:v>0.52530808391657791</c:v>
                </c:pt>
                <c:pt idx="124">
                  <c:v>0.47835045608764309</c:v>
                </c:pt>
                <c:pt idx="125">
                  <c:v>0.5693282958677357</c:v>
                </c:pt>
                <c:pt idx="126">
                  <c:v>0.35498184751916095</c:v>
                </c:pt>
                <c:pt idx="127">
                  <c:v>0.32916537312450289</c:v>
                </c:pt>
                <c:pt idx="128">
                  <c:v>0.50665259168353516</c:v>
                </c:pt>
                <c:pt idx="129">
                  <c:v>0.49277291650249733</c:v>
                </c:pt>
                <c:pt idx="130">
                  <c:v>0.50831014742344327</c:v>
                </c:pt>
                <c:pt idx="131">
                  <c:v>0.42024463256707356</c:v>
                </c:pt>
                <c:pt idx="132">
                  <c:v>0.36791650745128007</c:v>
                </c:pt>
                <c:pt idx="133">
                  <c:v>0.35872250791887411</c:v>
                </c:pt>
                <c:pt idx="134">
                  <c:v>0.37486733546523349</c:v>
                </c:pt>
                <c:pt idx="135">
                  <c:v>0.469748287950707</c:v>
                </c:pt>
                <c:pt idx="136">
                  <c:v>0.42035272804730178</c:v>
                </c:pt>
                <c:pt idx="137">
                  <c:v>0.38754121071497516</c:v>
                </c:pt>
                <c:pt idx="138">
                  <c:v>0.45927605034955021</c:v>
                </c:pt>
                <c:pt idx="139">
                  <c:v>0.34315432333934748</c:v>
                </c:pt>
                <c:pt idx="140">
                  <c:v>0.50855985301738349</c:v>
                </c:pt>
                <c:pt idx="141">
                  <c:v>0.56225853967127548</c:v>
                </c:pt>
                <c:pt idx="142">
                  <c:v>0.44147333894707874</c:v>
                </c:pt>
                <c:pt idx="143">
                  <c:v>0.4854478503835275</c:v>
                </c:pt>
                <c:pt idx="144">
                  <c:v>0.41529305764478869</c:v>
                </c:pt>
                <c:pt idx="145">
                  <c:v>0.36043262996434894</c:v>
                </c:pt>
                <c:pt idx="146">
                  <c:v>0.46494207416368122</c:v>
                </c:pt>
                <c:pt idx="147">
                  <c:v>0.44404095865449006</c:v>
                </c:pt>
                <c:pt idx="148">
                  <c:v>0.4388206581447191</c:v>
                </c:pt>
                <c:pt idx="149">
                  <c:v>0.52650092327129594</c:v>
                </c:pt>
                <c:pt idx="150">
                  <c:v>0.53185463791621346</c:v>
                </c:pt>
                <c:pt idx="151">
                  <c:v>0.4918167780406979</c:v>
                </c:pt>
                <c:pt idx="152">
                  <c:v>0.42862499852661218</c:v>
                </c:pt>
                <c:pt idx="153">
                  <c:v>0.47990318640228191</c:v>
                </c:pt>
                <c:pt idx="154">
                  <c:v>0.34836012035478536</c:v>
                </c:pt>
                <c:pt idx="155">
                  <c:v>0.3776083170707219</c:v>
                </c:pt>
                <c:pt idx="156">
                  <c:v>0.41269125939306384</c:v>
                </c:pt>
                <c:pt idx="157">
                  <c:v>0.42441689800786747</c:v>
                </c:pt>
                <c:pt idx="158">
                  <c:v>0.33870609036017302</c:v>
                </c:pt>
                <c:pt idx="159">
                  <c:v>0.44915205499994904</c:v>
                </c:pt>
                <c:pt idx="160">
                  <c:v>0.45884811152726407</c:v>
                </c:pt>
                <c:pt idx="161">
                  <c:v>0.3397327909450133</c:v>
                </c:pt>
                <c:pt idx="162">
                  <c:v>0.43946995050626075</c:v>
                </c:pt>
                <c:pt idx="163">
                  <c:v>0.36767360048221348</c:v>
                </c:pt>
                <c:pt idx="164">
                  <c:v>0.46622834469151136</c:v>
                </c:pt>
                <c:pt idx="165">
                  <c:v>0.48493185802239719</c:v>
                </c:pt>
                <c:pt idx="166">
                  <c:v>0.34769877305445207</c:v>
                </c:pt>
                <c:pt idx="167">
                  <c:v>0.52829873344398259</c:v>
                </c:pt>
                <c:pt idx="168">
                  <c:v>0.52396554028283215</c:v>
                </c:pt>
                <c:pt idx="169">
                  <c:v>0.3352026407333934</c:v>
                </c:pt>
                <c:pt idx="170">
                  <c:v>0.4344465645249655</c:v>
                </c:pt>
                <c:pt idx="171">
                  <c:v>0.35696195637373712</c:v>
                </c:pt>
                <c:pt idx="172">
                  <c:v>0.38688432071943135</c:v>
                </c:pt>
                <c:pt idx="173">
                  <c:v>0.44711369558060821</c:v>
                </c:pt>
                <c:pt idx="174">
                  <c:v>0.50136416275060725</c:v>
                </c:pt>
                <c:pt idx="175">
                  <c:v>0.28047248542310221</c:v>
                </c:pt>
                <c:pt idx="176">
                  <c:v>0.4032962568199327</c:v>
                </c:pt>
                <c:pt idx="177">
                  <c:v>0.39992779432994996</c:v>
                </c:pt>
                <c:pt idx="178">
                  <c:v>0.5220647188006865</c:v>
                </c:pt>
                <c:pt idx="179">
                  <c:v>0.4350534231277714</c:v>
                </c:pt>
                <c:pt idx="180">
                  <c:v>0.40848964210815997</c:v>
                </c:pt>
                <c:pt idx="181">
                  <c:v>0.60658525036347333</c:v>
                </c:pt>
                <c:pt idx="182">
                  <c:v>0.40061965006123096</c:v>
                </c:pt>
                <c:pt idx="183">
                  <c:v>0.5657175776218607</c:v>
                </c:pt>
                <c:pt idx="184">
                  <c:v>0.43677400337335781</c:v>
                </c:pt>
                <c:pt idx="185">
                  <c:v>0.36080591228245884</c:v>
                </c:pt>
                <c:pt idx="186">
                  <c:v>0.53330245925979547</c:v>
                </c:pt>
                <c:pt idx="187">
                  <c:v>0.25485249165881574</c:v>
                </c:pt>
                <c:pt idx="188">
                  <c:v>0.31654676396544462</c:v>
                </c:pt>
                <c:pt idx="189">
                  <c:v>0.65246973739318903</c:v>
                </c:pt>
                <c:pt idx="190">
                  <c:v>0.51360862179928968</c:v>
                </c:pt>
                <c:pt idx="191">
                  <c:v>0.49134637113577323</c:v>
                </c:pt>
                <c:pt idx="192">
                  <c:v>0.52246706595651615</c:v>
                </c:pt>
                <c:pt idx="193">
                  <c:v>0.33821478254857346</c:v>
                </c:pt>
                <c:pt idx="194">
                  <c:v>0.50315900640249944</c:v>
                </c:pt>
                <c:pt idx="195">
                  <c:v>0.34794718485301446</c:v>
                </c:pt>
                <c:pt idx="196">
                  <c:v>0.43136453015737902</c:v>
                </c:pt>
                <c:pt idx="197">
                  <c:v>0.45028980209153818</c:v>
                </c:pt>
                <c:pt idx="198">
                  <c:v>0.49031265891509052</c:v>
                </c:pt>
                <c:pt idx="199">
                  <c:v>0.47482528214572411</c:v>
                </c:pt>
                <c:pt idx="200">
                  <c:v>0.33209778933421569</c:v>
                </c:pt>
                <c:pt idx="201">
                  <c:v>0.48248263765603999</c:v>
                </c:pt>
                <c:pt idx="202">
                  <c:v>0.42090515469945766</c:v>
                </c:pt>
                <c:pt idx="203">
                  <c:v>0.4015767311081514</c:v>
                </c:pt>
                <c:pt idx="204">
                  <c:v>0.3972948980679385</c:v>
                </c:pt>
                <c:pt idx="205">
                  <c:v>0.36029112772737371</c:v>
                </c:pt>
                <c:pt idx="206">
                  <c:v>0.52133404761560642</c:v>
                </c:pt>
                <c:pt idx="207">
                  <c:v>0.39633147723550605</c:v>
                </c:pt>
                <c:pt idx="208">
                  <c:v>0.21721518358862629</c:v>
                </c:pt>
                <c:pt idx="209">
                  <c:v>0.36527911420565312</c:v>
                </c:pt>
                <c:pt idx="210">
                  <c:v>0.46431287157649009</c:v>
                </c:pt>
                <c:pt idx="211">
                  <c:v>0.34926707026931308</c:v>
                </c:pt>
                <c:pt idx="212">
                  <c:v>0.45599249587705337</c:v>
                </c:pt>
                <c:pt idx="213">
                  <c:v>0.46221212680280965</c:v>
                </c:pt>
                <c:pt idx="214">
                  <c:v>0.32116826975563417</c:v>
                </c:pt>
                <c:pt idx="215">
                  <c:v>0.57718020299876127</c:v>
                </c:pt>
                <c:pt idx="216">
                  <c:v>0.27731983329119025</c:v>
                </c:pt>
                <c:pt idx="217">
                  <c:v>0.40737010443431509</c:v>
                </c:pt>
                <c:pt idx="218">
                  <c:v>0.44762943508685249</c:v>
                </c:pt>
                <c:pt idx="219">
                  <c:v>0.45260447143371085</c:v>
                </c:pt>
                <c:pt idx="220">
                  <c:v>0.487810719276069</c:v>
                </c:pt>
                <c:pt idx="221">
                  <c:v>0.31041425021198793</c:v>
                </c:pt>
                <c:pt idx="222">
                  <c:v>0.32122630275828362</c:v>
                </c:pt>
                <c:pt idx="223">
                  <c:v>0.3876688398036548</c:v>
                </c:pt>
                <c:pt idx="224">
                  <c:v>0.4216966475135005</c:v>
                </c:pt>
                <c:pt idx="225">
                  <c:v>0.40634056141277747</c:v>
                </c:pt>
                <c:pt idx="226">
                  <c:v>0.41841019183462308</c:v>
                </c:pt>
                <c:pt idx="227">
                  <c:v>0.48985395310576135</c:v>
                </c:pt>
                <c:pt idx="228">
                  <c:v>0.50657500907386888</c:v>
                </c:pt>
                <c:pt idx="229">
                  <c:v>0.34631518853409249</c:v>
                </c:pt>
                <c:pt idx="230">
                  <c:v>0.48834417900767485</c:v>
                </c:pt>
                <c:pt idx="231">
                  <c:v>0.32189072765911564</c:v>
                </c:pt>
                <c:pt idx="232">
                  <c:v>0.3883815269247396</c:v>
                </c:pt>
                <c:pt idx="233">
                  <c:v>0.41091075430133156</c:v>
                </c:pt>
                <c:pt idx="234">
                  <c:v>0.52063195873091361</c:v>
                </c:pt>
                <c:pt idx="235">
                  <c:v>0.50304913811284235</c:v>
                </c:pt>
                <c:pt idx="236">
                  <c:v>0.2592074602190288</c:v>
                </c:pt>
                <c:pt idx="237">
                  <c:v>0.46435687534750025</c:v>
                </c:pt>
                <c:pt idx="238">
                  <c:v>0.34811176214293627</c:v>
                </c:pt>
                <c:pt idx="239">
                  <c:v>0.44719402365553201</c:v>
                </c:pt>
                <c:pt idx="240">
                  <c:v>0.33440521265105355</c:v>
                </c:pt>
                <c:pt idx="241">
                  <c:v>0.30519273487253556</c:v>
                </c:pt>
                <c:pt idx="242">
                  <c:v>0.36856678737530424</c:v>
                </c:pt>
                <c:pt idx="243">
                  <c:v>0.33499089530216086</c:v>
                </c:pt>
                <c:pt idx="244">
                  <c:v>0.46510136722535828</c:v>
                </c:pt>
                <c:pt idx="245">
                  <c:v>0.48571066199149132</c:v>
                </c:pt>
                <c:pt idx="246">
                  <c:v>0.54874780058921602</c:v>
                </c:pt>
                <c:pt idx="247">
                  <c:v>0.48685679161718531</c:v>
                </c:pt>
                <c:pt idx="248">
                  <c:v>0.42838246590686985</c:v>
                </c:pt>
                <c:pt idx="249">
                  <c:v>0.46319440950331275</c:v>
                </c:pt>
              </c:numCache>
            </c:numRef>
          </c:yVal>
          <c:smooth val="0"/>
          <c:extLst>
            <c:ext xmlns:c16="http://schemas.microsoft.com/office/drawing/2014/chart" uri="{C3380CC4-5D6E-409C-BE32-E72D297353CC}">
              <c16:uniqueId val="{00000000-4DDF-4BA4-BCA4-634514259B6A}"/>
            </c:ext>
          </c:extLst>
        </c:ser>
        <c:dLbls>
          <c:showLegendKey val="0"/>
          <c:showVal val="0"/>
          <c:showCatName val="0"/>
          <c:showSerName val="0"/>
          <c:showPercent val="0"/>
          <c:showBubbleSize val="0"/>
        </c:dLbls>
        <c:axId val="699332616"/>
        <c:axId val="2050715655"/>
      </c:scatterChart>
      <c:valAx>
        <c:axId val="699332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Female Athlete %</a:t>
                </a:r>
              </a:p>
            </c:rich>
          </c:tx>
          <c:layout>
            <c:manualLayout>
              <c:xMode val="edge"/>
              <c:yMode val="edge"/>
              <c:x val="0.43972175231025806"/>
              <c:y val="0.8790465842241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15655"/>
        <c:crosses val="autoZero"/>
        <c:crossBetween val="midCat"/>
      </c:valAx>
      <c:valAx>
        <c:axId val="2050715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Female Spending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326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Residuals V Athletes</c:v>
          </c:tx>
          <c:spPr>
            <a:ln w="25400" cap="rnd">
              <a:noFill/>
              <a:round/>
            </a:ln>
            <a:effectLst/>
          </c:spPr>
          <c:marker>
            <c:symbol val="circle"/>
            <c:size val="5"/>
            <c:spPr>
              <a:solidFill>
                <a:schemeClr val="accent1"/>
              </a:solidFill>
              <a:ln w="9525">
                <a:solidFill>
                  <a:schemeClr val="accent1"/>
                </a:solidFill>
              </a:ln>
              <a:effectLst/>
            </c:spPr>
          </c:marker>
          <c:xVal>
            <c:numRef>
              <c:f>'Equal Variance Check'!$B$2:$B$251</c:f>
              <c:numCache>
                <c:formatCode>General</c:formatCode>
                <c:ptCount val="250"/>
                <c:pt idx="0">
                  <c:v>299</c:v>
                </c:pt>
                <c:pt idx="1">
                  <c:v>320</c:v>
                </c:pt>
                <c:pt idx="2">
                  <c:v>201</c:v>
                </c:pt>
                <c:pt idx="3">
                  <c:v>731</c:v>
                </c:pt>
                <c:pt idx="4">
                  <c:v>611</c:v>
                </c:pt>
                <c:pt idx="5">
                  <c:v>186</c:v>
                </c:pt>
                <c:pt idx="6">
                  <c:v>583</c:v>
                </c:pt>
                <c:pt idx="7">
                  <c:v>608</c:v>
                </c:pt>
                <c:pt idx="8">
                  <c:v>730</c:v>
                </c:pt>
                <c:pt idx="9">
                  <c:v>363</c:v>
                </c:pt>
                <c:pt idx="10">
                  <c:v>213</c:v>
                </c:pt>
                <c:pt idx="11">
                  <c:v>579</c:v>
                </c:pt>
                <c:pt idx="12">
                  <c:v>194</c:v>
                </c:pt>
                <c:pt idx="13">
                  <c:v>414</c:v>
                </c:pt>
                <c:pt idx="14">
                  <c:v>206</c:v>
                </c:pt>
                <c:pt idx="15">
                  <c:v>649</c:v>
                </c:pt>
                <c:pt idx="16">
                  <c:v>237</c:v>
                </c:pt>
                <c:pt idx="17">
                  <c:v>520</c:v>
                </c:pt>
                <c:pt idx="18">
                  <c:v>749</c:v>
                </c:pt>
                <c:pt idx="19">
                  <c:v>224</c:v>
                </c:pt>
                <c:pt idx="20">
                  <c:v>560</c:v>
                </c:pt>
                <c:pt idx="21">
                  <c:v>594</c:v>
                </c:pt>
                <c:pt idx="22">
                  <c:v>898</c:v>
                </c:pt>
                <c:pt idx="23">
                  <c:v>755</c:v>
                </c:pt>
                <c:pt idx="24">
                  <c:v>354</c:v>
                </c:pt>
                <c:pt idx="25">
                  <c:v>330</c:v>
                </c:pt>
                <c:pt idx="26">
                  <c:v>482</c:v>
                </c:pt>
                <c:pt idx="27">
                  <c:v>496</c:v>
                </c:pt>
                <c:pt idx="28">
                  <c:v>276</c:v>
                </c:pt>
                <c:pt idx="29">
                  <c:v>475</c:v>
                </c:pt>
                <c:pt idx="30">
                  <c:v>381</c:v>
                </c:pt>
                <c:pt idx="31">
                  <c:v>341</c:v>
                </c:pt>
                <c:pt idx="32">
                  <c:v>479</c:v>
                </c:pt>
                <c:pt idx="33">
                  <c:v>415</c:v>
                </c:pt>
                <c:pt idx="34">
                  <c:v>472</c:v>
                </c:pt>
                <c:pt idx="35">
                  <c:v>386</c:v>
                </c:pt>
                <c:pt idx="36">
                  <c:v>416</c:v>
                </c:pt>
                <c:pt idx="37">
                  <c:v>452</c:v>
                </c:pt>
                <c:pt idx="38">
                  <c:v>525</c:v>
                </c:pt>
                <c:pt idx="39">
                  <c:v>259</c:v>
                </c:pt>
                <c:pt idx="40">
                  <c:v>752</c:v>
                </c:pt>
                <c:pt idx="41">
                  <c:v>457</c:v>
                </c:pt>
                <c:pt idx="42">
                  <c:v>554</c:v>
                </c:pt>
                <c:pt idx="43">
                  <c:v>272</c:v>
                </c:pt>
                <c:pt idx="44">
                  <c:v>337</c:v>
                </c:pt>
                <c:pt idx="45">
                  <c:v>203</c:v>
                </c:pt>
                <c:pt idx="46">
                  <c:v>215</c:v>
                </c:pt>
                <c:pt idx="47">
                  <c:v>421</c:v>
                </c:pt>
                <c:pt idx="48">
                  <c:v>795</c:v>
                </c:pt>
                <c:pt idx="49">
                  <c:v>501</c:v>
                </c:pt>
                <c:pt idx="50">
                  <c:v>720</c:v>
                </c:pt>
                <c:pt idx="51">
                  <c:v>321</c:v>
                </c:pt>
                <c:pt idx="52">
                  <c:v>464</c:v>
                </c:pt>
                <c:pt idx="53">
                  <c:v>292</c:v>
                </c:pt>
                <c:pt idx="54">
                  <c:v>608</c:v>
                </c:pt>
                <c:pt idx="55">
                  <c:v>606</c:v>
                </c:pt>
                <c:pt idx="56">
                  <c:v>454</c:v>
                </c:pt>
                <c:pt idx="57">
                  <c:v>240</c:v>
                </c:pt>
                <c:pt idx="58">
                  <c:v>559</c:v>
                </c:pt>
                <c:pt idx="59">
                  <c:v>480</c:v>
                </c:pt>
                <c:pt idx="60">
                  <c:v>128</c:v>
                </c:pt>
                <c:pt idx="61">
                  <c:v>194</c:v>
                </c:pt>
                <c:pt idx="62">
                  <c:v>796</c:v>
                </c:pt>
                <c:pt idx="63">
                  <c:v>371</c:v>
                </c:pt>
                <c:pt idx="64">
                  <c:v>596</c:v>
                </c:pt>
                <c:pt idx="65">
                  <c:v>314</c:v>
                </c:pt>
                <c:pt idx="66">
                  <c:v>427</c:v>
                </c:pt>
                <c:pt idx="67">
                  <c:v>460</c:v>
                </c:pt>
                <c:pt idx="68">
                  <c:v>402</c:v>
                </c:pt>
                <c:pt idx="69">
                  <c:v>113</c:v>
                </c:pt>
                <c:pt idx="70">
                  <c:v>398</c:v>
                </c:pt>
                <c:pt idx="71">
                  <c:v>737</c:v>
                </c:pt>
                <c:pt idx="72">
                  <c:v>796</c:v>
                </c:pt>
                <c:pt idx="73">
                  <c:v>377</c:v>
                </c:pt>
                <c:pt idx="74">
                  <c:v>481</c:v>
                </c:pt>
                <c:pt idx="75">
                  <c:v>811</c:v>
                </c:pt>
                <c:pt idx="76">
                  <c:v>298</c:v>
                </c:pt>
                <c:pt idx="77">
                  <c:v>386</c:v>
                </c:pt>
                <c:pt idx="78">
                  <c:v>358</c:v>
                </c:pt>
                <c:pt idx="79">
                  <c:v>447</c:v>
                </c:pt>
                <c:pt idx="80">
                  <c:v>499</c:v>
                </c:pt>
                <c:pt idx="81">
                  <c:v>474</c:v>
                </c:pt>
                <c:pt idx="82">
                  <c:v>549</c:v>
                </c:pt>
                <c:pt idx="83">
                  <c:v>571</c:v>
                </c:pt>
                <c:pt idx="84">
                  <c:v>320</c:v>
                </c:pt>
                <c:pt idx="85">
                  <c:v>368</c:v>
                </c:pt>
                <c:pt idx="86">
                  <c:v>1007</c:v>
                </c:pt>
                <c:pt idx="87">
                  <c:v>514</c:v>
                </c:pt>
                <c:pt idx="88">
                  <c:v>693</c:v>
                </c:pt>
                <c:pt idx="89">
                  <c:v>477</c:v>
                </c:pt>
                <c:pt idx="90">
                  <c:v>223</c:v>
                </c:pt>
                <c:pt idx="91">
                  <c:v>450</c:v>
                </c:pt>
                <c:pt idx="92">
                  <c:v>426</c:v>
                </c:pt>
                <c:pt idx="93">
                  <c:v>574</c:v>
                </c:pt>
                <c:pt idx="94">
                  <c:v>330</c:v>
                </c:pt>
                <c:pt idx="95">
                  <c:v>460</c:v>
                </c:pt>
                <c:pt idx="96">
                  <c:v>906</c:v>
                </c:pt>
                <c:pt idx="97">
                  <c:v>425</c:v>
                </c:pt>
                <c:pt idx="98">
                  <c:v>274</c:v>
                </c:pt>
                <c:pt idx="99">
                  <c:v>545</c:v>
                </c:pt>
                <c:pt idx="100">
                  <c:v>354</c:v>
                </c:pt>
                <c:pt idx="101">
                  <c:v>359</c:v>
                </c:pt>
                <c:pt idx="102">
                  <c:v>353</c:v>
                </c:pt>
                <c:pt idx="103">
                  <c:v>321</c:v>
                </c:pt>
                <c:pt idx="104">
                  <c:v>502</c:v>
                </c:pt>
                <c:pt idx="105">
                  <c:v>488</c:v>
                </c:pt>
                <c:pt idx="106">
                  <c:v>446</c:v>
                </c:pt>
                <c:pt idx="107">
                  <c:v>608</c:v>
                </c:pt>
                <c:pt idx="108">
                  <c:v>450</c:v>
                </c:pt>
                <c:pt idx="109">
                  <c:v>451</c:v>
                </c:pt>
                <c:pt idx="110">
                  <c:v>183</c:v>
                </c:pt>
                <c:pt idx="111">
                  <c:v>546</c:v>
                </c:pt>
                <c:pt idx="112">
                  <c:v>505</c:v>
                </c:pt>
                <c:pt idx="113">
                  <c:v>221</c:v>
                </c:pt>
                <c:pt idx="114">
                  <c:v>448</c:v>
                </c:pt>
                <c:pt idx="115">
                  <c:v>386</c:v>
                </c:pt>
                <c:pt idx="116">
                  <c:v>471</c:v>
                </c:pt>
                <c:pt idx="117">
                  <c:v>509</c:v>
                </c:pt>
                <c:pt idx="118">
                  <c:v>482</c:v>
                </c:pt>
                <c:pt idx="119">
                  <c:v>227</c:v>
                </c:pt>
                <c:pt idx="120">
                  <c:v>292</c:v>
                </c:pt>
                <c:pt idx="121">
                  <c:v>255</c:v>
                </c:pt>
                <c:pt idx="122">
                  <c:v>933</c:v>
                </c:pt>
                <c:pt idx="123">
                  <c:v>337</c:v>
                </c:pt>
                <c:pt idx="124">
                  <c:v>333</c:v>
                </c:pt>
                <c:pt idx="125">
                  <c:v>402</c:v>
                </c:pt>
                <c:pt idx="126">
                  <c:v>46</c:v>
                </c:pt>
                <c:pt idx="127">
                  <c:v>627</c:v>
                </c:pt>
                <c:pt idx="128">
                  <c:v>216</c:v>
                </c:pt>
                <c:pt idx="129">
                  <c:v>364</c:v>
                </c:pt>
                <c:pt idx="130">
                  <c:v>313</c:v>
                </c:pt>
                <c:pt idx="131">
                  <c:v>685</c:v>
                </c:pt>
                <c:pt idx="132">
                  <c:v>685</c:v>
                </c:pt>
                <c:pt idx="133">
                  <c:v>324</c:v>
                </c:pt>
                <c:pt idx="134">
                  <c:v>443</c:v>
                </c:pt>
                <c:pt idx="135">
                  <c:v>264</c:v>
                </c:pt>
                <c:pt idx="136">
                  <c:v>769</c:v>
                </c:pt>
                <c:pt idx="137">
                  <c:v>545</c:v>
                </c:pt>
                <c:pt idx="138">
                  <c:v>605</c:v>
                </c:pt>
                <c:pt idx="139">
                  <c:v>211</c:v>
                </c:pt>
                <c:pt idx="140">
                  <c:v>308</c:v>
                </c:pt>
                <c:pt idx="141">
                  <c:v>165</c:v>
                </c:pt>
                <c:pt idx="142">
                  <c:v>744</c:v>
                </c:pt>
                <c:pt idx="143">
                  <c:v>383</c:v>
                </c:pt>
                <c:pt idx="144">
                  <c:v>407</c:v>
                </c:pt>
                <c:pt idx="145">
                  <c:v>821</c:v>
                </c:pt>
                <c:pt idx="146">
                  <c:v>530</c:v>
                </c:pt>
                <c:pt idx="147">
                  <c:v>737</c:v>
                </c:pt>
                <c:pt idx="148">
                  <c:v>461</c:v>
                </c:pt>
                <c:pt idx="149">
                  <c:v>274</c:v>
                </c:pt>
                <c:pt idx="150">
                  <c:v>313</c:v>
                </c:pt>
                <c:pt idx="151">
                  <c:v>593</c:v>
                </c:pt>
                <c:pt idx="152">
                  <c:v>448</c:v>
                </c:pt>
                <c:pt idx="153">
                  <c:v>495</c:v>
                </c:pt>
                <c:pt idx="154">
                  <c:v>364</c:v>
                </c:pt>
                <c:pt idx="155">
                  <c:v>280</c:v>
                </c:pt>
                <c:pt idx="156">
                  <c:v>885</c:v>
                </c:pt>
                <c:pt idx="157">
                  <c:v>722</c:v>
                </c:pt>
                <c:pt idx="158">
                  <c:v>676</c:v>
                </c:pt>
                <c:pt idx="159">
                  <c:v>419</c:v>
                </c:pt>
                <c:pt idx="160">
                  <c:v>268</c:v>
                </c:pt>
                <c:pt idx="161">
                  <c:v>277</c:v>
                </c:pt>
                <c:pt idx="162">
                  <c:v>367</c:v>
                </c:pt>
                <c:pt idx="163">
                  <c:v>461</c:v>
                </c:pt>
                <c:pt idx="164">
                  <c:v>586</c:v>
                </c:pt>
                <c:pt idx="165">
                  <c:v>492</c:v>
                </c:pt>
                <c:pt idx="166">
                  <c:v>917</c:v>
                </c:pt>
                <c:pt idx="167">
                  <c:v>385</c:v>
                </c:pt>
                <c:pt idx="168">
                  <c:v>254</c:v>
                </c:pt>
                <c:pt idx="169">
                  <c:v>465</c:v>
                </c:pt>
                <c:pt idx="170">
                  <c:v>427</c:v>
                </c:pt>
                <c:pt idx="171">
                  <c:v>472</c:v>
                </c:pt>
                <c:pt idx="172">
                  <c:v>203</c:v>
                </c:pt>
                <c:pt idx="173">
                  <c:v>496</c:v>
                </c:pt>
                <c:pt idx="174">
                  <c:v>424</c:v>
                </c:pt>
                <c:pt idx="175">
                  <c:v>480</c:v>
                </c:pt>
                <c:pt idx="176">
                  <c:v>616</c:v>
                </c:pt>
                <c:pt idx="177">
                  <c:v>795</c:v>
                </c:pt>
                <c:pt idx="178">
                  <c:v>505</c:v>
                </c:pt>
                <c:pt idx="179">
                  <c:v>596</c:v>
                </c:pt>
                <c:pt idx="180">
                  <c:v>608</c:v>
                </c:pt>
                <c:pt idx="181">
                  <c:v>228</c:v>
                </c:pt>
                <c:pt idx="182">
                  <c:v>661</c:v>
                </c:pt>
                <c:pt idx="183">
                  <c:v>299</c:v>
                </c:pt>
                <c:pt idx="184">
                  <c:v>248</c:v>
                </c:pt>
                <c:pt idx="185">
                  <c:v>559</c:v>
                </c:pt>
                <c:pt idx="186">
                  <c:v>362</c:v>
                </c:pt>
                <c:pt idx="187">
                  <c:v>272</c:v>
                </c:pt>
                <c:pt idx="188">
                  <c:v>473</c:v>
                </c:pt>
                <c:pt idx="189">
                  <c:v>270</c:v>
                </c:pt>
                <c:pt idx="190">
                  <c:v>431</c:v>
                </c:pt>
                <c:pt idx="191">
                  <c:v>240</c:v>
                </c:pt>
                <c:pt idx="192">
                  <c:v>449</c:v>
                </c:pt>
                <c:pt idx="193">
                  <c:v>461</c:v>
                </c:pt>
                <c:pt idx="194">
                  <c:v>315</c:v>
                </c:pt>
                <c:pt idx="195">
                  <c:v>694</c:v>
                </c:pt>
                <c:pt idx="196">
                  <c:v>517</c:v>
                </c:pt>
                <c:pt idx="197">
                  <c:v>767</c:v>
                </c:pt>
                <c:pt idx="198">
                  <c:v>500</c:v>
                </c:pt>
                <c:pt idx="199">
                  <c:v>468</c:v>
                </c:pt>
                <c:pt idx="200">
                  <c:v>473</c:v>
                </c:pt>
                <c:pt idx="201">
                  <c:v>586</c:v>
                </c:pt>
                <c:pt idx="202">
                  <c:v>666</c:v>
                </c:pt>
                <c:pt idx="203">
                  <c:v>234</c:v>
                </c:pt>
                <c:pt idx="204">
                  <c:v>666</c:v>
                </c:pt>
                <c:pt idx="205">
                  <c:v>438</c:v>
                </c:pt>
                <c:pt idx="206">
                  <c:v>346</c:v>
                </c:pt>
                <c:pt idx="207">
                  <c:v>495</c:v>
                </c:pt>
                <c:pt idx="208">
                  <c:v>417</c:v>
                </c:pt>
                <c:pt idx="209">
                  <c:v>302</c:v>
                </c:pt>
                <c:pt idx="210">
                  <c:v>302</c:v>
                </c:pt>
                <c:pt idx="211">
                  <c:v>1054</c:v>
                </c:pt>
                <c:pt idx="212">
                  <c:v>330</c:v>
                </c:pt>
                <c:pt idx="213">
                  <c:v>261</c:v>
                </c:pt>
                <c:pt idx="214">
                  <c:v>362</c:v>
                </c:pt>
                <c:pt idx="215">
                  <c:v>172</c:v>
                </c:pt>
                <c:pt idx="216">
                  <c:v>746</c:v>
                </c:pt>
                <c:pt idx="217">
                  <c:v>600</c:v>
                </c:pt>
                <c:pt idx="218">
                  <c:v>400</c:v>
                </c:pt>
                <c:pt idx="219">
                  <c:v>530</c:v>
                </c:pt>
                <c:pt idx="220">
                  <c:v>402</c:v>
                </c:pt>
                <c:pt idx="221">
                  <c:v>812</c:v>
                </c:pt>
                <c:pt idx="222">
                  <c:v>440</c:v>
                </c:pt>
                <c:pt idx="223">
                  <c:v>426</c:v>
                </c:pt>
                <c:pt idx="224">
                  <c:v>505</c:v>
                </c:pt>
                <c:pt idx="225">
                  <c:v>491</c:v>
                </c:pt>
                <c:pt idx="226">
                  <c:v>315</c:v>
                </c:pt>
                <c:pt idx="227">
                  <c:v>357</c:v>
                </c:pt>
                <c:pt idx="228">
                  <c:v>315</c:v>
                </c:pt>
                <c:pt idx="229">
                  <c:v>537</c:v>
                </c:pt>
                <c:pt idx="230">
                  <c:v>263</c:v>
                </c:pt>
                <c:pt idx="231">
                  <c:v>604</c:v>
                </c:pt>
                <c:pt idx="232">
                  <c:v>378</c:v>
                </c:pt>
                <c:pt idx="233">
                  <c:v>893</c:v>
                </c:pt>
                <c:pt idx="234">
                  <c:v>187</c:v>
                </c:pt>
                <c:pt idx="235">
                  <c:v>362</c:v>
                </c:pt>
                <c:pt idx="236">
                  <c:v>516</c:v>
                </c:pt>
                <c:pt idx="237">
                  <c:v>202</c:v>
                </c:pt>
                <c:pt idx="238">
                  <c:v>440</c:v>
                </c:pt>
                <c:pt idx="239">
                  <c:v>374</c:v>
                </c:pt>
                <c:pt idx="240">
                  <c:v>693</c:v>
                </c:pt>
                <c:pt idx="241">
                  <c:v>462</c:v>
                </c:pt>
                <c:pt idx="242">
                  <c:v>527</c:v>
                </c:pt>
                <c:pt idx="243">
                  <c:v>367</c:v>
                </c:pt>
                <c:pt idx="244">
                  <c:v>311</c:v>
                </c:pt>
                <c:pt idx="245">
                  <c:v>387</c:v>
                </c:pt>
                <c:pt idx="246">
                  <c:v>358</c:v>
                </c:pt>
                <c:pt idx="247">
                  <c:v>913</c:v>
                </c:pt>
                <c:pt idx="248">
                  <c:v>355</c:v>
                </c:pt>
                <c:pt idx="249">
                  <c:v>310</c:v>
                </c:pt>
              </c:numCache>
            </c:numRef>
          </c:xVal>
          <c:yVal>
            <c:numRef>
              <c:f>'Equal Variance Check'!$A$2:$A$251</c:f>
              <c:numCache>
                <c:formatCode>General</c:formatCode>
                <c:ptCount val="250"/>
                <c:pt idx="0">
                  <c:v>-5.3345753982558808E-3</c:v>
                </c:pt>
                <c:pt idx="1">
                  <c:v>3.7142916721940034E-2</c:v>
                </c:pt>
                <c:pt idx="2">
                  <c:v>6.3632015209022119E-2</c:v>
                </c:pt>
                <c:pt idx="3">
                  <c:v>-7.0147168820580863E-2</c:v>
                </c:pt>
                <c:pt idx="4">
                  <c:v>-1.0130009469184131E-2</c:v>
                </c:pt>
                <c:pt idx="5">
                  <c:v>-4.3798895114771863E-2</c:v>
                </c:pt>
                <c:pt idx="6">
                  <c:v>-4.0828383693807979E-2</c:v>
                </c:pt>
                <c:pt idx="7">
                  <c:v>-4.1739432165530943E-2</c:v>
                </c:pt>
                <c:pt idx="8">
                  <c:v>-2.424651855519705E-2</c:v>
                </c:pt>
                <c:pt idx="9">
                  <c:v>-1.7317226551329223E-2</c:v>
                </c:pt>
                <c:pt idx="10">
                  <c:v>2.5075771403070268E-3</c:v>
                </c:pt>
                <c:pt idx="11">
                  <c:v>-1.1714544813047956E-2</c:v>
                </c:pt>
                <c:pt idx="12">
                  <c:v>2.8962148423792689E-2</c:v>
                </c:pt>
                <c:pt idx="13">
                  <c:v>8.4663257721761753E-2</c:v>
                </c:pt>
                <c:pt idx="14">
                  <c:v>-7.334168595128443E-2</c:v>
                </c:pt>
                <c:pt idx="15">
                  <c:v>2.0688453461174428E-2</c:v>
                </c:pt>
                <c:pt idx="16">
                  <c:v>5.4134865031117418E-3</c:v>
                </c:pt>
                <c:pt idx="17">
                  <c:v>1.9445024219699902E-2</c:v>
                </c:pt>
                <c:pt idx="18">
                  <c:v>3.6520169403153613E-3</c:v>
                </c:pt>
                <c:pt idx="19">
                  <c:v>-6.7613090133375575E-2</c:v>
                </c:pt>
                <c:pt idx="20">
                  <c:v>3.1471355216155072E-2</c:v>
                </c:pt>
                <c:pt idx="21">
                  <c:v>0.11247237631704993</c:v>
                </c:pt>
                <c:pt idx="22">
                  <c:v>5.207256450127315E-2</c:v>
                </c:pt>
                <c:pt idx="23">
                  <c:v>-2.0663002102265682E-2</c:v>
                </c:pt>
                <c:pt idx="24">
                  <c:v>2.1033861955958133E-2</c:v>
                </c:pt>
                <c:pt idx="25">
                  <c:v>-1.3672521500146584E-2</c:v>
                </c:pt>
                <c:pt idx="26">
                  <c:v>-5.1016419629036525E-2</c:v>
                </c:pt>
                <c:pt idx="27">
                  <c:v>2.8298108515835141E-2</c:v>
                </c:pt>
                <c:pt idx="28">
                  <c:v>7.7186684539566341E-2</c:v>
                </c:pt>
                <c:pt idx="29">
                  <c:v>-3.6833740573344709E-2</c:v>
                </c:pt>
                <c:pt idx="30">
                  <c:v>3.0795601682177431E-2</c:v>
                </c:pt>
                <c:pt idx="31">
                  <c:v>-2.3794658806409519E-2</c:v>
                </c:pt>
                <c:pt idx="32">
                  <c:v>3.9112009185115093E-2</c:v>
                </c:pt>
                <c:pt idx="33">
                  <c:v>-8.470353064022168E-2</c:v>
                </c:pt>
                <c:pt idx="34">
                  <c:v>-6.1890682120288587E-2</c:v>
                </c:pt>
                <c:pt idx="35">
                  <c:v>-1.1383754395795809E-2</c:v>
                </c:pt>
                <c:pt idx="36">
                  <c:v>-1.5185722631792631E-2</c:v>
                </c:pt>
                <c:pt idx="37">
                  <c:v>2.6833706816984826E-2</c:v>
                </c:pt>
                <c:pt idx="38">
                  <c:v>-0.10391986704247108</c:v>
                </c:pt>
                <c:pt idx="39">
                  <c:v>7.7703507696118002E-3</c:v>
                </c:pt>
                <c:pt idx="40">
                  <c:v>7.0719355113745247E-2</c:v>
                </c:pt>
                <c:pt idx="41">
                  <c:v>5.7703450527940847E-2</c:v>
                </c:pt>
                <c:pt idx="42">
                  <c:v>-1.9286956099882624E-2</c:v>
                </c:pt>
                <c:pt idx="43">
                  <c:v>6.0910088668537976E-2</c:v>
                </c:pt>
                <c:pt idx="44">
                  <c:v>3.536690373418383E-2</c:v>
                </c:pt>
                <c:pt idx="45">
                  <c:v>-3.4698781452857652E-3</c:v>
                </c:pt>
                <c:pt idx="46">
                  <c:v>3.7413456620708607E-2</c:v>
                </c:pt>
                <c:pt idx="47">
                  <c:v>3.1848619951115376E-2</c:v>
                </c:pt>
                <c:pt idx="48">
                  <c:v>9.9641475004241253E-3</c:v>
                </c:pt>
                <c:pt idx="49">
                  <c:v>1.0041589251443273E-2</c:v>
                </c:pt>
                <c:pt idx="50">
                  <c:v>3.0566755781056942E-2</c:v>
                </c:pt>
                <c:pt idx="51">
                  <c:v>3.4157574071014329E-2</c:v>
                </c:pt>
                <c:pt idx="52">
                  <c:v>8.7639083648571148E-2</c:v>
                </c:pt>
                <c:pt idx="53">
                  <c:v>-2.4168324820024734E-3</c:v>
                </c:pt>
                <c:pt idx="54">
                  <c:v>-5.6428204473502608E-3</c:v>
                </c:pt>
                <c:pt idx="55">
                  <c:v>-9.5280094335154303E-2</c:v>
                </c:pt>
                <c:pt idx="56">
                  <c:v>3.0411834867045573E-2</c:v>
                </c:pt>
                <c:pt idx="57">
                  <c:v>-6.2469311255009319E-2</c:v>
                </c:pt>
                <c:pt idx="58">
                  <c:v>-1.6662787831112302E-2</c:v>
                </c:pt>
                <c:pt idx="59">
                  <c:v>-5.4402859215497867E-2</c:v>
                </c:pt>
                <c:pt idx="60">
                  <c:v>-3.0852920172391163E-3</c:v>
                </c:pt>
                <c:pt idx="61">
                  <c:v>-6.1798371865050772E-2</c:v>
                </c:pt>
                <c:pt idx="62">
                  <c:v>0.10863791503476972</c:v>
                </c:pt>
                <c:pt idx="63">
                  <c:v>-3.3259469982305168E-2</c:v>
                </c:pt>
                <c:pt idx="64">
                  <c:v>-2.1343348446685728E-2</c:v>
                </c:pt>
                <c:pt idx="65">
                  <c:v>-2.3303198044443196E-2</c:v>
                </c:pt>
                <c:pt idx="66">
                  <c:v>9.314791510945386E-3</c:v>
                </c:pt>
                <c:pt idx="67">
                  <c:v>-3.9478209086495297E-2</c:v>
                </c:pt>
                <c:pt idx="68">
                  <c:v>4.6552525397751843E-2</c:v>
                </c:pt>
                <c:pt idx="69">
                  <c:v>1.658047984598221E-2</c:v>
                </c:pt>
                <c:pt idx="70">
                  <c:v>2.5190849401737547E-2</c:v>
                </c:pt>
                <c:pt idx="71">
                  <c:v>-2.174988068305328E-2</c:v>
                </c:pt>
                <c:pt idx="72">
                  <c:v>-4.9229851725663965E-3</c:v>
                </c:pt>
                <c:pt idx="73">
                  <c:v>-2.7271225216195738E-2</c:v>
                </c:pt>
                <c:pt idx="74">
                  <c:v>-2.1446956389231497E-2</c:v>
                </c:pt>
                <c:pt idx="75">
                  <c:v>-3.4711886449338591E-2</c:v>
                </c:pt>
                <c:pt idx="76">
                  <c:v>-2.4330553688543644E-2</c:v>
                </c:pt>
                <c:pt idx="77">
                  <c:v>-6.2724944960435458E-2</c:v>
                </c:pt>
                <c:pt idx="78">
                  <c:v>-6.5007825513048623E-2</c:v>
                </c:pt>
                <c:pt idx="79">
                  <c:v>6.514526673178217E-2</c:v>
                </c:pt>
                <c:pt idx="80">
                  <c:v>1.3805283241508093E-4</c:v>
                </c:pt>
                <c:pt idx="81">
                  <c:v>-5.1746921079664943E-2</c:v>
                </c:pt>
                <c:pt idx="82">
                  <c:v>3.7441122076222855E-2</c:v>
                </c:pt>
                <c:pt idx="83">
                  <c:v>3.9214538910679608E-3</c:v>
                </c:pt>
                <c:pt idx="84">
                  <c:v>5.9817756110396303E-3</c:v>
                </c:pt>
                <c:pt idx="85">
                  <c:v>3.6322625366768668E-3</c:v>
                </c:pt>
                <c:pt idx="86">
                  <c:v>-1.2638647350910359E-2</c:v>
                </c:pt>
                <c:pt idx="87">
                  <c:v>-4.5134946417732857E-2</c:v>
                </c:pt>
                <c:pt idx="88">
                  <c:v>6.3341323589580389E-2</c:v>
                </c:pt>
                <c:pt idx="89">
                  <c:v>5.5662258608883519E-2</c:v>
                </c:pt>
                <c:pt idx="90">
                  <c:v>2.3071590004053844E-2</c:v>
                </c:pt>
                <c:pt idx="91">
                  <c:v>3.7341733494358709E-2</c:v>
                </c:pt>
                <c:pt idx="92">
                  <c:v>2.5724818118956327E-2</c:v>
                </c:pt>
                <c:pt idx="93">
                  <c:v>3.9734151677435825E-2</c:v>
                </c:pt>
                <c:pt idx="94">
                  <c:v>2.2794157922151892E-2</c:v>
                </c:pt>
                <c:pt idx="95">
                  <c:v>-5.3466334105582991E-3</c:v>
                </c:pt>
                <c:pt idx="96">
                  <c:v>2.7488632889553222E-2</c:v>
                </c:pt>
                <c:pt idx="97">
                  <c:v>-4.51765586410105E-2</c:v>
                </c:pt>
                <c:pt idx="98">
                  <c:v>-0.11271439793155752</c:v>
                </c:pt>
                <c:pt idx="99">
                  <c:v>-7.4506311232665601E-2</c:v>
                </c:pt>
                <c:pt idx="100">
                  <c:v>-2.5590412711256061E-2</c:v>
                </c:pt>
                <c:pt idx="101">
                  <c:v>-9.5661107921958533E-2</c:v>
                </c:pt>
                <c:pt idx="102">
                  <c:v>-2.3553497507783461E-2</c:v>
                </c:pt>
                <c:pt idx="103">
                  <c:v>-2.0930425841695854E-2</c:v>
                </c:pt>
                <c:pt idx="104">
                  <c:v>1.7389589781981463E-2</c:v>
                </c:pt>
                <c:pt idx="105">
                  <c:v>-0.10935412475640355</c:v>
                </c:pt>
                <c:pt idx="106">
                  <c:v>3.8083180752000678E-2</c:v>
                </c:pt>
                <c:pt idx="107">
                  <c:v>3.7794637907341333E-2</c:v>
                </c:pt>
                <c:pt idx="108">
                  <c:v>4.5082843041208687E-2</c:v>
                </c:pt>
                <c:pt idx="109">
                  <c:v>0.14009348608560201</c:v>
                </c:pt>
                <c:pt idx="110">
                  <c:v>-8.2759318907173363E-2</c:v>
                </c:pt>
                <c:pt idx="111">
                  <c:v>-1.6551340322174202E-2</c:v>
                </c:pt>
                <c:pt idx="112">
                  <c:v>-3.9208211698138984E-2</c:v>
                </c:pt>
                <c:pt idx="113">
                  <c:v>1.9848425232886047E-2</c:v>
                </c:pt>
                <c:pt idx="114">
                  <c:v>7.0896857564549665E-2</c:v>
                </c:pt>
                <c:pt idx="115">
                  <c:v>-1.9685239494836859E-2</c:v>
                </c:pt>
                <c:pt idx="116">
                  <c:v>6.5104989272734726E-2</c:v>
                </c:pt>
                <c:pt idx="117">
                  <c:v>-5.8892371788674125E-2</c:v>
                </c:pt>
                <c:pt idx="118">
                  <c:v>5.6868047579114789E-2</c:v>
                </c:pt>
                <c:pt idx="119">
                  <c:v>-3.8373058920818104E-2</c:v>
                </c:pt>
                <c:pt idx="120">
                  <c:v>3.2651080342524619E-2</c:v>
                </c:pt>
                <c:pt idx="121">
                  <c:v>9.163916422758539E-2</c:v>
                </c:pt>
                <c:pt idx="122">
                  <c:v>-2.6923541630464454E-2</c:v>
                </c:pt>
                <c:pt idx="123">
                  <c:v>3.0161104534654537E-2</c:v>
                </c:pt>
                <c:pt idx="124">
                  <c:v>3.4549800517980844E-2</c:v>
                </c:pt>
                <c:pt idx="125">
                  <c:v>5.7322208914412531E-2</c:v>
                </c:pt>
                <c:pt idx="126">
                  <c:v>-9.1370794636873032E-3</c:v>
                </c:pt>
                <c:pt idx="127">
                  <c:v>4.2531302588771913E-3</c:v>
                </c:pt>
                <c:pt idx="128">
                  <c:v>1.4883165558763345E-3</c:v>
                </c:pt>
                <c:pt idx="129">
                  <c:v>-9.3982071936070666E-3</c:v>
                </c:pt>
                <c:pt idx="130">
                  <c:v>3.1880064738244618E-2</c:v>
                </c:pt>
                <c:pt idx="131">
                  <c:v>-2.5268392298565923E-2</c:v>
                </c:pt>
                <c:pt idx="132">
                  <c:v>2.1535602353037753E-3</c:v>
                </c:pt>
                <c:pt idx="133">
                  <c:v>9.8340436296627254E-3</c:v>
                </c:pt>
                <c:pt idx="134">
                  <c:v>-4.2142703945263704E-2</c:v>
                </c:pt>
                <c:pt idx="135">
                  <c:v>-1.6864591952364671E-2</c:v>
                </c:pt>
                <c:pt idx="136">
                  <c:v>6.1075362208514672E-2</c:v>
                </c:pt>
                <c:pt idx="137">
                  <c:v>2.4080993993472966E-2</c:v>
                </c:pt>
                <c:pt idx="138">
                  <c:v>3.2142951689626609E-2</c:v>
                </c:pt>
                <c:pt idx="139">
                  <c:v>1.8702454448523587E-2</c:v>
                </c:pt>
                <c:pt idx="140">
                  <c:v>7.6866413634948172E-2</c:v>
                </c:pt>
                <c:pt idx="141">
                  <c:v>5.0820265501128503E-2</c:v>
                </c:pt>
                <c:pt idx="142">
                  <c:v>-1.8092530878452029E-2</c:v>
                </c:pt>
                <c:pt idx="143">
                  <c:v>-2.4578049833672344E-2</c:v>
                </c:pt>
                <c:pt idx="144">
                  <c:v>1.3430830829830542E-2</c:v>
                </c:pt>
                <c:pt idx="145">
                  <c:v>-2.1110245799853877E-2</c:v>
                </c:pt>
                <c:pt idx="146">
                  <c:v>1.6988919065044017E-2</c:v>
                </c:pt>
                <c:pt idx="147">
                  <c:v>1.2433089432248801E-2</c:v>
                </c:pt>
                <c:pt idx="148">
                  <c:v>-2.193252768500531E-2</c:v>
                </c:pt>
                <c:pt idx="149">
                  <c:v>0.10969569328679185</c:v>
                </c:pt>
                <c:pt idx="150">
                  <c:v>6.6954501896202223E-2</c:v>
                </c:pt>
                <c:pt idx="151">
                  <c:v>3.2687661031705284E-2</c:v>
                </c:pt>
                <c:pt idx="152">
                  <c:v>-1.4674089835746806E-2</c:v>
                </c:pt>
                <c:pt idx="153">
                  <c:v>-2.385517668396353E-2</c:v>
                </c:pt>
                <c:pt idx="154">
                  <c:v>-6.8726704566471397E-2</c:v>
                </c:pt>
                <c:pt idx="155">
                  <c:v>1.3665614125640269E-2</c:v>
                </c:pt>
                <c:pt idx="156">
                  <c:v>-8.9953073766966818E-3</c:v>
                </c:pt>
                <c:pt idx="157">
                  <c:v>-1.7676730700725007E-2</c:v>
                </c:pt>
                <c:pt idx="158">
                  <c:v>-5.1217053411470703E-2</c:v>
                </c:pt>
                <c:pt idx="159">
                  <c:v>-3.2890579635783013E-2</c:v>
                </c:pt>
                <c:pt idx="160">
                  <c:v>1.4476205337416503E-2</c:v>
                </c:pt>
                <c:pt idx="161">
                  <c:v>-4.1101966373382037E-2</c:v>
                </c:pt>
                <c:pt idx="162">
                  <c:v>-1.9468141649682358E-2</c:v>
                </c:pt>
                <c:pt idx="163">
                  <c:v>-2.2189974988711503E-2</c:v>
                </c:pt>
                <c:pt idx="164">
                  <c:v>1.6965160284566405E-2</c:v>
                </c:pt>
                <c:pt idx="165">
                  <c:v>-4.4871466163016738E-3</c:v>
                </c:pt>
                <c:pt idx="166">
                  <c:v>-4.1060360888789171E-2</c:v>
                </c:pt>
                <c:pt idx="167">
                  <c:v>3.020108742419092E-3</c:v>
                </c:pt>
                <c:pt idx="168">
                  <c:v>3.46900242415214E-2</c:v>
                </c:pt>
                <c:pt idx="169">
                  <c:v>-5.8044311667823478E-2</c:v>
                </c:pt>
                <c:pt idx="170">
                  <c:v>2.715092402718805E-2</c:v>
                </c:pt>
                <c:pt idx="171">
                  <c:v>1.0981465359730269E-2</c:v>
                </c:pt>
                <c:pt idx="172">
                  <c:v>-6.8536161507105786E-2</c:v>
                </c:pt>
                <c:pt idx="173">
                  <c:v>-2.3673281907152344E-2</c:v>
                </c:pt>
                <c:pt idx="174">
                  <c:v>4.1995104858750798E-2</c:v>
                </c:pt>
                <c:pt idx="175">
                  <c:v>-0.12247332357374469</c:v>
                </c:pt>
                <c:pt idx="176">
                  <c:v>2.2390122510864918E-2</c:v>
                </c:pt>
                <c:pt idx="177">
                  <c:v>-1.0301223848826868E-2</c:v>
                </c:pt>
                <c:pt idx="178">
                  <c:v>6.8486570999850893E-2</c:v>
                </c:pt>
                <c:pt idx="179">
                  <c:v>-1.3085270572023244E-2</c:v>
                </c:pt>
                <c:pt idx="180">
                  <c:v>-3.0651052454223671E-2</c:v>
                </c:pt>
                <c:pt idx="181">
                  <c:v>1.9193723094928394E-2</c:v>
                </c:pt>
                <c:pt idx="182">
                  <c:v>-1.3493741917015856E-2</c:v>
                </c:pt>
                <c:pt idx="183">
                  <c:v>3.0477773215547344E-2</c:v>
                </c:pt>
                <c:pt idx="184">
                  <c:v>-1.9206944953586769E-2</c:v>
                </c:pt>
                <c:pt idx="185">
                  <c:v>-1.1845073781667992E-2</c:v>
                </c:pt>
                <c:pt idx="186">
                  <c:v>1.4572887715797678E-2</c:v>
                </c:pt>
                <c:pt idx="187">
                  <c:v>-0.16329287864061298</c:v>
                </c:pt>
                <c:pt idx="188">
                  <c:v>-1.7212703616473535E-2</c:v>
                </c:pt>
                <c:pt idx="189">
                  <c:v>8.0710460979222187E-2</c:v>
                </c:pt>
                <c:pt idx="190">
                  <c:v>2.1338389620021769E-2</c:v>
                </c:pt>
                <c:pt idx="191">
                  <c:v>-3.9012551573760101E-2</c:v>
                </c:pt>
                <c:pt idx="192">
                  <c:v>2.746785569329141E-2</c:v>
                </c:pt>
                <c:pt idx="193">
                  <c:v>-9.0735744223177761E-2</c:v>
                </c:pt>
                <c:pt idx="194">
                  <c:v>4.6397874822495855E-2</c:v>
                </c:pt>
                <c:pt idx="195">
                  <c:v>-2.5440951486879027E-2</c:v>
                </c:pt>
                <c:pt idx="196">
                  <c:v>-4.8877883754851636E-2</c:v>
                </c:pt>
                <c:pt idx="197">
                  <c:v>-1.0913971012066204E-2</c:v>
                </c:pt>
                <c:pt idx="198">
                  <c:v>5.5958766272852789E-3</c:v>
                </c:pt>
                <c:pt idx="199">
                  <c:v>1.7292040321782387E-2</c:v>
                </c:pt>
                <c:pt idx="200">
                  <c:v>-5.2248957828592735E-2</c:v>
                </c:pt>
                <c:pt idx="201">
                  <c:v>5.1646394501030646E-2</c:v>
                </c:pt>
                <c:pt idx="202">
                  <c:v>-2.036031770325164E-2</c:v>
                </c:pt>
                <c:pt idx="203">
                  <c:v>1.5194344818637351E-2</c:v>
                </c:pt>
                <c:pt idx="204">
                  <c:v>6.6751255382679342E-3</c:v>
                </c:pt>
                <c:pt idx="205">
                  <c:v>-2.1460639101174017E-2</c:v>
                </c:pt>
                <c:pt idx="206">
                  <c:v>9.1356354526820116E-2</c:v>
                </c:pt>
                <c:pt idx="207">
                  <c:v>2.6381098861020025E-2</c:v>
                </c:pt>
                <c:pt idx="208">
                  <c:v>3.0806345607822749E-2</c:v>
                </c:pt>
                <c:pt idx="209">
                  <c:v>5.354203058796414E-3</c:v>
                </c:pt>
                <c:pt idx="210">
                  <c:v>7.296011612433545E-2</c:v>
                </c:pt>
                <c:pt idx="211">
                  <c:v>-1.8909984683692926E-2</c:v>
                </c:pt>
                <c:pt idx="212">
                  <c:v>-3.2586577863377819E-2</c:v>
                </c:pt>
                <c:pt idx="213">
                  <c:v>4.7340943216010622E-2</c:v>
                </c:pt>
                <c:pt idx="214">
                  <c:v>-2.5739090235779138E-2</c:v>
                </c:pt>
                <c:pt idx="215">
                  <c:v>-3.0329379435240389E-2</c:v>
                </c:pt>
                <c:pt idx="216">
                  <c:v>2.0088873356748527E-2</c:v>
                </c:pt>
                <c:pt idx="217">
                  <c:v>2.9272922290209502E-2</c:v>
                </c:pt>
                <c:pt idx="218">
                  <c:v>1.2487338039610496E-2</c:v>
                </c:pt>
                <c:pt idx="219">
                  <c:v>4.3290561405855355E-2</c:v>
                </c:pt>
                <c:pt idx="220">
                  <c:v>8.1207138187808336E-2</c:v>
                </c:pt>
                <c:pt idx="221">
                  <c:v>-2.4831794349429004E-2</c:v>
                </c:pt>
                <c:pt idx="222">
                  <c:v>-8.4580282378803384E-2</c:v>
                </c:pt>
                <c:pt idx="223">
                  <c:v>2.5616422032728459E-2</c:v>
                </c:pt>
                <c:pt idx="224">
                  <c:v>3.193003116180515E-2</c:v>
                </c:pt>
                <c:pt idx="225">
                  <c:v>4.8071498482628594E-3</c:v>
                </c:pt>
                <c:pt idx="226">
                  <c:v>-2.6315074326582755E-4</c:v>
                </c:pt>
                <c:pt idx="227">
                  <c:v>2.8608880830524597E-3</c:v>
                </c:pt>
                <c:pt idx="228">
                  <c:v>4.3911715185790956E-2</c:v>
                </c:pt>
                <c:pt idx="229">
                  <c:v>-3.4230586503116722E-2</c:v>
                </c:pt>
                <c:pt idx="230">
                  <c:v>-9.249465041191729E-3</c:v>
                </c:pt>
                <c:pt idx="231">
                  <c:v>-1.8525456404726304E-2</c:v>
                </c:pt>
                <c:pt idx="232">
                  <c:v>-6.6924403399470367E-3</c:v>
                </c:pt>
                <c:pt idx="233">
                  <c:v>-9.7887573951697671E-3</c:v>
                </c:pt>
                <c:pt idx="234">
                  <c:v>7.2561468626193781E-2</c:v>
                </c:pt>
                <c:pt idx="235">
                  <c:v>5.1061484393600809E-2</c:v>
                </c:pt>
                <c:pt idx="236">
                  <c:v>-3.2805193472136285E-2</c:v>
                </c:pt>
                <c:pt idx="237">
                  <c:v>-8.1441301602401595E-2</c:v>
                </c:pt>
                <c:pt idx="238">
                  <c:v>-2.2721151912819926E-2</c:v>
                </c:pt>
                <c:pt idx="239">
                  <c:v>7.4755368246660625E-3</c:v>
                </c:pt>
                <c:pt idx="240">
                  <c:v>5.7471160581335501E-3</c:v>
                </c:pt>
                <c:pt idx="241">
                  <c:v>-5.1597271306033921E-2</c:v>
                </c:pt>
                <c:pt idx="242">
                  <c:v>-4.4168153288646039E-2</c:v>
                </c:pt>
                <c:pt idx="243">
                  <c:v>-7.4135663739674063E-2</c:v>
                </c:pt>
                <c:pt idx="244">
                  <c:v>-3.1052897552720227E-3</c:v>
                </c:pt>
                <c:pt idx="245">
                  <c:v>5.2553297929576748E-3</c:v>
                </c:pt>
                <c:pt idx="246">
                  <c:v>4.1185552255098568E-2</c:v>
                </c:pt>
                <c:pt idx="247">
                  <c:v>8.7484121492573452E-2</c:v>
                </c:pt>
                <c:pt idx="248">
                  <c:v>-3.6286893493856165E-2</c:v>
                </c:pt>
                <c:pt idx="249">
                  <c:v>-6.5581346962375775E-2</c:v>
                </c:pt>
              </c:numCache>
            </c:numRef>
          </c:yVal>
          <c:smooth val="0"/>
          <c:extLst>
            <c:ext xmlns:c16="http://schemas.microsoft.com/office/drawing/2014/chart" uri="{C3380CC4-5D6E-409C-BE32-E72D297353CC}">
              <c16:uniqueId val="{00000000-8097-49D2-BD5E-3A936B177F20}"/>
            </c:ext>
          </c:extLst>
        </c:ser>
        <c:dLbls>
          <c:showLegendKey val="0"/>
          <c:showVal val="0"/>
          <c:showCatName val="0"/>
          <c:showSerName val="0"/>
          <c:showPercent val="0"/>
          <c:showBubbleSize val="0"/>
        </c:dLbls>
        <c:axId val="1005579199"/>
        <c:axId val="1005579679"/>
      </c:scatterChart>
      <c:valAx>
        <c:axId val="1005579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Athletes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579679"/>
        <c:crossesAt val="-0.2"/>
        <c:crossBetween val="midCat"/>
      </c:valAx>
      <c:valAx>
        <c:axId val="10055796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Residual</a:t>
                </a:r>
                <a:r>
                  <a:rPr lang="en-US" baseline="0"/>
                  <a:t>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579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Residual V Female Athlete %</c:v>
          </c:tx>
          <c:spPr>
            <a:ln w="25400" cap="rnd">
              <a:noFill/>
              <a:round/>
            </a:ln>
            <a:effectLst/>
          </c:spPr>
          <c:marker>
            <c:symbol val="circle"/>
            <c:size val="5"/>
            <c:spPr>
              <a:solidFill>
                <a:schemeClr val="accent1"/>
              </a:solidFill>
              <a:ln w="9525">
                <a:solidFill>
                  <a:schemeClr val="accent1"/>
                </a:solidFill>
              </a:ln>
              <a:effectLst/>
            </c:spPr>
          </c:marker>
          <c:xVal>
            <c:numRef>
              <c:f>'Equal Variance Check'!$C$2:$C$251</c:f>
              <c:numCache>
                <c:formatCode>0.00%</c:formatCode>
                <c:ptCount val="250"/>
                <c:pt idx="0">
                  <c:v>0.54200000000000004</c:v>
                </c:pt>
                <c:pt idx="1">
                  <c:v>0.6</c:v>
                </c:pt>
                <c:pt idx="2">
                  <c:v>0.46299999999999997</c:v>
                </c:pt>
                <c:pt idx="3">
                  <c:v>0.47500000000000003</c:v>
                </c:pt>
                <c:pt idx="4">
                  <c:v>0.498</c:v>
                </c:pt>
                <c:pt idx="5">
                  <c:v>0.40299999999999997</c:v>
                </c:pt>
                <c:pt idx="6">
                  <c:v>0.42</c:v>
                </c:pt>
                <c:pt idx="7">
                  <c:v>0.32100000000000001</c:v>
                </c:pt>
                <c:pt idx="8">
                  <c:v>0.34500000000000003</c:v>
                </c:pt>
                <c:pt idx="9">
                  <c:v>0.35299999999999998</c:v>
                </c:pt>
                <c:pt idx="10">
                  <c:v>0.54900000000000004</c:v>
                </c:pt>
                <c:pt idx="11">
                  <c:v>0.435</c:v>
                </c:pt>
                <c:pt idx="12">
                  <c:v>0.45900000000000002</c:v>
                </c:pt>
                <c:pt idx="13">
                  <c:v>0.45900000000000002</c:v>
                </c:pt>
                <c:pt idx="14">
                  <c:v>0.56299999999999994</c:v>
                </c:pt>
                <c:pt idx="15">
                  <c:v>0.378</c:v>
                </c:pt>
                <c:pt idx="16">
                  <c:v>0.44700000000000006</c:v>
                </c:pt>
                <c:pt idx="17">
                  <c:v>0.312</c:v>
                </c:pt>
                <c:pt idx="18">
                  <c:v>0.434</c:v>
                </c:pt>
                <c:pt idx="19">
                  <c:v>0.53100000000000003</c:v>
                </c:pt>
                <c:pt idx="20">
                  <c:v>0.40700000000000003</c:v>
                </c:pt>
                <c:pt idx="21">
                  <c:v>0.40200000000000002</c:v>
                </c:pt>
                <c:pt idx="22">
                  <c:v>0.46</c:v>
                </c:pt>
                <c:pt idx="23">
                  <c:v>0.39200000000000002</c:v>
                </c:pt>
                <c:pt idx="24">
                  <c:v>0.503</c:v>
                </c:pt>
                <c:pt idx="25">
                  <c:v>0.33</c:v>
                </c:pt>
                <c:pt idx="26">
                  <c:v>0.46899999999999997</c:v>
                </c:pt>
                <c:pt idx="27">
                  <c:v>0.44400000000000001</c:v>
                </c:pt>
                <c:pt idx="28">
                  <c:v>0.5</c:v>
                </c:pt>
                <c:pt idx="29">
                  <c:v>0.52200000000000002</c:v>
                </c:pt>
                <c:pt idx="30">
                  <c:v>0.50700000000000001</c:v>
                </c:pt>
                <c:pt idx="31">
                  <c:v>0.59200000000000008</c:v>
                </c:pt>
                <c:pt idx="32">
                  <c:v>0.52</c:v>
                </c:pt>
                <c:pt idx="33">
                  <c:v>0.47000000000000003</c:v>
                </c:pt>
                <c:pt idx="34">
                  <c:v>0.33299999999999996</c:v>
                </c:pt>
                <c:pt idx="35">
                  <c:v>0.376</c:v>
                </c:pt>
                <c:pt idx="36">
                  <c:v>0.38900000000000001</c:v>
                </c:pt>
                <c:pt idx="37">
                  <c:v>0.41600000000000004</c:v>
                </c:pt>
                <c:pt idx="38">
                  <c:v>0.47000000000000003</c:v>
                </c:pt>
                <c:pt idx="39">
                  <c:v>0.43200000000000005</c:v>
                </c:pt>
                <c:pt idx="40">
                  <c:v>0.45600000000000002</c:v>
                </c:pt>
                <c:pt idx="41">
                  <c:v>0.438</c:v>
                </c:pt>
                <c:pt idx="42">
                  <c:v>0.28199999999999997</c:v>
                </c:pt>
                <c:pt idx="43">
                  <c:v>0.45200000000000001</c:v>
                </c:pt>
                <c:pt idx="44">
                  <c:v>0.48399999999999999</c:v>
                </c:pt>
                <c:pt idx="45">
                  <c:v>0.49299999999999999</c:v>
                </c:pt>
                <c:pt idx="46">
                  <c:v>0.53</c:v>
                </c:pt>
                <c:pt idx="47">
                  <c:v>0.45799999999999996</c:v>
                </c:pt>
                <c:pt idx="48">
                  <c:v>0.39900000000000002</c:v>
                </c:pt>
                <c:pt idx="49">
                  <c:v>0.47500000000000003</c:v>
                </c:pt>
                <c:pt idx="50">
                  <c:v>0.48799999999999999</c:v>
                </c:pt>
                <c:pt idx="51">
                  <c:v>0.53900000000000003</c:v>
                </c:pt>
                <c:pt idx="52">
                  <c:v>0.46100000000000002</c:v>
                </c:pt>
                <c:pt idx="53">
                  <c:v>0.46200000000000002</c:v>
                </c:pt>
                <c:pt idx="54">
                  <c:v>0.433</c:v>
                </c:pt>
                <c:pt idx="55">
                  <c:v>0.502</c:v>
                </c:pt>
                <c:pt idx="56">
                  <c:v>0.42100000000000004</c:v>
                </c:pt>
                <c:pt idx="57">
                  <c:v>0.57100000000000006</c:v>
                </c:pt>
                <c:pt idx="58">
                  <c:v>0.36499999999999999</c:v>
                </c:pt>
                <c:pt idx="59">
                  <c:v>0.5</c:v>
                </c:pt>
                <c:pt idx="60">
                  <c:v>0.46899999999999997</c:v>
                </c:pt>
                <c:pt idx="61">
                  <c:v>0.47899999999999998</c:v>
                </c:pt>
                <c:pt idx="62">
                  <c:v>0.42100000000000004</c:v>
                </c:pt>
                <c:pt idx="63">
                  <c:v>0.32100000000000001</c:v>
                </c:pt>
                <c:pt idx="64">
                  <c:v>0.38400000000000001</c:v>
                </c:pt>
                <c:pt idx="65">
                  <c:v>0.433</c:v>
                </c:pt>
                <c:pt idx="66">
                  <c:v>0.51500000000000001</c:v>
                </c:pt>
                <c:pt idx="67">
                  <c:v>0.38300000000000001</c:v>
                </c:pt>
                <c:pt idx="68">
                  <c:v>0.49</c:v>
                </c:pt>
                <c:pt idx="69">
                  <c:v>0.46899999999999997</c:v>
                </c:pt>
                <c:pt idx="70">
                  <c:v>0.34700000000000003</c:v>
                </c:pt>
                <c:pt idx="71">
                  <c:v>0.48700000000000004</c:v>
                </c:pt>
                <c:pt idx="72">
                  <c:v>0.45600000000000002</c:v>
                </c:pt>
                <c:pt idx="73">
                  <c:v>0.43</c:v>
                </c:pt>
                <c:pt idx="74">
                  <c:v>0.39500000000000002</c:v>
                </c:pt>
                <c:pt idx="75">
                  <c:v>0.35499999999999998</c:v>
                </c:pt>
                <c:pt idx="76">
                  <c:v>0.55400000000000005</c:v>
                </c:pt>
                <c:pt idx="77">
                  <c:v>0.48399999999999999</c:v>
                </c:pt>
                <c:pt idx="78">
                  <c:v>0.26300000000000001</c:v>
                </c:pt>
                <c:pt idx="79">
                  <c:v>0.45</c:v>
                </c:pt>
                <c:pt idx="80">
                  <c:v>0.51100000000000001</c:v>
                </c:pt>
                <c:pt idx="81">
                  <c:v>0.39200000000000002</c:v>
                </c:pt>
                <c:pt idx="82">
                  <c:v>0.37200000000000005</c:v>
                </c:pt>
                <c:pt idx="83">
                  <c:v>0.48499999999999999</c:v>
                </c:pt>
                <c:pt idx="84">
                  <c:v>0.46299999999999997</c:v>
                </c:pt>
                <c:pt idx="85">
                  <c:v>0.47000000000000003</c:v>
                </c:pt>
                <c:pt idx="86">
                  <c:v>0.47399999999999998</c:v>
                </c:pt>
                <c:pt idx="87">
                  <c:v>0.57399999999999995</c:v>
                </c:pt>
                <c:pt idx="88">
                  <c:v>0.51400000000000001</c:v>
                </c:pt>
                <c:pt idx="89">
                  <c:v>0.44</c:v>
                </c:pt>
                <c:pt idx="90">
                  <c:v>0.42600000000000005</c:v>
                </c:pt>
                <c:pt idx="91">
                  <c:v>0.48200000000000004</c:v>
                </c:pt>
                <c:pt idx="92">
                  <c:v>0.48600000000000004</c:v>
                </c:pt>
                <c:pt idx="93">
                  <c:v>0.43700000000000006</c:v>
                </c:pt>
                <c:pt idx="94">
                  <c:v>0.49700000000000005</c:v>
                </c:pt>
                <c:pt idx="95">
                  <c:v>0.42200000000000004</c:v>
                </c:pt>
                <c:pt idx="96">
                  <c:v>0.32299999999999995</c:v>
                </c:pt>
                <c:pt idx="97">
                  <c:v>0.51500000000000001</c:v>
                </c:pt>
                <c:pt idx="98">
                  <c:v>0.36499999999999999</c:v>
                </c:pt>
                <c:pt idx="99">
                  <c:v>0.39100000000000001</c:v>
                </c:pt>
                <c:pt idx="100">
                  <c:v>0.49700000000000005</c:v>
                </c:pt>
                <c:pt idx="101">
                  <c:v>0.51500000000000001</c:v>
                </c:pt>
                <c:pt idx="102">
                  <c:v>0.58600000000000008</c:v>
                </c:pt>
                <c:pt idx="103">
                  <c:v>0.498</c:v>
                </c:pt>
                <c:pt idx="104">
                  <c:v>0.41000000000000003</c:v>
                </c:pt>
                <c:pt idx="105">
                  <c:v>0.58200000000000007</c:v>
                </c:pt>
                <c:pt idx="106">
                  <c:v>0.48200000000000004</c:v>
                </c:pt>
                <c:pt idx="107">
                  <c:v>0.42100000000000004</c:v>
                </c:pt>
                <c:pt idx="108">
                  <c:v>0.504</c:v>
                </c:pt>
                <c:pt idx="109">
                  <c:v>0.51900000000000002</c:v>
                </c:pt>
                <c:pt idx="110">
                  <c:v>0.54600000000000004</c:v>
                </c:pt>
                <c:pt idx="111">
                  <c:v>0.56600000000000006</c:v>
                </c:pt>
                <c:pt idx="112">
                  <c:v>0.39200000000000002</c:v>
                </c:pt>
                <c:pt idx="113">
                  <c:v>0.43</c:v>
                </c:pt>
                <c:pt idx="114">
                  <c:v>0.42899999999999999</c:v>
                </c:pt>
                <c:pt idx="115">
                  <c:v>0.26900000000000002</c:v>
                </c:pt>
                <c:pt idx="116">
                  <c:v>0.46899999999999997</c:v>
                </c:pt>
                <c:pt idx="117">
                  <c:v>0.46600000000000003</c:v>
                </c:pt>
                <c:pt idx="118">
                  <c:v>0.39200000000000002</c:v>
                </c:pt>
                <c:pt idx="119">
                  <c:v>0.61699999999999999</c:v>
                </c:pt>
                <c:pt idx="120">
                  <c:v>0.46600000000000003</c:v>
                </c:pt>
                <c:pt idx="121">
                  <c:v>0.49</c:v>
                </c:pt>
                <c:pt idx="122">
                  <c:v>0.33</c:v>
                </c:pt>
                <c:pt idx="123">
                  <c:v>0.46899999999999997</c:v>
                </c:pt>
                <c:pt idx="124">
                  <c:v>0.39900000000000002</c:v>
                </c:pt>
                <c:pt idx="125">
                  <c:v>0.52500000000000002</c:v>
                </c:pt>
                <c:pt idx="126">
                  <c:v>0.30399999999999999</c:v>
                </c:pt>
                <c:pt idx="127">
                  <c:v>0.58899999999999997</c:v>
                </c:pt>
                <c:pt idx="128">
                  <c:v>0.49100000000000005</c:v>
                </c:pt>
                <c:pt idx="129">
                  <c:v>0.48899999999999999</c:v>
                </c:pt>
                <c:pt idx="130">
                  <c:v>0.45700000000000002</c:v>
                </c:pt>
                <c:pt idx="131">
                  <c:v>0.45700000000000002</c:v>
                </c:pt>
                <c:pt idx="132">
                  <c:v>0.33100000000000002</c:v>
                </c:pt>
                <c:pt idx="133">
                  <c:v>0.29600000000000004</c:v>
                </c:pt>
                <c:pt idx="134">
                  <c:v>0.49700000000000005</c:v>
                </c:pt>
                <c:pt idx="135">
                  <c:v>0.46200000000000002</c:v>
                </c:pt>
                <c:pt idx="136">
                  <c:v>0.33799999999999997</c:v>
                </c:pt>
                <c:pt idx="137">
                  <c:v>0.34100000000000003</c:v>
                </c:pt>
                <c:pt idx="138">
                  <c:v>0.41000000000000003</c:v>
                </c:pt>
                <c:pt idx="139">
                  <c:v>0.24600000000000002</c:v>
                </c:pt>
                <c:pt idx="140">
                  <c:v>0.40899999999999997</c:v>
                </c:pt>
                <c:pt idx="141">
                  <c:v>0.503</c:v>
                </c:pt>
                <c:pt idx="142">
                  <c:v>0.45</c:v>
                </c:pt>
                <c:pt idx="143">
                  <c:v>0.51200000000000001</c:v>
                </c:pt>
                <c:pt idx="144">
                  <c:v>0.378</c:v>
                </c:pt>
                <c:pt idx="145">
                  <c:v>0.36299999999999999</c:v>
                </c:pt>
                <c:pt idx="146">
                  <c:v>0.54300000000000004</c:v>
                </c:pt>
                <c:pt idx="147">
                  <c:v>0.42600000000000005</c:v>
                </c:pt>
                <c:pt idx="148">
                  <c:v>0.44900000000000001</c:v>
                </c:pt>
                <c:pt idx="149">
                  <c:v>0.39100000000000001</c:v>
                </c:pt>
                <c:pt idx="150">
                  <c:v>0.51800000000000002</c:v>
                </c:pt>
                <c:pt idx="151">
                  <c:v>0.46899999999999997</c:v>
                </c:pt>
                <c:pt idx="152">
                  <c:v>0.42899999999999999</c:v>
                </c:pt>
                <c:pt idx="153">
                  <c:v>0.501</c:v>
                </c:pt>
                <c:pt idx="154">
                  <c:v>0.379</c:v>
                </c:pt>
                <c:pt idx="155">
                  <c:v>0.311</c:v>
                </c:pt>
                <c:pt idx="156">
                  <c:v>0.52</c:v>
                </c:pt>
                <c:pt idx="157">
                  <c:v>0.45400000000000001</c:v>
                </c:pt>
                <c:pt idx="158">
                  <c:v>0.36700000000000005</c:v>
                </c:pt>
                <c:pt idx="159">
                  <c:v>0.46100000000000002</c:v>
                </c:pt>
                <c:pt idx="160">
                  <c:v>0.47000000000000003</c:v>
                </c:pt>
                <c:pt idx="161">
                  <c:v>0.314</c:v>
                </c:pt>
                <c:pt idx="162">
                  <c:v>0.436</c:v>
                </c:pt>
                <c:pt idx="163">
                  <c:v>0.35399999999999998</c:v>
                </c:pt>
                <c:pt idx="164">
                  <c:v>0.44700000000000006</c:v>
                </c:pt>
                <c:pt idx="165">
                  <c:v>0.49200000000000005</c:v>
                </c:pt>
                <c:pt idx="166">
                  <c:v>0.46200000000000002</c:v>
                </c:pt>
                <c:pt idx="167">
                  <c:v>0.51900000000000002</c:v>
                </c:pt>
                <c:pt idx="168">
                  <c:v>0.45700000000000002</c:v>
                </c:pt>
                <c:pt idx="169">
                  <c:v>0.35700000000000004</c:v>
                </c:pt>
                <c:pt idx="170">
                  <c:v>0.36799999999999999</c:v>
                </c:pt>
                <c:pt idx="171">
                  <c:v>0.38100000000000001</c:v>
                </c:pt>
                <c:pt idx="172">
                  <c:v>0.433</c:v>
                </c:pt>
                <c:pt idx="173">
                  <c:v>0.47200000000000003</c:v>
                </c:pt>
                <c:pt idx="174">
                  <c:v>0.50700000000000001</c:v>
                </c:pt>
                <c:pt idx="175">
                  <c:v>0.50600000000000001</c:v>
                </c:pt>
                <c:pt idx="176">
                  <c:v>0.36499999999999999</c:v>
                </c:pt>
                <c:pt idx="177">
                  <c:v>0.40399999999999997</c:v>
                </c:pt>
                <c:pt idx="178">
                  <c:v>0.45299999999999996</c:v>
                </c:pt>
                <c:pt idx="179">
                  <c:v>0.435</c:v>
                </c:pt>
                <c:pt idx="180">
                  <c:v>0.42799999999999999</c:v>
                </c:pt>
                <c:pt idx="181">
                  <c:v>0.58799999999999997</c:v>
                </c:pt>
                <c:pt idx="182">
                  <c:v>0.40399999999999997</c:v>
                </c:pt>
                <c:pt idx="183">
                  <c:v>0.52500000000000002</c:v>
                </c:pt>
                <c:pt idx="184">
                  <c:v>0.41899999999999998</c:v>
                </c:pt>
                <c:pt idx="185">
                  <c:v>0.33500000000000002</c:v>
                </c:pt>
                <c:pt idx="186">
                  <c:v>0.503</c:v>
                </c:pt>
                <c:pt idx="187">
                  <c:v>0.36399999999999999</c:v>
                </c:pt>
                <c:pt idx="188">
                  <c:v>0.27100000000000002</c:v>
                </c:pt>
                <c:pt idx="189">
                  <c:v>0.57799999999999996</c:v>
                </c:pt>
                <c:pt idx="190">
                  <c:v>0.47600000000000003</c:v>
                </c:pt>
                <c:pt idx="191">
                  <c:v>0.504</c:v>
                </c:pt>
                <c:pt idx="192">
                  <c:v>0.57899999999999996</c:v>
                </c:pt>
                <c:pt idx="193">
                  <c:v>0.52700000000000002</c:v>
                </c:pt>
                <c:pt idx="194">
                  <c:v>0.42499999999999999</c:v>
                </c:pt>
                <c:pt idx="195">
                  <c:v>0.34399999999999997</c:v>
                </c:pt>
                <c:pt idx="196">
                  <c:v>0.47200000000000003</c:v>
                </c:pt>
                <c:pt idx="197">
                  <c:v>0.46500000000000002</c:v>
                </c:pt>
                <c:pt idx="198">
                  <c:v>0.46399999999999997</c:v>
                </c:pt>
                <c:pt idx="199">
                  <c:v>0.438</c:v>
                </c:pt>
                <c:pt idx="200">
                  <c:v>0.33799999999999997</c:v>
                </c:pt>
                <c:pt idx="201">
                  <c:v>0.41600000000000004</c:v>
                </c:pt>
                <c:pt idx="202">
                  <c:v>0.434</c:v>
                </c:pt>
                <c:pt idx="203">
                  <c:v>0.33299999999999996</c:v>
                </c:pt>
                <c:pt idx="204">
                  <c:v>0.36600000000000005</c:v>
                </c:pt>
                <c:pt idx="205">
                  <c:v>0.47299999999999998</c:v>
                </c:pt>
                <c:pt idx="206">
                  <c:v>0.46799999999999997</c:v>
                </c:pt>
                <c:pt idx="207">
                  <c:v>0.32299999999999995</c:v>
                </c:pt>
                <c:pt idx="208">
                  <c:v>0.4</c:v>
                </c:pt>
                <c:pt idx="209">
                  <c:v>0.318</c:v>
                </c:pt>
                <c:pt idx="210">
                  <c:v>0.32500000000000001</c:v>
                </c:pt>
                <c:pt idx="211">
                  <c:v>0.45600000000000002</c:v>
                </c:pt>
                <c:pt idx="212">
                  <c:v>0.46700000000000003</c:v>
                </c:pt>
                <c:pt idx="213">
                  <c:v>0.375</c:v>
                </c:pt>
                <c:pt idx="214">
                  <c:v>0.28999999999999998</c:v>
                </c:pt>
                <c:pt idx="215">
                  <c:v>0.61</c:v>
                </c:pt>
                <c:pt idx="216">
                  <c:v>0.5</c:v>
                </c:pt>
                <c:pt idx="217">
                  <c:v>0.36299999999999999</c:v>
                </c:pt>
                <c:pt idx="218">
                  <c:v>0.42299999999999999</c:v>
                </c:pt>
                <c:pt idx="219">
                  <c:v>0.45799999999999996</c:v>
                </c:pt>
                <c:pt idx="220">
                  <c:v>0.38799999999999996</c:v>
                </c:pt>
                <c:pt idx="221">
                  <c:v>0.443</c:v>
                </c:pt>
                <c:pt idx="222">
                  <c:v>0.47700000000000004</c:v>
                </c:pt>
                <c:pt idx="223">
                  <c:v>0.312</c:v>
                </c:pt>
                <c:pt idx="224">
                  <c:v>0.42399999999999999</c:v>
                </c:pt>
                <c:pt idx="225">
                  <c:v>0.36499999999999999</c:v>
                </c:pt>
                <c:pt idx="226">
                  <c:v>0.38100000000000001</c:v>
                </c:pt>
                <c:pt idx="227">
                  <c:v>0.47600000000000003</c:v>
                </c:pt>
                <c:pt idx="228">
                  <c:v>0.42499999999999999</c:v>
                </c:pt>
                <c:pt idx="229">
                  <c:v>0.35000000000000003</c:v>
                </c:pt>
                <c:pt idx="230">
                  <c:v>0.47500000000000003</c:v>
                </c:pt>
                <c:pt idx="231">
                  <c:v>0.29499999999999998</c:v>
                </c:pt>
                <c:pt idx="232">
                  <c:v>0.35200000000000004</c:v>
                </c:pt>
                <c:pt idx="233">
                  <c:v>0.498</c:v>
                </c:pt>
                <c:pt idx="234">
                  <c:v>0.42200000000000004</c:v>
                </c:pt>
                <c:pt idx="235">
                  <c:v>0.49399999999999999</c:v>
                </c:pt>
                <c:pt idx="236">
                  <c:v>0.51200000000000001</c:v>
                </c:pt>
                <c:pt idx="237">
                  <c:v>0.54</c:v>
                </c:pt>
                <c:pt idx="238">
                  <c:v>0.32299999999999995</c:v>
                </c:pt>
                <c:pt idx="239">
                  <c:v>0.47299999999999998</c:v>
                </c:pt>
                <c:pt idx="240">
                  <c:v>0.44200000000000006</c:v>
                </c:pt>
                <c:pt idx="241">
                  <c:v>0.41600000000000004</c:v>
                </c:pt>
                <c:pt idx="242">
                  <c:v>0.501</c:v>
                </c:pt>
                <c:pt idx="243">
                  <c:v>0.44400000000000001</c:v>
                </c:pt>
                <c:pt idx="244">
                  <c:v>0.53400000000000003</c:v>
                </c:pt>
                <c:pt idx="245">
                  <c:v>0.47000000000000003</c:v>
                </c:pt>
                <c:pt idx="246">
                  <c:v>0.49700000000000005</c:v>
                </c:pt>
                <c:pt idx="247">
                  <c:v>0.50700000000000001</c:v>
                </c:pt>
                <c:pt idx="248">
                  <c:v>0.45100000000000001</c:v>
                </c:pt>
                <c:pt idx="249">
                  <c:v>0.52900000000000003</c:v>
                </c:pt>
              </c:numCache>
            </c:numRef>
          </c:xVal>
          <c:yVal>
            <c:numRef>
              <c:f>'Equal Variance Check'!$A$2:$A$251</c:f>
              <c:numCache>
                <c:formatCode>General</c:formatCode>
                <c:ptCount val="250"/>
                <c:pt idx="0">
                  <c:v>-5.3345753982558808E-3</c:v>
                </c:pt>
                <c:pt idx="1">
                  <c:v>3.7142916721940034E-2</c:v>
                </c:pt>
                <c:pt idx="2">
                  <c:v>6.3632015209022119E-2</c:v>
                </c:pt>
                <c:pt idx="3">
                  <c:v>-7.0147168820580863E-2</c:v>
                </c:pt>
                <c:pt idx="4">
                  <c:v>-1.0130009469184131E-2</c:v>
                </c:pt>
                <c:pt idx="5">
                  <c:v>-4.3798895114771863E-2</c:v>
                </c:pt>
                <c:pt idx="6">
                  <c:v>-4.0828383693807979E-2</c:v>
                </c:pt>
                <c:pt idx="7">
                  <c:v>-4.1739432165530943E-2</c:v>
                </c:pt>
                <c:pt idx="8">
                  <c:v>-2.424651855519705E-2</c:v>
                </c:pt>
                <c:pt idx="9">
                  <c:v>-1.7317226551329223E-2</c:v>
                </c:pt>
                <c:pt idx="10">
                  <c:v>2.5075771403070268E-3</c:v>
                </c:pt>
                <c:pt idx="11">
                  <c:v>-1.1714544813047956E-2</c:v>
                </c:pt>
                <c:pt idx="12">
                  <c:v>2.8962148423792689E-2</c:v>
                </c:pt>
                <c:pt idx="13">
                  <c:v>8.4663257721761753E-2</c:v>
                </c:pt>
                <c:pt idx="14">
                  <c:v>-7.334168595128443E-2</c:v>
                </c:pt>
                <c:pt idx="15">
                  <c:v>2.0688453461174428E-2</c:v>
                </c:pt>
                <c:pt idx="16">
                  <c:v>5.4134865031117418E-3</c:v>
                </c:pt>
                <c:pt idx="17">
                  <c:v>1.9445024219699902E-2</c:v>
                </c:pt>
                <c:pt idx="18">
                  <c:v>3.6520169403153613E-3</c:v>
                </c:pt>
                <c:pt idx="19">
                  <c:v>-6.7613090133375575E-2</c:v>
                </c:pt>
                <c:pt idx="20">
                  <c:v>3.1471355216155072E-2</c:v>
                </c:pt>
                <c:pt idx="21">
                  <c:v>0.11247237631704993</c:v>
                </c:pt>
                <c:pt idx="22">
                  <c:v>5.207256450127315E-2</c:v>
                </c:pt>
                <c:pt idx="23">
                  <c:v>-2.0663002102265682E-2</c:v>
                </c:pt>
                <c:pt idx="24">
                  <c:v>2.1033861955958133E-2</c:v>
                </c:pt>
                <c:pt idx="25">
                  <c:v>-1.3672521500146584E-2</c:v>
                </c:pt>
                <c:pt idx="26">
                  <c:v>-5.1016419629036525E-2</c:v>
                </c:pt>
                <c:pt idx="27">
                  <c:v>2.8298108515835141E-2</c:v>
                </c:pt>
                <c:pt idx="28">
                  <c:v>7.7186684539566341E-2</c:v>
                </c:pt>
                <c:pt idx="29">
                  <c:v>-3.6833740573344709E-2</c:v>
                </c:pt>
                <c:pt idx="30">
                  <c:v>3.0795601682177431E-2</c:v>
                </c:pt>
                <c:pt idx="31">
                  <c:v>-2.3794658806409519E-2</c:v>
                </c:pt>
                <c:pt idx="32">
                  <c:v>3.9112009185115093E-2</c:v>
                </c:pt>
                <c:pt idx="33">
                  <c:v>-8.470353064022168E-2</c:v>
                </c:pt>
                <c:pt idx="34">
                  <c:v>-6.1890682120288587E-2</c:v>
                </c:pt>
                <c:pt idx="35">
                  <c:v>-1.1383754395795809E-2</c:v>
                </c:pt>
                <c:pt idx="36">
                  <c:v>-1.5185722631792631E-2</c:v>
                </c:pt>
                <c:pt idx="37">
                  <c:v>2.6833706816984826E-2</c:v>
                </c:pt>
                <c:pt idx="38">
                  <c:v>-0.10391986704247108</c:v>
                </c:pt>
                <c:pt idx="39">
                  <c:v>7.7703507696118002E-3</c:v>
                </c:pt>
                <c:pt idx="40">
                  <c:v>7.0719355113745247E-2</c:v>
                </c:pt>
                <c:pt idx="41">
                  <c:v>5.7703450527940847E-2</c:v>
                </c:pt>
                <c:pt idx="42">
                  <c:v>-1.9286956099882624E-2</c:v>
                </c:pt>
                <c:pt idx="43">
                  <c:v>6.0910088668537976E-2</c:v>
                </c:pt>
                <c:pt idx="44">
                  <c:v>3.536690373418383E-2</c:v>
                </c:pt>
                <c:pt idx="45">
                  <c:v>-3.4698781452857652E-3</c:v>
                </c:pt>
                <c:pt idx="46">
                  <c:v>3.7413456620708607E-2</c:v>
                </c:pt>
                <c:pt idx="47">
                  <c:v>3.1848619951115376E-2</c:v>
                </c:pt>
                <c:pt idx="48">
                  <c:v>9.9641475004241253E-3</c:v>
                </c:pt>
                <c:pt idx="49">
                  <c:v>1.0041589251443273E-2</c:v>
                </c:pt>
                <c:pt idx="50">
                  <c:v>3.0566755781056942E-2</c:v>
                </c:pt>
                <c:pt idx="51">
                  <c:v>3.4157574071014329E-2</c:v>
                </c:pt>
                <c:pt idx="52">
                  <c:v>8.7639083648571148E-2</c:v>
                </c:pt>
                <c:pt idx="53">
                  <c:v>-2.4168324820024734E-3</c:v>
                </c:pt>
                <c:pt idx="54">
                  <c:v>-5.6428204473502608E-3</c:v>
                </c:pt>
                <c:pt idx="55">
                  <c:v>-9.5280094335154303E-2</c:v>
                </c:pt>
                <c:pt idx="56">
                  <c:v>3.0411834867045573E-2</c:v>
                </c:pt>
                <c:pt idx="57">
                  <c:v>-6.2469311255009319E-2</c:v>
                </c:pt>
                <c:pt idx="58">
                  <c:v>-1.6662787831112302E-2</c:v>
                </c:pt>
                <c:pt idx="59">
                  <c:v>-5.4402859215497867E-2</c:v>
                </c:pt>
                <c:pt idx="60">
                  <c:v>-3.0852920172391163E-3</c:v>
                </c:pt>
                <c:pt idx="61">
                  <c:v>-6.1798371865050772E-2</c:v>
                </c:pt>
                <c:pt idx="62">
                  <c:v>0.10863791503476972</c:v>
                </c:pt>
                <c:pt idx="63">
                  <c:v>-3.3259469982305168E-2</c:v>
                </c:pt>
                <c:pt idx="64">
                  <c:v>-2.1343348446685728E-2</c:v>
                </c:pt>
                <c:pt idx="65">
                  <c:v>-2.3303198044443196E-2</c:v>
                </c:pt>
                <c:pt idx="66">
                  <c:v>9.314791510945386E-3</c:v>
                </c:pt>
                <c:pt idx="67">
                  <c:v>-3.9478209086495297E-2</c:v>
                </c:pt>
                <c:pt idx="68">
                  <c:v>4.6552525397751843E-2</c:v>
                </c:pt>
                <c:pt idx="69">
                  <c:v>1.658047984598221E-2</c:v>
                </c:pt>
                <c:pt idx="70">
                  <c:v>2.5190849401737547E-2</c:v>
                </c:pt>
                <c:pt idx="71">
                  <c:v>-2.174988068305328E-2</c:v>
                </c:pt>
                <c:pt idx="72">
                  <c:v>-4.9229851725663965E-3</c:v>
                </c:pt>
                <c:pt idx="73">
                  <c:v>-2.7271225216195738E-2</c:v>
                </c:pt>
                <c:pt idx="74">
                  <c:v>-2.1446956389231497E-2</c:v>
                </c:pt>
                <c:pt idx="75">
                  <c:v>-3.4711886449338591E-2</c:v>
                </c:pt>
                <c:pt idx="76">
                  <c:v>-2.4330553688543644E-2</c:v>
                </c:pt>
                <c:pt idx="77">
                  <c:v>-6.2724944960435458E-2</c:v>
                </c:pt>
                <c:pt idx="78">
                  <c:v>-6.5007825513048623E-2</c:v>
                </c:pt>
                <c:pt idx="79">
                  <c:v>6.514526673178217E-2</c:v>
                </c:pt>
                <c:pt idx="80">
                  <c:v>1.3805283241508093E-4</c:v>
                </c:pt>
                <c:pt idx="81">
                  <c:v>-5.1746921079664943E-2</c:v>
                </c:pt>
                <c:pt idx="82">
                  <c:v>3.7441122076222855E-2</c:v>
                </c:pt>
                <c:pt idx="83">
                  <c:v>3.9214538910679608E-3</c:v>
                </c:pt>
                <c:pt idx="84">
                  <c:v>5.9817756110396303E-3</c:v>
                </c:pt>
                <c:pt idx="85">
                  <c:v>3.6322625366768668E-3</c:v>
                </c:pt>
                <c:pt idx="86">
                  <c:v>-1.2638647350910359E-2</c:v>
                </c:pt>
                <c:pt idx="87">
                  <c:v>-4.5134946417732857E-2</c:v>
                </c:pt>
                <c:pt idx="88">
                  <c:v>6.3341323589580389E-2</c:v>
                </c:pt>
                <c:pt idx="89">
                  <c:v>5.5662258608883519E-2</c:v>
                </c:pt>
                <c:pt idx="90">
                  <c:v>2.3071590004053844E-2</c:v>
                </c:pt>
                <c:pt idx="91">
                  <c:v>3.7341733494358709E-2</c:v>
                </c:pt>
                <c:pt idx="92">
                  <c:v>2.5724818118956327E-2</c:v>
                </c:pt>
                <c:pt idx="93">
                  <c:v>3.9734151677435825E-2</c:v>
                </c:pt>
                <c:pt idx="94">
                  <c:v>2.2794157922151892E-2</c:v>
                </c:pt>
                <c:pt idx="95">
                  <c:v>-5.3466334105582991E-3</c:v>
                </c:pt>
                <c:pt idx="96">
                  <c:v>2.7488632889553222E-2</c:v>
                </c:pt>
                <c:pt idx="97">
                  <c:v>-4.51765586410105E-2</c:v>
                </c:pt>
                <c:pt idx="98">
                  <c:v>-0.11271439793155752</c:v>
                </c:pt>
                <c:pt idx="99">
                  <c:v>-7.4506311232665601E-2</c:v>
                </c:pt>
                <c:pt idx="100">
                  <c:v>-2.5590412711256061E-2</c:v>
                </c:pt>
                <c:pt idx="101">
                  <c:v>-9.5661107921958533E-2</c:v>
                </c:pt>
                <c:pt idx="102">
                  <c:v>-2.3553497507783461E-2</c:v>
                </c:pt>
                <c:pt idx="103">
                  <c:v>-2.0930425841695854E-2</c:v>
                </c:pt>
                <c:pt idx="104">
                  <c:v>1.7389589781981463E-2</c:v>
                </c:pt>
                <c:pt idx="105">
                  <c:v>-0.10935412475640355</c:v>
                </c:pt>
                <c:pt idx="106">
                  <c:v>3.8083180752000678E-2</c:v>
                </c:pt>
                <c:pt idx="107">
                  <c:v>3.7794637907341333E-2</c:v>
                </c:pt>
                <c:pt idx="108">
                  <c:v>4.5082843041208687E-2</c:v>
                </c:pt>
                <c:pt idx="109">
                  <c:v>0.14009348608560201</c:v>
                </c:pt>
                <c:pt idx="110">
                  <c:v>-8.2759318907173363E-2</c:v>
                </c:pt>
                <c:pt idx="111">
                  <c:v>-1.6551340322174202E-2</c:v>
                </c:pt>
                <c:pt idx="112">
                  <c:v>-3.9208211698138984E-2</c:v>
                </c:pt>
                <c:pt idx="113">
                  <c:v>1.9848425232886047E-2</c:v>
                </c:pt>
                <c:pt idx="114">
                  <c:v>7.0896857564549665E-2</c:v>
                </c:pt>
                <c:pt idx="115">
                  <c:v>-1.9685239494836859E-2</c:v>
                </c:pt>
                <c:pt idx="116">
                  <c:v>6.5104989272734726E-2</c:v>
                </c:pt>
                <c:pt idx="117">
                  <c:v>-5.8892371788674125E-2</c:v>
                </c:pt>
                <c:pt idx="118">
                  <c:v>5.6868047579114789E-2</c:v>
                </c:pt>
                <c:pt idx="119">
                  <c:v>-3.8373058920818104E-2</c:v>
                </c:pt>
                <c:pt idx="120">
                  <c:v>3.2651080342524619E-2</c:v>
                </c:pt>
                <c:pt idx="121">
                  <c:v>9.163916422758539E-2</c:v>
                </c:pt>
                <c:pt idx="122">
                  <c:v>-2.6923541630464454E-2</c:v>
                </c:pt>
                <c:pt idx="123">
                  <c:v>3.0161104534654537E-2</c:v>
                </c:pt>
                <c:pt idx="124">
                  <c:v>3.4549800517980844E-2</c:v>
                </c:pt>
                <c:pt idx="125">
                  <c:v>5.7322208914412531E-2</c:v>
                </c:pt>
                <c:pt idx="126">
                  <c:v>-9.1370794636873032E-3</c:v>
                </c:pt>
                <c:pt idx="127">
                  <c:v>4.2531302588771913E-3</c:v>
                </c:pt>
                <c:pt idx="128">
                  <c:v>1.4883165558763345E-3</c:v>
                </c:pt>
                <c:pt idx="129">
                  <c:v>-9.3982071936070666E-3</c:v>
                </c:pt>
                <c:pt idx="130">
                  <c:v>3.1880064738244618E-2</c:v>
                </c:pt>
                <c:pt idx="131">
                  <c:v>-2.5268392298565923E-2</c:v>
                </c:pt>
                <c:pt idx="132">
                  <c:v>2.1535602353037753E-3</c:v>
                </c:pt>
                <c:pt idx="133">
                  <c:v>9.8340436296627254E-3</c:v>
                </c:pt>
                <c:pt idx="134">
                  <c:v>-4.2142703945263704E-2</c:v>
                </c:pt>
                <c:pt idx="135">
                  <c:v>-1.6864591952364671E-2</c:v>
                </c:pt>
                <c:pt idx="136">
                  <c:v>6.1075362208514672E-2</c:v>
                </c:pt>
                <c:pt idx="137">
                  <c:v>2.4080993993472966E-2</c:v>
                </c:pt>
                <c:pt idx="138">
                  <c:v>3.2142951689626609E-2</c:v>
                </c:pt>
                <c:pt idx="139">
                  <c:v>1.8702454448523587E-2</c:v>
                </c:pt>
                <c:pt idx="140">
                  <c:v>7.6866413634948172E-2</c:v>
                </c:pt>
                <c:pt idx="141">
                  <c:v>5.0820265501128503E-2</c:v>
                </c:pt>
                <c:pt idx="142">
                  <c:v>-1.8092530878452029E-2</c:v>
                </c:pt>
                <c:pt idx="143">
                  <c:v>-2.4578049833672344E-2</c:v>
                </c:pt>
                <c:pt idx="144">
                  <c:v>1.3430830829830542E-2</c:v>
                </c:pt>
                <c:pt idx="145">
                  <c:v>-2.1110245799853877E-2</c:v>
                </c:pt>
                <c:pt idx="146">
                  <c:v>1.6988919065044017E-2</c:v>
                </c:pt>
                <c:pt idx="147">
                  <c:v>1.2433089432248801E-2</c:v>
                </c:pt>
                <c:pt idx="148">
                  <c:v>-2.193252768500531E-2</c:v>
                </c:pt>
                <c:pt idx="149">
                  <c:v>0.10969569328679185</c:v>
                </c:pt>
                <c:pt idx="150">
                  <c:v>6.6954501896202223E-2</c:v>
                </c:pt>
                <c:pt idx="151">
                  <c:v>3.2687661031705284E-2</c:v>
                </c:pt>
                <c:pt idx="152">
                  <c:v>-1.4674089835746806E-2</c:v>
                </c:pt>
                <c:pt idx="153">
                  <c:v>-2.385517668396353E-2</c:v>
                </c:pt>
                <c:pt idx="154">
                  <c:v>-6.8726704566471397E-2</c:v>
                </c:pt>
                <c:pt idx="155">
                  <c:v>1.3665614125640269E-2</c:v>
                </c:pt>
                <c:pt idx="156">
                  <c:v>-8.9953073766966818E-3</c:v>
                </c:pt>
                <c:pt idx="157">
                  <c:v>-1.7676730700725007E-2</c:v>
                </c:pt>
                <c:pt idx="158">
                  <c:v>-5.1217053411470703E-2</c:v>
                </c:pt>
                <c:pt idx="159">
                  <c:v>-3.2890579635783013E-2</c:v>
                </c:pt>
                <c:pt idx="160">
                  <c:v>1.4476205337416503E-2</c:v>
                </c:pt>
                <c:pt idx="161">
                  <c:v>-4.1101966373382037E-2</c:v>
                </c:pt>
                <c:pt idx="162">
                  <c:v>-1.9468141649682358E-2</c:v>
                </c:pt>
                <c:pt idx="163">
                  <c:v>-2.2189974988711503E-2</c:v>
                </c:pt>
                <c:pt idx="164">
                  <c:v>1.6965160284566405E-2</c:v>
                </c:pt>
                <c:pt idx="165">
                  <c:v>-4.4871466163016738E-3</c:v>
                </c:pt>
                <c:pt idx="166">
                  <c:v>-4.1060360888789171E-2</c:v>
                </c:pt>
                <c:pt idx="167">
                  <c:v>3.020108742419092E-3</c:v>
                </c:pt>
                <c:pt idx="168">
                  <c:v>3.46900242415214E-2</c:v>
                </c:pt>
                <c:pt idx="169">
                  <c:v>-5.8044311667823478E-2</c:v>
                </c:pt>
                <c:pt idx="170">
                  <c:v>2.715092402718805E-2</c:v>
                </c:pt>
                <c:pt idx="171">
                  <c:v>1.0981465359730269E-2</c:v>
                </c:pt>
                <c:pt idx="172">
                  <c:v>-6.8536161507105786E-2</c:v>
                </c:pt>
                <c:pt idx="173">
                  <c:v>-2.3673281907152344E-2</c:v>
                </c:pt>
                <c:pt idx="174">
                  <c:v>4.1995104858750798E-2</c:v>
                </c:pt>
                <c:pt idx="175">
                  <c:v>-0.12247332357374469</c:v>
                </c:pt>
                <c:pt idx="176">
                  <c:v>2.2390122510864918E-2</c:v>
                </c:pt>
                <c:pt idx="177">
                  <c:v>-1.0301223848826868E-2</c:v>
                </c:pt>
                <c:pt idx="178">
                  <c:v>6.8486570999850893E-2</c:v>
                </c:pt>
                <c:pt idx="179">
                  <c:v>-1.3085270572023244E-2</c:v>
                </c:pt>
                <c:pt idx="180">
                  <c:v>-3.0651052454223671E-2</c:v>
                </c:pt>
                <c:pt idx="181">
                  <c:v>1.9193723094928394E-2</c:v>
                </c:pt>
                <c:pt idx="182">
                  <c:v>-1.3493741917015856E-2</c:v>
                </c:pt>
                <c:pt idx="183">
                  <c:v>3.0477773215547344E-2</c:v>
                </c:pt>
                <c:pt idx="184">
                  <c:v>-1.9206944953586769E-2</c:v>
                </c:pt>
                <c:pt idx="185">
                  <c:v>-1.1845073781667992E-2</c:v>
                </c:pt>
                <c:pt idx="186">
                  <c:v>1.4572887715797678E-2</c:v>
                </c:pt>
                <c:pt idx="187">
                  <c:v>-0.16329287864061298</c:v>
                </c:pt>
                <c:pt idx="188">
                  <c:v>-1.7212703616473535E-2</c:v>
                </c:pt>
                <c:pt idx="189">
                  <c:v>8.0710460979222187E-2</c:v>
                </c:pt>
                <c:pt idx="190">
                  <c:v>2.1338389620021769E-2</c:v>
                </c:pt>
                <c:pt idx="191">
                  <c:v>-3.9012551573760101E-2</c:v>
                </c:pt>
                <c:pt idx="192">
                  <c:v>2.746785569329141E-2</c:v>
                </c:pt>
                <c:pt idx="193">
                  <c:v>-9.0735744223177761E-2</c:v>
                </c:pt>
                <c:pt idx="194">
                  <c:v>4.6397874822495855E-2</c:v>
                </c:pt>
                <c:pt idx="195">
                  <c:v>-2.5440951486879027E-2</c:v>
                </c:pt>
                <c:pt idx="196">
                  <c:v>-4.8877883754851636E-2</c:v>
                </c:pt>
                <c:pt idx="197">
                  <c:v>-1.0913971012066204E-2</c:v>
                </c:pt>
                <c:pt idx="198">
                  <c:v>5.5958766272852789E-3</c:v>
                </c:pt>
                <c:pt idx="199">
                  <c:v>1.7292040321782387E-2</c:v>
                </c:pt>
                <c:pt idx="200">
                  <c:v>-5.2248957828592735E-2</c:v>
                </c:pt>
                <c:pt idx="201">
                  <c:v>5.1646394501030646E-2</c:v>
                </c:pt>
                <c:pt idx="202">
                  <c:v>-2.036031770325164E-2</c:v>
                </c:pt>
                <c:pt idx="203">
                  <c:v>1.5194344818637351E-2</c:v>
                </c:pt>
                <c:pt idx="204">
                  <c:v>6.6751255382679342E-3</c:v>
                </c:pt>
                <c:pt idx="205">
                  <c:v>-2.1460639101174017E-2</c:v>
                </c:pt>
                <c:pt idx="206">
                  <c:v>9.1356354526820116E-2</c:v>
                </c:pt>
                <c:pt idx="207">
                  <c:v>2.6381098861020025E-2</c:v>
                </c:pt>
                <c:pt idx="208">
                  <c:v>3.0806345607822749E-2</c:v>
                </c:pt>
                <c:pt idx="209">
                  <c:v>5.354203058796414E-3</c:v>
                </c:pt>
                <c:pt idx="210">
                  <c:v>7.296011612433545E-2</c:v>
                </c:pt>
                <c:pt idx="211">
                  <c:v>-1.8909984683692926E-2</c:v>
                </c:pt>
                <c:pt idx="212">
                  <c:v>-3.2586577863377819E-2</c:v>
                </c:pt>
                <c:pt idx="213">
                  <c:v>4.7340943216010622E-2</c:v>
                </c:pt>
                <c:pt idx="214">
                  <c:v>-2.5739090235779138E-2</c:v>
                </c:pt>
                <c:pt idx="215">
                  <c:v>-3.0329379435240389E-2</c:v>
                </c:pt>
                <c:pt idx="216">
                  <c:v>2.0088873356748527E-2</c:v>
                </c:pt>
                <c:pt idx="217">
                  <c:v>2.9272922290209502E-2</c:v>
                </c:pt>
                <c:pt idx="218">
                  <c:v>1.2487338039610496E-2</c:v>
                </c:pt>
                <c:pt idx="219">
                  <c:v>4.3290561405855355E-2</c:v>
                </c:pt>
                <c:pt idx="220">
                  <c:v>8.1207138187808336E-2</c:v>
                </c:pt>
                <c:pt idx="221">
                  <c:v>-2.4831794349429004E-2</c:v>
                </c:pt>
                <c:pt idx="222">
                  <c:v>-8.4580282378803384E-2</c:v>
                </c:pt>
                <c:pt idx="223">
                  <c:v>2.5616422032728459E-2</c:v>
                </c:pt>
                <c:pt idx="224">
                  <c:v>3.193003116180515E-2</c:v>
                </c:pt>
                <c:pt idx="225">
                  <c:v>4.8071498482628594E-3</c:v>
                </c:pt>
                <c:pt idx="226">
                  <c:v>-2.6315074326582755E-4</c:v>
                </c:pt>
                <c:pt idx="227">
                  <c:v>2.8608880830524597E-3</c:v>
                </c:pt>
                <c:pt idx="228">
                  <c:v>4.3911715185790956E-2</c:v>
                </c:pt>
                <c:pt idx="229">
                  <c:v>-3.4230586503116722E-2</c:v>
                </c:pt>
                <c:pt idx="230">
                  <c:v>-9.249465041191729E-3</c:v>
                </c:pt>
                <c:pt idx="231">
                  <c:v>-1.8525456404726304E-2</c:v>
                </c:pt>
                <c:pt idx="232">
                  <c:v>-6.6924403399470367E-3</c:v>
                </c:pt>
                <c:pt idx="233">
                  <c:v>-9.7887573951697671E-3</c:v>
                </c:pt>
                <c:pt idx="234">
                  <c:v>7.2561468626193781E-2</c:v>
                </c:pt>
                <c:pt idx="235">
                  <c:v>5.1061484393600809E-2</c:v>
                </c:pt>
                <c:pt idx="236">
                  <c:v>-3.2805193472136285E-2</c:v>
                </c:pt>
                <c:pt idx="237">
                  <c:v>-8.1441301602401595E-2</c:v>
                </c:pt>
                <c:pt idx="238">
                  <c:v>-2.2721151912819926E-2</c:v>
                </c:pt>
                <c:pt idx="239">
                  <c:v>7.4755368246660625E-3</c:v>
                </c:pt>
                <c:pt idx="240">
                  <c:v>5.7471160581335501E-3</c:v>
                </c:pt>
                <c:pt idx="241">
                  <c:v>-5.1597271306033921E-2</c:v>
                </c:pt>
                <c:pt idx="242">
                  <c:v>-4.4168153288646039E-2</c:v>
                </c:pt>
                <c:pt idx="243">
                  <c:v>-7.4135663739674063E-2</c:v>
                </c:pt>
                <c:pt idx="244">
                  <c:v>-3.1052897552720227E-3</c:v>
                </c:pt>
                <c:pt idx="245">
                  <c:v>5.2553297929576748E-3</c:v>
                </c:pt>
                <c:pt idx="246">
                  <c:v>4.1185552255098568E-2</c:v>
                </c:pt>
                <c:pt idx="247">
                  <c:v>8.7484121492573452E-2</c:v>
                </c:pt>
                <c:pt idx="248">
                  <c:v>-3.6286893493856165E-2</c:v>
                </c:pt>
                <c:pt idx="249">
                  <c:v>-6.5581346962375775E-2</c:v>
                </c:pt>
              </c:numCache>
            </c:numRef>
          </c:yVal>
          <c:smooth val="0"/>
          <c:extLst>
            <c:ext xmlns:c16="http://schemas.microsoft.com/office/drawing/2014/chart" uri="{C3380CC4-5D6E-409C-BE32-E72D297353CC}">
              <c16:uniqueId val="{00000000-1F26-4C29-BE38-21980E8E5C48}"/>
            </c:ext>
          </c:extLst>
        </c:ser>
        <c:dLbls>
          <c:showLegendKey val="0"/>
          <c:showVal val="0"/>
          <c:showCatName val="0"/>
          <c:showSerName val="0"/>
          <c:showPercent val="0"/>
          <c:showBubbleSize val="0"/>
        </c:dLbls>
        <c:axId val="1030176895"/>
        <c:axId val="1030187935"/>
      </c:scatterChart>
      <c:valAx>
        <c:axId val="1030176895"/>
        <c:scaling>
          <c:orientation val="minMax"/>
          <c:min val="0.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Female</a:t>
                </a:r>
                <a:r>
                  <a:rPr lang="en-US" baseline="0"/>
                  <a:t> Athlete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87935"/>
        <c:crossesAt val="-0.2"/>
        <c:crossBetween val="midCat"/>
      </c:valAx>
      <c:valAx>
        <c:axId val="1030187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Residual</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768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Residuals V Total Athletic Spending</c:v>
          </c:tx>
          <c:spPr>
            <a:ln w="25400" cap="rnd">
              <a:noFill/>
              <a:round/>
            </a:ln>
            <a:effectLst/>
          </c:spPr>
          <c:marker>
            <c:symbol val="circle"/>
            <c:size val="5"/>
            <c:spPr>
              <a:solidFill>
                <a:schemeClr val="accent1"/>
              </a:solidFill>
              <a:ln w="9525">
                <a:solidFill>
                  <a:schemeClr val="accent1"/>
                </a:solidFill>
              </a:ln>
              <a:effectLst/>
            </c:spPr>
          </c:marker>
          <c:xVal>
            <c:numRef>
              <c:f>'Equal Variance Check'!$D$2:$D$251</c:f>
              <c:numCache>
                <c:formatCode>General</c:formatCode>
                <c:ptCount val="250"/>
                <c:pt idx="0">
                  <c:v>5713327</c:v>
                </c:pt>
                <c:pt idx="1">
                  <c:v>10627020</c:v>
                </c:pt>
                <c:pt idx="2">
                  <c:v>3589042</c:v>
                </c:pt>
                <c:pt idx="3">
                  <c:v>29093061</c:v>
                </c:pt>
                <c:pt idx="4">
                  <c:v>17346909</c:v>
                </c:pt>
                <c:pt idx="5">
                  <c:v>690448</c:v>
                </c:pt>
                <c:pt idx="6">
                  <c:v>17876804</c:v>
                </c:pt>
                <c:pt idx="7">
                  <c:v>2960787</c:v>
                </c:pt>
                <c:pt idx="8">
                  <c:v>7007753</c:v>
                </c:pt>
                <c:pt idx="9">
                  <c:v>7454057</c:v>
                </c:pt>
                <c:pt idx="10">
                  <c:v>516439</c:v>
                </c:pt>
                <c:pt idx="11">
                  <c:v>12304601</c:v>
                </c:pt>
                <c:pt idx="12">
                  <c:v>476923</c:v>
                </c:pt>
                <c:pt idx="13">
                  <c:v>11004696</c:v>
                </c:pt>
                <c:pt idx="14">
                  <c:v>372331</c:v>
                </c:pt>
                <c:pt idx="15">
                  <c:v>2762782</c:v>
                </c:pt>
                <c:pt idx="16">
                  <c:v>1141701</c:v>
                </c:pt>
                <c:pt idx="17">
                  <c:v>2249065</c:v>
                </c:pt>
                <c:pt idx="18">
                  <c:v>4380868</c:v>
                </c:pt>
                <c:pt idx="19">
                  <c:v>574568</c:v>
                </c:pt>
                <c:pt idx="20">
                  <c:v>2450246</c:v>
                </c:pt>
                <c:pt idx="21">
                  <c:v>6308712</c:v>
                </c:pt>
                <c:pt idx="22">
                  <c:v>71997827</c:v>
                </c:pt>
                <c:pt idx="23">
                  <c:v>4089296</c:v>
                </c:pt>
                <c:pt idx="24">
                  <c:v>1188745</c:v>
                </c:pt>
                <c:pt idx="25">
                  <c:v>2659044</c:v>
                </c:pt>
                <c:pt idx="26">
                  <c:v>14353706</c:v>
                </c:pt>
                <c:pt idx="27">
                  <c:v>5113232</c:v>
                </c:pt>
                <c:pt idx="28">
                  <c:v>5975133</c:v>
                </c:pt>
                <c:pt idx="29">
                  <c:v>19767665</c:v>
                </c:pt>
                <c:pt idx="30">
                  <c:v>1581178</c:v>
                </c:pt>
                <c:pt idx="31">
                  <c:v>4416654</c:v>
                </c:pt>
                <c:pt idx="32">
                  <c:v>13894714</c:v>
                </c:pt>
                <c:pt idx="33">
                  <c:v>43152829</c:v>
                </c:pt>
                <c:pt idx="34">
                  <c:v>4285223</c:v>
                </c:pt>
                <c:pt idx="35">
                  <c:v>1291292</c:v>
                </c:pt>
                <c:pt idx="36">
                  <c:v>8786653</c:v>
                </c:pt>
                <c:pt idx="37">
                  <c:v>12765375</c:v>
                </c:pt>
                <c:pt idx="38">
                  <c:v>25794623</c:v>
                </c:pt>
                <c:pt idx="39">
                  <c:v>1423732</c:v>
                </c:pt>
                <c:pt idx="40">
                  <c:v>72761856</c:v>
                </c:pt>
                <c:pt idx="41">
                  <c:v>1908200</c:v>
                </c:pt>
                <c:pt idx="42">
                  <c:v>6918234</c:v>
                </c:pt>
                <c:pt idx="43">
                  <c:v>4186109</c:v>
                </c:pt>
                <c:pt idx="44">
                  <c:v>614250</c:v>
                </c:pt>
                <c:pt idx="45">
                  <c:v>3418783</c:v>
                </c:pt>
                <c:pt idx="46">
                  <c:v>4642905</c:v>
                </c:pt>
                <c:pt idx="47">
                  <c:v>4151886</c:v>
                </c:pt>
                <c:pt idx="48">
                  <c:v>3510734</c:v>
                </c:pt>
                <c:pt idx="49">
                  <c:v>1335767</c:v>
                </c:pt>
                <c:pt idx="50">
                  <c:v>80631180</c:v>
                </c:pt>
                <c:pt idx="51">
                  <c:v>8542548</c:v>
                </c:pt>
                <c:pt idx="52">
                  <c:v>12386814</c:v>
                </c:pt>
                <c:pt idx="53">
                  <c:v>1116865</c:v>
                </c:pt>
                <c:pt idx="54">
                  <c:v>52735058</c:v>
                </c:pt>
                <c:pt idx="55">
                  <c:v>51713559</c:v>
                </c:pt>
                <c:pt idx="56">
                  <c:v>6549507</c:v>
                </c:pt>
                <c:pt idx="57">
                  <c:v>3858415</c:v>
                </c:pt>
                <c:pt idx="58">
                  <c:v>5739417</c:v>
                </c:pt>
                <c:pt idx="59">
                  <c:v>11882284</c:v>
                </c:pt>
                <c:pt idx="60">
                  <c:v>3296000</c:v>
                </c:pt>
                <c:pt idx="61">
                  <c:v>2000067</c:v>
                </c:pt>
                <c:pt idx="62">
                  <c:v>101627591</c:v>
                </c:pt>
                <c:pt idx="63">
                  <c:v>1849317</c:v>
                </c:pt>
                <c:pt idx="64">
                  <c:v>3029389</c:v>
                </c:pt>
                <c:pt idx="65">
                  <c:v>3672052</c:v>
                </c:pt>
                <c:pt idx="66">
                  <c:v>10417036</c:v>
                </c:pt>
                <c:pt idx="67">
                  <c:v>2088018</c:v>
                </c:pt>
                <c:pt idx="68">
                  <c:v>17044487</c:v>
                </c:pt>
                <c:pt idx="69">
                  <c:v>303545</c:v>
                </c:pt>
                <c:pt idx="70">
                  <c:v>4010897</c:v>
                </c:pt>
                <c:pt idx="71">
                  <c:v>2824403</c:v>
                </c:pt>
                <c:pt idx="72">
                  <c:v>4268961</c:v>
                </c:pt>
                <c:pt idx="73">
                  <c:v>21164677</c:v>
                </c:pt>
                <c:pt idx="74">
                  <c:v>28809882</c:v>
                </c:pt>
                <c:pt idx="75">
                  <c:v>3033895</c:v>
                </c:pt>
                <c:pt idx="76">
                  <c:v>719237</c:v>
                </c:pt>
                <c:pt idx="77">
                  <c:v>828075</c:v>
                </c:pt>
                <c:pt idx="78">
                  <c:v>3549181</c:v>
                </c:pt>
                <c:pt idx="79">
                  <c:v>14258775</c:v>
                </c:pt>
                <c:pt idx="80">
                  <c:v>7836144</c:v>
                </c:pt>
                <c:pt idx="81">
                  <c:v>2683821</c:v>
                </c:pt>
                <c:pt idx="82">
                  <c:v>12333372</c:v>
                </c:pt>
                <c:pt idx="83">
                  <c:v>18045694</c:v>
                </c:pt>
                <c:pt idx="84">
                  <c:v>3095117</c:v>
                </c:pt>
                <c:pt idx="85">
                  <c:v>705952</c:v>
                </c:pt>
                <c:pt idx="86">
                  <c:v>17022019</c:v>
                </c:pt>
                <c:pt idx="87">
                  <c:v>4648360</c:v>
                </c:pt>
                <c:pt idx="88">
                  <c:v>22344165</c:v>
                </c:pt>
                <c:pt idx="89">
                  <c:v>1211938</c:v>
                </c:pt>
                <c:pt idx="90">
                  <c:v>846593</c:v>
                </c:pt>
                <c:pt idx="91">
                  <c:v>9456989</c:v>
                </c:pt>
                <c:pt idx="92">
                  <c:v>2571335</c:v>
                </c:pt>
                <c:pt idx="93">
                  <c:v>10968228</c:v>
                </c:pt>
                <c:pt idx="94">
                  <c:v>797743</c:v>
                </c:pt>
                <c:pt idx="95">
                  <c:v>12034064</c:v>
                </c:pt>
                <c:pt idx="96">
                  <c:v>3136616</c:v>
                </c:pt>
                <c:pt idx="97">
                  <c:v>84330744</c:v>
                </c:pt>
                <c:pt idx="98">
                  <c:v>2411340</c:v>
                </c:pt>
                <c:pt idx="99">
                  <c:v>44745806</c:v>
                </c:pt>
                <c:pt idx="100">
                  <c:v>1218797</c:v>
                </c:pt>
                <c:pt idx="101">
                  <c:v>816915</c:v>
                </c:pt>
                <c:pt idx="102">
                  <c:v>9711258</c:v>
                </c:pt>
                <c:pt idx="103">
                  <c:v>577835</c:v>
                </c:pt>
                <c:pt idx="104">
                  <c:v>5013233</c:v>
                </c:pt>
                <c:pt idx="105">
                  <c:v>15346032</c:v>
                </c:pt>
                <c:pt idx="106">
                  <c:v>2148214</c:v>
                </c:pt>
                <c:pt idx="107">
                  <c:v>4328227</c:v>
                </c:pt>
                <c:pt idx="108">
                  <c:v>4582583</c:v>
                </c:pt>
                <c:pt idx="109">
                  <c:v>5213193</c:v>
                </c:pt>
                <c:pt idx="110">
                  <c:v>7379063</c:v>
                </c:pt>
                <c:pt idx="111">
                  <c:v>6939737</c:v>
                </c:pt>
                <c:pt idx="112">
                  <c:v>2026466</c:v>
                </c:pt>
                <c:pt idx="113">
                  <c:v>4217557</c:v>
                </c:pt>
                <c:pt idx="114">
                  <c:v>11134589</c:v>
                </c:pt>
                <c:pt idx="115">
                  <c:v>1620709</c:v>
                </c:pt>
                <c:pt idx="116">
                  <c:v>6679239</c:v>
                </c:pt>
                <c:pt idx="117">
                  <c:v>24959807</c:v>
                </c:pt>
                <c:pt idx="118">
                  <c:v>10959152</c:v>
                </c:pt>
                <c:pt idx="119">
                  <c:v>357459</c:v>
                </c:pt>
                <c:pt idx="120">
                  <c:v>1107410</c:v>
                </c:pt>
                <c:pt idx="121">
                  <c:v>4122237</c:v>
                </c:pt>
                <c:pt idx="122">
                  <c:v>2832463</c:v>
                </c:pt>
                <c:pt idx="123">
                  <c:v>4303941</c:v>
                </c:pt>
                <c:pt idx="124">
                  <c:v>3403074</c:v>
                </c:pt>
                <c:pt idx="125">
                  <c:v>2562929</c:v>
                </c:pt>
                <c:pt idx="126">
                  <c:v>74370</c:v>
                </c:pt>
                <c:pt idx="127">
                  <c:v>79719731</c:v>
                </c:pt>
                <c:pt idx="128">
                  <c:v>3653764</c:v>
                </c:pt>
                <c:pt idx="129">
                  <c:v>1789311</c:v>
                </c:pt>
                <c:pt idx="130">
                  <c:v>3004339</c:v>
                </c:pt>
                <c:pt idx="131">
                  <c:v>3098688</c:v>
                </c:pt>
                <c:pt idx="132">
                  <c:v>1884240</c:v>
                </c:pt>
                <c:pt idx="133">
                  <c:v>4018248</c:v>
                </c:pt>
                <c:pt idx="134">
                  <c:v>18703190</c:v>
                </c:pt>
                <c:pt idx="135">
                  <c:v>1482726</c:v>
                </c:pt>
                <c:pt idx="136">
                  <c:v>4854278</c:v>
                </c:pt>
                <c:pt idx="137">
                  <c:v>2641910</c:v>
                </c:pt>
                <c:pt idx="138">
                  <c:v>3016591</c:v>
                </c:pt>
                <c:pt idx="139">
                  <c:v>695585</c:v>
                </c:pt>
                <c:pt idx="140">
                  <c:v>742945</c:v>
                </c:pt>
                <c:pt idx="141">
                  <c:v>428383</c:v>
                </c:pt>
                <c:pt idx="142">
                  <c:v>5348776</c:v>
                </c:pt>
                <c:pt idx="143">
                  <c:v>5078906</c:v>
                </c:pt>
                <c:pt idx="144">
                  <c:v>1293005</c:v>
                </c:pt>
                <c:pt idx="145">
                  <c:v>8046322</c:v>
                </c:pt>
                <c:pt idx="146">
                  <c:v>18956826</c:v>
                </c:pt>
                <c:pt idx="147">
                  <c:v>3748170</c:v>
                </c:pt>
                <c:pt idx="148">
                  <c:v>4068710</c:v>
                </c:pt>
                <c:pt idx="149">
                  <c:v>1646320</c:v>
                </c:pt>
                <c:pt idx="150">
                  <c:v>9345986</c:v>
                </c:pt>
                <c:pt idx="151">
                  <c:v>2997108</c:v>
                </c:pt>
                <c:pt idx="152">
                  <c:v>5005471</c:v>
                </c:pt>
                <c:pt idx="153">
                  <c:v>2464943</c:v>
                </c:pt>
                <c:pt idx="154">
                  <c:v>1860167</c:v>
                </c:pt>
                <c:pt idx="155">
                  <c:v>3466028</c:v>
                </c:pt>
                <c:pt idx="156">
                  <c:v>21453064</c:v>
                </c:pt>
                <c:pt idx="157">
                  <c:v>2905881</c:v>
                </c:pt>
                <c:pt idx="158">
                  <c:v>8453326</c:v>
                </c:pt>
                <c:pt idx="159">
                  <c:v>5494696</c:v>
                </c:pt>
                <c:pt idx="160">
                  <c:v>4105328</c:v>
                </c:pt>
                <c:pt idx="161">
                  <c:v>3349138</c:v>
                </c:pt>
                <c:pt idx="162">
                  <c:v>2583155</c:v>
                </c:pt>
                <c:pt idx="163">
                  <c:v>3172039</c:v>
                </c:pt>
                <c:pt idx="164">
                  <c:v>5660679</c:v>
                </c:pt>
                <c:pt idx="165">
                  <c:v>5203694</c:v>
                </c:pt>
                <c:pt idx="166">
                  <c:v>16671563</c:v>
                </c:pt>
                <c:pt idx="167">
                  <c:v>6587786</c:v>
                </c:pt>
                <c:pt idx="168">
                  <c:v>4407349</c:v>
                </c:pt>
                <c:pt idx="169">
                  <c:v>2722577</c:v>
                </c:pt>
                <c:pt idx="170">
                  <c:v>1323325</c:v>
                </c:pt>
                <c:pt idx="171">
                  <c:v>11567115</c:v>
                </c:pt>
                <c:pt idx="172">
                  <c:v>542206</c:v>
                </c:pt>
                <c:pt idx="173">
                  <c:v>1175569</c:v>
                </c:pt>
                <c:pt idx="174">
                  <c:v>11600522</c:v>
                </c:pt>
                <c:pt idx="175">
                  <c:v>25694253</c:v>
                </c:pt>
                <c:pt idx="176">
                  <c:v>1895180</c:v>
                </c:pt>
                <c:pt idx="177">
                  <c:v>4409626</c:v>
                </c:pt>
                <c:pt idx="178">
                  <c:v>1950716</c:v>
                </c:pt>
                <c:pt idx="179">
                  <c:v>2542251</c:v>
                </c:pt>
                <c:pt idx="180">
                  <c:v>3648281</c:v>
                </c:pt>
                <c:pt idx="181">
                  <c:v>779287</c:v>
                </c:pt>
                <c:pt idx="182">
                  <c:v>5149358</c:v>
                </c:pt>
                <c:pt idx="183">
                  <c:v>920005</c:v>
                </c:pt>
                <c:pt idx="184">
                  <c:v>817583</c:v>
                </c:pt>
                <c:pt idx="185">
                  <c:v>2526131</c:v>
                </c:pt>
                <c:pt idx="186">
                  <c:v>4862764</c:v>
                </c:pt>
                <c:pt idx="187">
                  <c:v>3889136</c:v>
                </c:pt>
                <c:pt idx="188">
                  <c:v>5230213</c:v>
                </c:pt>
                <c:pt idx="189">
                  <c:v>2986937</c:v>
                </c:pt>
                <c:pt idx="190">
                  <c:v>5789418</c:v>
                </c:pt>
                <c:pt idx="191">
                  <c:v>2894046</c:v>
                </c:pt>
                <c:pt idx="192">
                  <c:v>13298777</c:v>
                </c:pt>
                <c:pt idx="193">
                  <c:v>22461499</c:v>
                </c:pt>
                <c:pt idx="194">
                  <c:v>1136275</c:v>
                </c:pt>
                <c:pt idx="195">
                  <c:v>2609100</c:v>
                </c:pt>
                <c:pt idx="196">
                  <c:v>2523462</c:v>
                </c:pt>
                <c:pt idx="197">
                  <c:v>3449423</c:v>
                </c:pt>
                <c:pt idx="198">
                  <c:v>4070570</c:v>
                </c:pt>
                <c:pt idx="199">
                  <c:v>2032992</c:v>
                </c:pt>
                <c:pt idx="200">
                  <c:v>5633416</c:v>
                </c:pt>
                <c:pt idx="201">
                  <c:v>8773153</c:v>
                </c:pt>
                <c:pt idx="202">
                  <c:v>3625546</c:v>
                </c:pt>
                <c:pt idx="203">
                  <c:v>2229930</c:v>
                </c:pt>
                <c:pt idx="204">
                  <c:v>2964916</c:v>
                </c:pt>
                <c:pt idx="205">
                  <c:v>24823606</c:v>
                </c:pt>
                <c:pt idx="206">
                  <c:v>12592594</c:v>
                </c:pt>
                <c:pt idx="207">
                  <c:v>1181511</c:v>
                </c:pt>
                <c:pt idx="208">
                  <c:v>75327515</c:v>
                </c:pt>
                <c:pt idx="209">
                  <c:v>1395719</c:v>
                </c:pt>
                <c:pt idx="210">
                  <c:v>2217242</c:v>
                </c:pt>
                <c:pt idx="211">
                  <c:v>20239048</c:v>
                </c:pt>
                <c:pt idx="212">
                  <c:v>1110856</c:v>
                </c:pt>
                <c:pt idx="213">
                  <c:v>3214219</c:v>
                </c:pt>
                <c:pt idx="214">
                  <c:v>2454844</c:v>
                </c:pt>
                <c:pt idx="215">
                  <c:v>540890</c:v>
                </c:pt>
                <c:pt idx="216">
                  <c:v>72360663</c:v>
                </c:pt>
                <c:pt idx="217">
                  <c:v>12821935</c:v>
                </c:pt>
                <c:pt idx="218">
                  <c:v>7023115</c:v>
                </c:pt>
                <c:pt idx="219">
                  <c:v>9228360</c:v>
                </c:pt>
                <c:pt idx="220">
                  <c:v>2446863</c:v>
                </c:pt>
                <c:pt idx="221">
                  <c:v>32370943</c:v>
                </c:pt>
                <c:pt idx="222">
                  <c:v>17224262</c:v>
                </c:pt>
                <c:pt idx="223">
                  <c:v>2071046</c:v>
                </c:pt>
                <c:pt idx="224">
                  <c:v>12309192</c:v>
                </c:pt>
                <c:pt idx="225">
                  <c:v>1544532</c:v>
                </c:pt>
                <c:pt idx="226">
                  <c:v>2650043</c:v>
                </c:pt>
                <c:pt idx="227">
                  <c:v>3780635</c:v>
                </c:pt>
                <c:pt idx="228">
                  <c:v>4124481</c:v>
                </c:pt>
                <c:pt idx="229">
                  <c:v>4228466</c:v>
                </c:pt>
                <c:pt idx="230">
                  <c:v>1156375</c:v>
                </c:pt>
                <c:pt idx="231">
                  <c:v>2300088</c:v>
                </c:pt>
                <c:pt idx="232">
                  <c:v>2061097</c:v>
                </c:pt>
                <c:pt idx="233">
                  <c:v>15554195</c:v>
                </c:pt>
                <c:pt idx="234">
                  <c:v>386924</c:v>
                </c:pt>
                <c:pt idx="235">
                  <c:v>6538733</c:v>
                </c:pt>
                <c:pt idx="236">
                  <c:v>66825920</c:v>
                </c:pt>
                <c:pt idx="237">
                  <c:v>2859710</c:v>
                </c:pt>
                <c:pt idx="238">
                  <c:v>1742021</c:v>
                </c:pt>
                <c:pt idx="239">
                  <c:v>10022180</c:v>
                </c:pt>
                <c:pt idx="240">
                  <c:v>31275909</c:v>
                </c:pt>
                <c:pt idx="241">
                  <c:v>17573649</c:v>
                </c:pt>
                <c:pt idx="242">
                  <c:v>20017623</c:v>
                </c:pt>
                <c:pt idx="243">
                  <c:v>8001913</c:v>
                </c:pt>
                <c:pt idx="244">
                  <c:v>17736798</c:v>
                </c:pt>
                <c:pt idx="245">
                  <c:v>3989583</c:v>
                </c:pt>
                <c:pt idx="246">
                  <c:v>2167626</c:v>
                </c:pt>
                <c:pt idx="247">
                  <c:v>25438043</c:v>
                </c:pt>
                <c:pt idx="248">
                  <c:v>4906487</c:v>
                </c:pt>
                <c:pt idx="249">
                  <c:v>4213436</c:v>
                </c:pt>
              </c:numCache>
            </c:numRef>
          </c:xVal>
          <c:yVal>
            <c:numRef>
              <c:f>'Equal Variance Check'!$A$2:$A$251</c:f>
              <c:numCache>
                <c:formatCode>General</c:formatCode>
                <c:ptCount val="250"/>
                <c:pt idx="0">
                  <c:v>-5.3345753982558808E-3</c:v>
                </c:pt>
                <c:pt idx="1">
                  <c:v>3.7142916721940034E-2</c:v>
                </c:pt>
                <c:pt idx="2">
                  <c:v>6.3632015209022119E-2</c:v>
                </c:pt>
                <c:pt idx="3">
                  <c:v>-7.0147168820580863E-2</c:v>
                </c:pt>
                <c:pt idx="4">
                  <c:v>-1.0130009469184131E-2</c:v>
                </c:pt>
                <c:pt idx="5">
                  <c:v>-4.3798895114771863E-2</c:v>
                </c:pt>
                <c:pt idx="6">
                  <c:v>-4.0828383693807979E-2</c:v>
                </c:pt>
                <c:pt idx="7">
                  <c:v>-4.1739432165530943E-2</c:v>
                </c:pt>
                <c:pt idx="8">
                  <c:v>-2.424651855519705E-2</c:v>
                </c:pt>
                <c:pt idx="9">
                  <c:v>-1.7317226551329223E-2</c:v>
                </c:pt>
                <c:pt idx="10">
                  <c:v>2.5075771403070268E-3</c:v>
                </c:pt>
                <c:pt idx="11">
                  <c:v>-1.1714544813047956E-2</c:v>
                </c:pt>
                <c:pt idx="12">
                  <c:v>2.8962148423792689E-2</c:v>
                </c:pt>
                <c:pt idx="13">
                  <c:v>8.4663257721761753E-2</c:v>
                </c:pt>
                <c:pt idx="14">
                  <c:v>-7.334168595128443E-2</c:v>
                </c:pt>
                <c:pt idx="15">
                  <c:v>2.0688453461174428E-2</c:v>
                </c:pt>
                <c:pt idx="16">
                  <c:v>5.4134865031117418E-3</c:v>
                </c:pt>
                <c:pt idx="17">
                  <c:v>1.9445024219699902E-2</c:v>
                </c:pt>
                <c:pt idx="18">
                  <c:v>3.6520169403153613E-3</c:v>
                </c:pt>
                <c:pt idx="19">
                  <c:v>-6.7613090133375575E-2</c:v>
                </c:pt>
                <c:pt idx="20">
                  <c:v>3.1471355216155072E-2</c:v>
                </c:pt>
                <c:pt idx="21">
                  <c:v>0.11247237631704993</c:v>
                </c:pt>
                <c:pt idx="22">
                  <c:v>5.207256450127315E-2</c:v>
                </c:pt>
                <c:pt idx="23">
                  <c:v>-2.0663002102265682E-2</c:v>
                </c:pt>
                <c:pt idx="24">
                  <c:v>2.1033861955958133E-2</c:v>
                </c:pt>
                <c:pt idx="25">
                  <c:v>-1.3672521500146584E-2</c:v>
                </c:pt>
                <c:pt idx="26">
                  <c:v>-5.1016419629036525E-2</c:v>
                </c:pt>
                <c:pt idx="27">
                  <c:v>2.8298108515835141E-2</c:v>
                </c:pt>
                <c:pt idx="28">
                  <c:v>7.7186684539566341E-2</c:v>
                </c:pt>
                <c:pt idx="29">
                  <c:v>-3.6833740573344709E-2</c:v>
                </c:pt>
                <c:pt idx="30">
                  <c:v>3.0795601682177431E-2</c:v>
                </c:pt>
                <c:pt idx="31">
                  <c:v>-2.3794658806409519E-2</c:v>
                </c:pt>
                <c:pt idx="32">
                  <c:v>3.9112009185115093E-2</c:v>
                </c:pt>
                <c:pt idx="33">
                  <c:v>-8.470353064022168E-2</c:v>
                </c:pt>
                <c:pt idx="34">
                  <c:v>-6.1890682120288587E-2</c:v>
                </c:pt>
                <c:pt idx="35">
                  <c:v>-1.1383754395795809E-2</c:v>
                </c:pt>
                <c:pt idx="36">
                  <c:v>-1.5185722631792631E-2</c:v>
                </c:pt>
                <c:pt idx="37">
                  <c:v>2.6833706816984826E-2</c:v>
                </c:pt>
                <c:pt idx="38">
                  <c:v>-0.10391986704247108</c:v>
                </c:pt>
                <c:pt idx="39">
                  <c:v>7.7703507696118002E-3</c:v>
                </c:pt>
                <c:pt idx="40">
                  <c:v>7.0719355113745247E-2</c:v>
                </c:pt>
                <c:pt idx="41">
                  <c:v>5.7703450527940847E-2</c:v>
                </c:pt>
                <c:pt idx="42">
                  <c:v>-1.9286956099882624E-2</c:v>
                </c:pt>
                <c:pt idx="43">
                  <c:v>6.0910088668537976E-2</c:v>
                </c:pt>
                <c:pt idx="44">
                  <c:v>3.536690373418383E-2</c:v>
                </c:pt>
                <c:pt idx="45">
                  <c:v>-3.4698781452857652E-3</c:v>
                </c:pt>
                <c:pt idx="46">
                  <c:v>3.7413456620708607E-2</c:v>
                </c:pt>
                <c:pt idx="47">
                  <c:v>3.1848619951115376E-2</c:v>
                </c:pt>
                <c:pt idx="48">
                  <c:v>9.9641475004241253E-3</c:v>
                </c:pt>
                <c:pt idx="49">
                  <c:v>1.0041589251443273E-2</c:v>
                </c:pt>
                <c:pt idx="50">
                  <c:v>3.0566755781056942E-2</c:v>
                </c:pt>
                <c:pt idx="51">
                  <c:v>3.4157574071014329E-2</c:v>
                </c:pt>
                <c:pt idx="52">
                  <c:v>8.7639083648571148E-2</c:v>
                </c:pt>
                <c:pt idx="53">
                  <c:v>-2.4168324820024734E-3</c:v>
                </c:pt>
                <c:pt idx="54">
                  <c:v>-5.6428204473502608E-3</c:v>
                </c:pt>
                <c:pt idx="55">
                  <c:v>-9.5280094335154303E-2</c:v>
                </c:pt>
                <c:pt idx="56">
                  <c:v>3.0411834867045573E-2</c:v>
                </c:pt>
                <c:pt idx="57">
                  <c:v>-6.2469311255009319E-2</c:v>
                </c:pt>
                <c:pt idx="58">
                  <c:v>-1.6662787831112302E-2</c:v>
                </c:pt>
                <c:pt idx="59">
                  <c:v>-5.4402859215497867E-2</c:v>
                </c:pt>
                <c:pt idx="60">
                  <c:v>-3.0852920172391163E-3</c:v>
                </c:pt>
                <c:pt idx="61">
                  <c:v>-6.1798371865050772E-2</c:v>
                </c:pt>
                <c:pt idx="62">
                  <c:v>0.10863791503476972</c:v>
                </c:pt>
                <c:pt idx="63">
                  <c:v>-3.3259469982305168E-2</c:v>
                </c:pt>
                <c:pt idx="64">
                  <c:v>-2.1343348446685728E-2</c:v>
                </c:pt>
                <c:pt idx="65">
                  <c:v>-2.3303198044443196E-2</c:v>
                </c:pt>
                <c:pt idx="66">
                  <c:v>9.314791510945386E-3</c:v>
                </c:pt>
                <c:pt idx="67">
                  <c:v>-3.9478209086495297E-2</c:v>
                </c:pt>
                <c:pt idx="68">
                  <c:v>4.6552525397751843E-2</c:v>
                </c:pt>
                <c:pt idx="69">
                  <c:v>1.658047984598221E-2</c:v>
                </c:pt>
                <c:pt idx="70">
                  <c:v>2.5190849401737547E-2</c:v>
                </c:pt>
                <c:pt idx="71">
                  <c:v>-2.174988068305328E-2</c:v>
                </c:pt>
                <c:pt idx="72">
                  <c:v>-4.9229851725663965E-3</c:v>
                </c:pt>
                <c:pt idx="73">
                  <c:v>-2.7271225216195738E-2</c:v>
                </c:pt>
                <c:pt idx="74">
                  <c:v>-2.1446956389231497E-2</c:v>
                </c:pt>
                <c:pt idx="75">
                  <c:v>-3.4711886449338591E-2</c:v>
                </c:pt>
                <c:pt idx="76">
                  <c:v>-2.4330553688543644E-2</c:v>
                </c:pt>
                <c:pt idx="77">
                  <c:v>-6.2724944960435458E-2</c:v>
                </c:pt>
                <c:pt idx="78">
                  <c:v>-6.5007825513048623E-2</c:v>
                </c:pt>
                <c:pt idx="79">
                  <c:v>6.514526673178217E-2</c:v>
                </c:pt>
                <c:pt idx="80">
                  <c:v>1.3805283241508093E-4</c:v>
                </c:pt>
                <c:pt idx="81">
                  <c:v>-5.1746921079664943E-2</c:v>
                </c:pt>
                <c:pt idx="82">
                  <c:v>3.7441122076222855E-2</c:v>
                </c:pt>
                <c:pt idx="83">
                  <c:v>3.9214538910679608E-3</c:v>
                </c:pt>
                <c:pt idx="84">
                  <c:v>5.9817756110396303E-3</c:v>
                </c:pt>
                <c:pt idx="85">
                  <c:v>3.6322625366768668E-3</c:v>
                </c:pt>
                <c:pt idx="86">
                  <c:v>-1.2638647350910359E-2</c:v>
                </c:pt>
                <c:pt idx="87">
                  <c:v>-4.5134946417732857E-2</c:v>
                </c:pt>
                <c:pt idx="88">
                  <c:v>6.3341323589580389E-2</c:v>
                </c:pt>
                <c:pt idx="89">
                  <c:v>5.5662258608883519E-2</c:v>
                </c:pt>
                <c:pt idx="90">
                  <c:v>2.3071590004053844E-2</c:v>
                </c:pt>
                <c:pt idx="91">
                  <c:v>3.7341733494358709E-2</c:v>
                </c:pt>
                <c:pt idx="92">
                  <c:v>2.5724818118956327E-2</c:v>
                </c:pt>
                <c:pt idx="93">
                  <c:v>3.9734151677435825E-2</c:v>
                </c:pt>
                <c:pt idx="94">
                  <c:v>2.2794157922151892E-2</c:v>
                </c:pt>
                <c:pt idx="95">
                  <c:v>-5.3466334105582991E-3</c:v>
                </c:pt>
                <c:pt idx="96">
                  <c:v>2.7488632889553222E-2</c:v>
                </c:pt>
                <c:pt idx="97">
                  <c:v>-4.51765586410105E-2</c:v>
                </c:pt>
                <c:pt idx="98">
                  <c:v>-0.11271439793155752</c:v>
                </c:pt>
                <c:pt idx="99">
                  <c:v>-7.4506311232665601E-2</c:v>
                </c:pt>
                <c:pt idx="100">
                  <c:v>-2.5590412711256061E-2</c:v>
                </c:pt>
                <c:pt idx="101">
                  <c:v>-9.5661107921958533E-2</c:v>
                </c:pt>
                <c:pt idx="102">
                  <c:v>-2.3553497507783461E-2</c:v>
                </c:pt>
                <c:pt idx="103">
                  <c:v>-2.0930425841695854E-2</c:v>
                </c:pt>
                <c:pt idx="104">
                  <c:v>1.7389589781981463E-2</c:v>
                </c:pt>
                <c:pt idx="105">
                  <c:v>-0.10935412475640355</c:v>
                </c:pt>
                <c:pt idx="106">
                  <c:v>3.8083180752000678E-2</c:v>
                </c:pt>
                <c:pt idx="107">
                  <c:v>3.7794637907341333E-2</c:v>
                </c:pt>
                <c:pt idx="108">
                  <c:v>4.5082843041208687E-2</c:v>
                </c:pt>
                <c:pt idx="109">
                  <c:v>0.14009348608560201</c:v>
                </c:pt>
                <c:pt idx="110">
                  <c:v>-8.2759318907173363E-2</c:v>
                </c:pt>
                <c:pt idx="111">
                  <c:v>-1.6551340322174202E-2</c:v>
                </c:pt>
                <c:pt idx="112">
                  <c:v>-3.9208211698138984E-2</c:v>
                </c:pt>
                <c:pt idx="113">
                  <c:v>1.9848425232886047E-2</c:v>
                </c:pt>
                <c:pt idx="114">
                  <c:v>7.0896857564549665E-2</c:v>
                </c:pt>
                <c:pt idx="115">
                  <c:v>-1.9685239494836859E-2</c:v>
                </c:pt>
                <c:pt idx="116">
                  <c:v>6.5104989272734726E-2</c:v>
                </c:pt>
                <c:pt idx="117">
                  <c:v>-5.8892371788674125E-2</c:v>
                </c:pt>
                <c:pt idx="118">
                  <c:v>5.6868047579114789E-2</c:v>
                </c:pt>
                <c:pt idx="119">
                  <c:v>-3.8373058920818104E-2</c:v>
                </c:pt>
                <c:pt idx="120">
                  <c:v>3.2651080342524619E-2</c:v>
                </c:pt>
                <c:pt idx="121">
                  <c:v>9.163916422758539E-2</c:v>
                </c:pt>
                <c:pt idx="122">
                  <c:v>-2.6923541630464454E-2</c:v>
                </c:pt>
                <c:pt idx="123">
                  <c:v>3.0161104534654537E-2</c:v>
                </c:pt>
                <c:pt idx="124">
                  <c:v>3.4549800517980844E-2</c:v>
                </c:pt>
                <c:pt idx="125">
                  <c:v>5.7322208914412531E-2</c:v>
                </c:pt>
                <c:pt idx="126">
                  <c:v>-9.1370794636873032E-3</c:v>
                </c:pt>
                <c:pt idx="127">
                  <c:v>4.2531302588771913E-3</c:v>
                </c:pt>
                <c:pt idx="128">
                  <c:v>1.4883165558763345E-3</c:v>
                </c:pt>
                <c:pt idx="129">
                  <c:v>-9.3982071936070666E-3</c:v>
                </c:pt>
                <c:pt idx="130">
                  <c:v>3.1880064738244618E-2</c:v>
                </c:pt>
                <c:pt idx="131">
                  <c:v>-2.5268392298565923E-2</c:v>
                </c:pt>
                <c:pt idx="132">
                  <c:v>2.1535602353037753E-3</c:v>
                </c:pt>
                <c:pt idx="133">
                  <c:v>9.8340436296627254E-3</c:v>
                </c:pt>
                <c:pt idx="134">
                  <c:v>-4.2142703945263704E-2</c:v>
                </c:pt>
                <c:pt idx="135">
                  <c:v>-1.6864591952364671E-2</c:v>
                </c:pt>
                <c:pt idx="136">
                  <c:v>6.1075362208514672E-2</c:v>
                </c:pt>
                <c:pt idx="137">
                  <c:v>2.4080993993472966E-2</c:v>
                </c:pt>
                <c:pt idx="138">
                  <c:v>3.2142951689626609E-2</c:v>
                </c:pt>
                <c:pt idx="139">
                  <c:v>1.8702454448523587E-2</c:v>
                </c:pt>
                <c:pt idx="140">
                  <c:v>7.6866413634948172E-2</c:v>
                </c:pt>
                <c:pt idx="141">
                  <c:v>5.0820265501128503E-2</c:v>
                </c:pt>
                <c:pt idx="142">
                  <c:v>-1.8092530878452029E-2</c:v>
                </c:pt>
                <c:pt idx="143">
                  <c:v>-2.4578049833672344E-2</c:v>
                </c:pt>
                <c:pt idx="144">
                  <c:v>1.3430830829830542E-2</c:v>
                </c:pt>
                <c:pt idx="145">
                  <c:v>-2.1110245799853877E-2</c:v>
                </c:pt>
                <c:pt idx="146">
                  <c:v>1.6988919065044017E-2</c:v>
                </c:pt>
                <c:pt idx="147">
                  <c:v>1.2433089432248801E-2</c:v>
                </c:pt>
                <c:pt idx="148">
                  <c:v>-2.193252768500531E-2</c:v>
                </c:pt>
                <c:pt idx="149">
                  <c:v>0.10969569328679185</c:v>
                </c:pt>
                <c:pt idx="150">
                  <c:v>6.6954501896202223E-2</c:v>
                </c:pt>
                <c:pt idx="151">
                  <c:v>3.2687661031705284E-2</c:v>
                </c:pt>
                <c:pt idx="152">
                  <c:v>-1.4674089835746806E-2</c:v>
                </c:pt>
                <c:pt idx="153">
                  <c:v>-2.385517668396353E-2</c:v>
                </c:pt>
                <c:pt idx="154">
                  <c:v>-6.8726704566471397E-2</c:v>
                </c:pt>
                <c:pt idx="155">
                  <c:v>1.3665614125640269E-2</c:v>
                </c:pt>
                <c:pt idx="156">
                  <c:v>-8.9953073766966818E-3</c:v>
                </c:pt>
                <c:pt idx="157">
                  <c:v>-1.7676730700725007E-2</c:v>
                </c:pt>
                <c:pt idx="158">
                  <c:v>-5.1217053411470703E-2</c:v>
                </c:pt>
                <c:pt idx="159">
                  <c:v>-3.2890579635783013E-2</c:v>
                </c:pt>
                <c:pt idx="160">
                  <c:v>1.4476205337416503E-2</c:v>
                </c:pt>
                <c:pt idx="161">
                  <c:v>-4.1101966373382037E-2</c:v>
                </c:pt>
                <c:pt idx="162">
                  <c:v>-1.9468141649682358E-2</c:v>
                </c:pt>
                <c:pt idx="163">
                  <c:v>-2.2189974988711503E-2</c:v>
                </c:pt>
                <c:pt idx="164">
                  <c:v>1.6965160284566405E-2</c:v>
                </c:pt>
                <c:pt idx="165">
                  <c:v>-4.4871466163016738E-3</c:v>
                </c:pt>
                <c:pt idx="166">
                  <c:v>-4.1060360888789171E-2</c:v>
                </c:pt>
                <c:pt idx="167">
                  <c:v>3.020108742419092E-3</c:v>
                </c:pt>
                <c:pt idx="168">
                  <c:v>3.46900242415214E-2</c:v>
                </c:pt>
                <c:pt idx="169">
                  <c:v>-5.8044311667823478E-2</c:v>
                </c:pt>
                <c:pt idx="170">
                  <c:v>2.715092402718805E-2</c:v>
                </c:pt>
                <c:pt idx="171">
                  <c:v>1.0981465359730269E-2</c:v>
                </c:pt>
                <c:pt idx="172">
                  <c:v>-6.8536161507105786E-2</c:v>
                </c:pt>
                <c:pt idx="173">
                  <c:v>-2.3673281907152344E-2</c:v>
                </c:pt>
                <c:pt idx="174">
                  <c:v>4.1995104858750798E-2</c:v>
                </c:pt>
                <c:pt idx="175">
                  <c:v>-0.12247332357374469</c:v>
                </c:pt>
                <c:pt idx="176">
                  <c:v>2.2390122510864918E-2</c:v>
                </c:pt>
                <c:pt idx="177">
                  <c:v>-1.0301223848826868E-2</c:v>
                </c:pt>
                <c:pt idx="178">
                  <c:v>6.8486570999850893E-2</c:v>
                </c:pt>
                <c:pt idx="179">
                  <c:v>-1.3085270572023244E-2</c:v>
                </c:pt>
                <c:pt idx="180">
                  <c:v>-3.0651052454223671E-2</c:v>
                </c:pt>
                <c:pt idx="181">
                  <c:v>1.9193723094928394E-2</c:v>
                </c:pt>
                <c:pt idx="182">
                  <c:v>-1.3493741917015856E-2</c:v>
                </c:pt>
                <c:pt idx="183">
                  <c:v>3.0477773215547344E-2</c:v>
                </c:pt>
                <c:pt idx="184">
                  <c:v>-1.9206944953586769E-2</c:v>
                </c:pt>
                <c:pt idx="185">
                  <c:v>-1.1845073781667992E-2</c:v>
                </c:pt>
                <c:pt idx="186">
                  <c:v>1.4572887715797678E-2</c:v>
                </c:pt>
                <c:pt idx="187">
                  <c:v>-0.16329287864061298</c:v>
                </c:pt>
                <c:pt idx="188">
                  <c:v>-1.7212703616473535E-2</c:v>
                </c:pt>
                <c:pt idx="189">
                  <c:v>8.0710460979222187E-2</c:v>
                </c:pt>
                <c:pt idx="190">
                  <c:v>2.1338389620021769E-2</c:v>
                </c:pt>
                <c:pt idx="191">
                  <c:v>-3.9012551573760101E-2</c:v>
                </c:pt>
                <c:pt idx="192">
                  <c:v>2.746785569329141E-2</c:v>
                </c:pt>
                <c:pt idx="193">
                  <c:v>-9.0735744223177761E-2</c:v>
                </c:pt>
                <c:pt idx="194">
                  <c:v>4.6397874822495855E-2</c:v>
                </c:pt>
                <c:pt idx="195">
                  <c:v>-2.5440951486879027E-2</c:v>
                </c:pt>
                <c:pt idx="196">
                  <c:v>-4.8877883754851636E-2</c:v>
                </c:pt>
                <c:pt idx="197">
                  <c:v>-1.0913971012066204E-2</c:v>
                </c:pt>
                <c:pt idx="198">
                  <c:v>5.5958766272852789E-3</c:v>
                </c:pt>
                <c:pt idx="199">
                  <c:v>1.7292040321782387E-2</c:v>
                </c:pt>
                <c:pt idx="200">
                  <c:v>-5.2248957828592735E-2</c:v>
                </c:pt>
                <c:pt idx="201">
                  <c:v>5.1646394501030646E-2</c:v>
                </c:pt>
                <c:pt idx="202">
                  <c:v>-2.036031770325164E-2</c:v>
                </c:pt>
                <c:pt idx="203">
                  <c:v>1.5194344818637351E-2</c:v>
                </c:pt>
                <c:pt idx="204">
                  <c:v>6.6751255382679342E-3</c:v>
                </c:pt>
                <c:pt idx="205">
                  <c:v>-2.1460639101174017E-2</c:v>
                </c:pt>
                <c:pt idx="206">
                  <c:v>9.1356354526820116E-2</c:v>
                </c:pt>
                <c:pt idx="207">
                  <c:v>2.6381098861020025E-2</c:v>
                </c:pt>
                <c:pt idx="208">
                  <c:v>3.0806345607822749E-2</c:v>
                </c:pt>
                <c:pt idx="209">
                  <c:v>5.354203058796414E-3</c:v>
                </c:pt>
                <c:pt idx="210">
                  <c:v>7.296011612433545E-2</c:v>
                </c:pt>
                <c:pt idx="211">
                  <c:v>-1.8909984683692926E-2</c:v>
                </c:pt>
                <c:pt idx="212">
                  <c:v>-3.2586577863377819E-2</c:v>
                </c:pt>
                <c:pt idx="213">
                  <c:v>4.7340943216010622E-2</c:v>
                </c:pt>
                <c:pt idx="214">
                  <c:v>-2.5739090235779138E-2</c:v>
                </c:pt>
                <c:pt idx="215">
                  <c:v>-3.0329379435240389E-2</c:v>
                </c:pt>
                <c:pt idx="216">
                  <c:v>2.0088873356748527E-2</c:v>
                </c:pt>
                <c:pt idx="217">
                  <c:v>2.9272922290209502E-2</c:v>
                </c:pt>
                <c:pt idx="218">
                  <c:v>1.2487338039610496E-2</c:v>
                </c:pt>
                <c:pt idx="219">
                  <c:v>4.3290561405855355E-2</c:v>
                </c:pt>
                <c:pt idx="220">
                  <c:v>8.1207138187808336E-2</c:v>
                </c:pt>
                <c:pt idx="221">
                  <c:v>-2.4831794349429004E-2</c:v>
                </c:pt>
                <c:pt idx="222">
                  <c:v>-8.4580282378803384E-2</c:v>
                </c:pt>
                <c:pt idx="223">
                  <c:v>2.5616422032728459E-2</c:v>
                </c:pt>
                <c:pt idx="224">
                  <c:v>3.193003116180515E-2</c:v>
                </c:pt>
                <c:pt idx="225">
                  <c:v>4.8071498482628594E-3</c:v>
                </c:pt>
                <c:pt idx="226">
                  <c:v>-2.6315074326582755E-4</c:v>
                </c:pt>
                <c:pt idx="227">
                  <c:v>2.8608880830524597E-3</c:v>
                </c:pt>
                <c:pt idx="228">
                  <c:v>4.3911715185790956E-2</c:v>
                </c:pt>
                <c:pt idx="229">
                  <c:v>-3.4230586503116722E-2</c:v>
                </c:pt>
                <c:pt idx="230">
                  <c:v>-9.249465041191729E-3</c:v>
                </c:pt>
                <c:pt idx="231">
                  <c:v>-1.8525456404726304E-2</c:v>
                </c:pt>
                <c:pt idx="232">
                  <c:v>-6.6924403399470367E-3</c:v>
                </c:pt>
                <c:pt idx="233">
                  <c:v>-9.7887573951697671E-3</c:v>
                </c:pt>
                <c:pt idx="234">
                  <c:v>7.2561468626193781E-2</c:v>
                </c:pt>
                <c:pt idx="235">
                  <c:v>5.1061484393600809E-2</c:v>
                </c:pt>
                <c:pt idx="236">
                  <c:v>-3.2805193472136285E-2</c:v>
                </c:pt>
                <c:pt idx="237">
                  <c:v>-8.1441301602401595E-2</c:v>
                </c:pt>
                <c:pt idx="238">
                  <c:v>-2.2721151912819926E-2</c:v>
                </c:pt>
                <c:pt idx="239">
                  <c:v>7.4755368246660625E-3</c:v>
                </c:pt>
                <c:pt idx="240">
                  <c:v>5.7471160581335501E-3</c:v>
                </c:pt>
                <c:pt idx="241">
                  <c:v>-5.1597271306033921E-2</c:v>
                </c:pt>
                <c:pt idx="242">
                  <c:v>-4.4168153288646039E-2</c:v>
                </c:pt>
                <c:pt idx="243">
                  <c:v>-7.4135663739674063E-2</c:v>
                </c:pt>
                <c:pt idx="244">
                  <c:v>-3.1052897552720227E-3</c:v>
                </c:pt>
                <c:pt idx="245">
                  <c:v>5.2553297929576748E-3</c:v>
                </c:pt>
                <c:pt idx="246">
                  <c:v>4.1185552255098568E-2</c:v>
                </c:pt>
                <c:pt idx="247">
                  <c:v>8.7484121492573452E-2</c:v>
                </c:pt>
                <c:pt idx="248">
                  <c:v>-3.6286893493856165E-2</c:v>
                </c:pt>
                <c:pt idx="249">
                  <c:v>-6.5581346962375775E-2</c:v>
                </c:pt>
              </c:numCache>
            </c:numRef>
          </c:yVal>
          <c:smooth val="0"/>
          <c:extLst>
            <c:ext xmlns:c16="http://schemas.microsoft.com/office/drawing/2014/chart" uri="{C3380CC4-5D6E-409C-BE32-E72D297353CC}">
              <c16:uniqueId val="{00000000-8D67-42D6-AA5D-25B3C26BBDFD}"/>
            </c:ext>
          </c:extLst>
        </c:ser>
        <c:dLbls>
          <c:showLegendKey val="0"/>
          <c:showVal val="0"/>
          <c:showCatName val="0"/>
          <c:showSerName val="0"/>
          <c:showPercent val="0"/>
          <c:showBubbleSize val="0"/>
        </c:dLbls>
        <c:axId val="1025680799"/>
        <c:axId val="1025682239"/>
      </c:scatterChart>
      <c:valAx>
        <c:axId val="1025680799"/>
        <c:scaling>
          <c:orientation val="minMax"/>
          <c:max val="10500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Athletic Spending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82239"/>
        <c:crossesAt val="-0.2"/>
        <c:crossBetween val="midCat"/>
      </c:valAx>
      <c:valAx>
        <c:axId val="10256822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80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Residuals V Athletic Spending % on Female</c:v>
          </c:tx>
          <c:spPr>
            <a:ln w="25400" cap="rnd">
              <a:noFill/>
              <a:round/>
            </a:ln>
            <a:effectLst/>
          </c:spPr>
          <c:marker>
            <c:symbol val="circle"/>
            <c:size val="5"/>
            <c:spPr>
              <a:solidFill>
                <a:schemeClr val="accent1"/>
              </a:solidFill>
              <a:ln w="9525">
                <a:solidFill>
                  <a:schemeClr val="accent1"/>
                </a:solidFill>
              </a:ln>
              <a:effectLst/>
            </c:spPr>
          </c:marker>
          <c:xVal>
            <c:numRef>
              <c:f>'Equal Variance Check'!$E$2:$E$251</c:f>
              <c:numCache>
                <c:formatCode>0.00%</c:formatCode>
                <c:ptCount val="250"/>
                <c:pt idx="0">
                  <c:v>0.54392475697610165</c:v>
                </c:pt>
                <c:pt idx="1">
                  <c:v>0.5755838419425201</c:v>
                </c:pt>
                <c:pt idx="2">
                  <c:v>0.54803203751864704</c:v>
                </c:pt>
                <c:pt idx="3">
                  <c:v>0.28834284573905783</c:v>
                </c:pt>
                <c:pt idx="4">
                  <c:v>0.4039700675203865</c:v>
                </c:pt>
                <c:pt idx="5">
                  <c:v>0.40293258869603504</c:v>
                </c:pt>
                <c:pt idx="6">
                  <c:v>0.31285010452651379</c:v>
                </c:pt>
                <c:pt idx="7">
                  <c:v>0.31673335501675737</c:v>
                </c:pt>
                <c:pt idx="8">
                  <c:v>0.35031314602555197</c:v>
                </c:pt>
                <c:pt idx="9">
                  <c:v>0.32327898753658579</c:v>
                </c:pt>
                <c:pt idx="10">
                  <c:v>0.56119502980990976</c:v>
                </c:pt>
                <c:pt idx="11">
                  <c:v>0.36915638304728449</c:v>
                </c:pt>
                <c:pt idx="12">
                  <c:v>0.51914669663656399</c:v>
                </c:pt>
                <c:pt idx="13">
                  <c:v>0.49496387723931673</c:v>
                </c:pt>
                <c:pt idx="14">
                  <c:v>0.49685897763011944</c:v>
                </c:pt>
                <c:pt idx="15">
                  <c:v>0.42188163959371389</c:v>
                </c:pt>
                <c:pt idx="16">
                  <c:v>0.48259132645062058</c:v>
                </c:pt>
                <c:pt idx="17">
                  <c:v>0.37684148746256779</c:v>
                </c:pt>
                <c:pt idx="18">
                  <c:v>0.4391490453490039</c:v>
                </c:pt>
                <c:pt idx="19">
                  <c:v>0.47653541443310454</c:v>
                </c:pt>
                <c:pt idx="20">
                  <c:v>0.4457311633199279</c:v>
                </c:pt>
                <c:pt idx="21">
                  <c:v>0.52485879843619432</c:v>
                </c:pt>
                <c:pt idx="22">
                  <c:v>0.27270936940916285</c:v>
                </c:pt>
                <c:pt idx="23">
                  <c:v>0.38296445158286413</c:v>
                </c:pt>
                <c:pt idx="24">
                  <c:v>0.53611581962489852</c:v>
                </c:pt>
                <c:pt idx="25">
                  <c:v>0.36495447235923889</c:v>
                </c:pt>
                <c:pt idx="26">
                  <c:v>0.35471041416063559</c:v>
                </c:pt>
                <c:pt idx="27">
                  <c:v>0.49486880313664627</c:v>
                </c:pt>
                <c:pt idx="28">
                  <c:v>0.59432735639524681</c:v>
                </c:pt>
                <c:pt idx="29">
                  <c:v>0.40922263706917333</c:v>
                </c:pt>
                <c:pt idx="30">
                  <c:v>0.53256116642149076</c:v>
                </c:pt>
                <c:pt idx="31">
                  <c:v>0.55166286514633023</c:v>
                </c:pt>
                <c:pt idx="32">
                  <c:v>0.4997208290865145</c:v>
                </c:pt>
                <c:pt idx="33">
                  <c:v>0.24496433362456954</c:v>
                </c:pt>
                <c:pt idx="34">
                  <c:v>0.3082572365545504</c:v>
                </c:pt>
                <c:pt idx="35">
                  <c:v>0.40398995734504667</c:v>
                </c:pt>
                <c:pt idx="36">
                  <c:v>0.34715255057870159</c:v>
                </c:pt>
                <c:pt idx="37">
                  <c:v>0.39738950089597835</c:v>
                </c:pt>
                <c:pt idx="38">
                  <c:v>0.26897353762448861</c:v>
                </c:pt>
                <c:pt idx="39">
                  <c:v>0.4716168492384803</c:v>
                </c:pt>
                <c:pt idx="40">
                  <c:v>0.29261778314176046</c:v>
                </c:pt>
                <c:pt idx="41">
                  <c:v>0.51606959438214028</c:v>
                </c:pt>
                <c:pt idx="42">
                  <c:v>0.31469707442679734</c:v>
                </c:pt>
                <c:pt idx="43">
                  <c:v>0.54614296952133834</c:v>
                </c:pt>
                <c:pt idx="44">
                  <c:v>0.53813105413105411</c:v>
                </c:pt>
                <c:pt idx="45">
                  <c:v>0.50446460041482599</c:v>
                </c:pt>
                <c:pt idx="46">
                  <c:v>0.58409810237340631</c:v>
                </c:pt>
                <c:pt idx="47">
                  <c:v>0.51520826920585006</c:v>
                </c:pt>
                <c:pt idx="48">
                  <c:v>0.40470511294789069</c:v>
                </c:pt>
                <c:pt idx="49">
                  <c:v>0.49659858343558422</c:v>
                </c:pt>
                <c:pt idx="50">
                  <c:v>0.25677233050539505</c:v>
                </c:pt>
                <c:pt idx="51">
                  <c:v>0.51713551975359107</c:v>
                </c:pt>
                <c:pt idx="52">
                  <c:v>0.50755949027732228</c:v>
                </c:pt>
                <c:pt idx="53">
                  <c:v>0.48403164214117195</c:v>
                </c:pt>
                <c:pt idx="54">
                  <c:v>0.26037420874743328</c:v>
                </c:pt>
                <c:pt idx="55">
                  <c:v>0.22690381839702814</c:v>
                </c:pt>
                <c:pt idx="56">
                  <c:v>0.47711346823509004</c:v>
                </c:pt>
                <c:pt idx="57">
                  <c:v>0.502801798147685</c:v>
                </c:pt>
                <c:pt idx="58">
                  <c:v>0.38441796440300469</c:v>
                </c:pt>
                <c:pt idx="59">
                  <c:v>0.38218342534145794</c:v>
                </c:pt>
                <c:pt idx="60">
                  <c:v>0.48998968446601943</c:v>
                </c:pt>
                <c:pt idx="61">
                  <c:v>0.43966177133066042</c:v>
                </c:pt>
                <c:pt idx="62">
                  <c:v>0.23571595827751146</c:v>
                </c:pt>
                <c:pt idx="63">
                  <c:v>0.33878832022849514</c:v>
                </c:pt>
                <c:pt idx="64">
                  <c:v>0.38608841584887249</c:v>
                </c:pt>
                <c:pt idx="65">
                  <c:v>0.43271146487032319</c:v>
                </c:pt>
                <c:pt idx="66">
                  <c:v>0.4780039158931581</c:v>
                </c:pt>
                <c:pt idx="67">
                  <c:v>0.37581285218805582</c:v>
                </c:pt>
                <c:pt idx="68">
                  <c:v>0.47869243585917254</c:v>
                </c:pt>
                <c:pt idx="69">
                  <c:v>0.50442932678844987</c:v>
                </c:pt>
                <c:pt idx="70">
                  <c:v>0.41017981763181655</c:v>
                </c:pt>
                <c:pt idx="71">
                  <c:v>0.44537164136987534</c:v>
                </c:pt>
                <c:pt idx="72">
                  <c:v>0.44578036669812632</c:v>
                </c:pt>
                <c:pt idx="73">
                  <c:v>0.33413668443888844</c:v>
                </c:pt>
                <c:pt idx="74">
                  <c:v>0.28716198837607182</c:v>
                </c:pt>
                <c:pt idx="75">
                  <c:v>0.34080678467778219</c:v>
                </c:pt>
                <c:pt idx="76">
                  <c:v>0.53388938555719467</c:v>
                </c:pt>
                <c:pt idx="77">
                  <c:v>0.43727681671346197</c:v>
                </c:pt>
                <c:pt idx="78">
                  <c:v>0.25820830214069107</c:v>
                </c:pt>
                <c:pt idx="79">
                  <c:v>0.47214280329130659</c:v>
                </c:pt>
                <c:pt idx="80">
                  <c:v>0.51073563732366323</c:v>
                </c:pt>
                <c:pt idx="81">
                  <c:v>0.36821867032115779</c:v>
                </c:pt>
                <c:pt idx="82">
                  <c:v>0.3850633873688396</c:v>
                </c:pt>
                <c:pt idx="83">
                  <c:v>0.42194464784784669</c:v>
                </c:pt>
                <c:pt idx="84">
                  <c:v>0.50060078504302097</c:v>
                </c:pt>
                <c:pt idx="85">
                  <c:v>0.49396559539458773</c:v>
                </c:pt>
                <c:pt idx="86">
                  <c:v>0.3804243785651984</c:v>
                </c:pt>
                <c:pt idx="87">
                  <c:v>0.50812867333855383</c:v>
                </c:pt>
                <c:pt idx="88">
                  <c:v>0.47231086952678697</c:v>
                </c:pt>
                <c:pt idx="89">
                  <c:v>0.50249517714602565</c:v>
                </c:pt>
                <c:pt idx="90">
                  <c:v>0.48548121706652431</c:v>
                </c:pt>
                <c:pt idx="91">
                  <c:v>0.46808587807387741</c:v>
                </c:pt>
                <c:pt idx="92">
                  <c:v>0.50654815494674943</c:v>
                </c:pt>
                <c:pt idx="93">
                  <c:v>0.44019298285921848</c:v>
                </c:pt>
                <c:pt idx="94">
                  <c:v>0.52127188831490845</c:v>
                </c:pt>
                <c:pt idx="95">
                  <c:v>0.37151148606156659</c:v>
                </c:pt>
                <c:pt idx="96">
                  <c:v>0.37382102240121201</c:v>
                </c:pt>
                <c:pt idx="97">
                  <c:v>0.2187982238126584</c:v>
                </c:pt>
                <c:pt idx="98">
                  <c:v>0.3102088465334627</c:v>
                </c:pt>
                <c:pt idx="99">
                  <c:v>0.18402576098416912</c:v>
                </c:pt>
                <c:pt idx="100">
                  <c:v>0.48477802291932126</c:v>
                </c:pt>
                <c:pt idx="101">
                  <c:v>0.42949021624036771</c:v>
                </c:pt>
                <c:pt idx="102">
                  <c:v>0.49103936894684497</c:v>
                </c:pt>
                <c:pt idx="103">
                  <c:v>0.49344709129768877</c:v>
                </c:pt>
                <c:pt idx="104">
                  <c:v>0.45773356235387425</c:v>
                </c:pt>
                <c:pt idx="105">
                  <c:v>0.38056052535274265</c:v>
                </c:pt>
                <c:pt idx="106">
                  <c:v>0.51610640280716913</c:v>
                </c:pt>
                <c:pt idx="107">
                  <c:v>0.46964935064635011</c:v>
                </c:pt>
                <c:pt idx="108">
                  <c:v>0.5473432777976962</c:v>
                </c:pt>
                <c:pt idx="109">
                  <c:v>0.65213795077220427</c:v>
                </c:pt>
                <c:pt idx="110">
                  <c:v>0.45598811122767213</c:v>
                </c:pt>
                <c:pt idx="111">
                  <c:v>0.53689268051512617</c:v>
                </c:pt>
                <c:pt idx="112">
                  <c:v>0.38120600098891372</c:v>
                </c:pt>
                <c:pt idx="113">
                  <c:v>0.49027505733769572</c:v>
                </c:pt>
                <c:pt idx="114">
                  <c:v>0.45618064573375811</c:v>
                </c:pt>
                <c:pt idx="115">
                  <c:v>0.31220286923809271</c:v>
                </c:pt>
                <c:pt idx="116">
                  <c:v>0.54773635140170907</c:v>
                </c:pt>
                <c:pt idx="117">
                  <c:v>0.31393588099459263</c:v>
                </c:pt>
                <c:pt idx="118">
                  <c:v>0.42669925556283916</c:v>
                </c:pt>
                <c:pt idx="119">
                  <c:v>0.57261112463247532</c:v>
                </c:pt>
                <c:pt idx="120">
                  <c:v>0.52215078426237793</c:v>
                </c:pt>
                <c:pt idx="121">
                  <c:v>0.55197408591500197</c:v>
                </c:pt>
                <c:pt idx="122">
                  <c:v>0.32445790112704032</c:v>
                </c:pt>
                <c:pt idx="123">
                  <c:v>0.52530808391657791</c:v>
                </c:pt>
                <c:pt idx="124">
                  <c:v>0.47835045608764309</c:v>
                </c:pt>
                <c:pt idx="125">
                  <c:v>0.5693282958677357</c:v>
                </c:pt>
                <c:pt idx="126">
                  <c:v>0.35498184751916095</c:v>
                </c:pt>
                <c:pt idx="127">
                  <c:v>0.32916537312450289</c:v>
                </c:pt>
                <c:pt idx="128">
                  <c:v>0.50665259168353516</c:v>
                </c:pt>
                <c:pt idx="129">
                  <c:v>0.49277291650249733</c:v>
                </c:pt>
                <c:pt idx="130">
                  <c:v>0.50831014742344327</c:v>
                </c:pt>
                <c:pt idx="131">
                  <c:v>0.42024463256707356</c:v>
                </c:pt>
                <c:pt idx="132">
                  <c:v>0.36791650745128007</c:v>
                </c:pt>
                <c:pt idx="133">
                  <c:v>0.35872250791887411</c:v>
                </c:pt>
                <c:pt idx="134">
                  <c:v>0.37486733546523349</c:v>
                </c:pt>
                <c:pt idx="135">
                  <c:v>0.469748287950707</c:v>
                </c:pt>
                <c:pt idx="136">
                  <c:v>0.42035272804730178</c:v>
                </c:pt>
                <c:pt idx="137">
                  <c:v>0.38754121071497516</c:v>
                </c:pt>
                <c:pt idx="138">
                  <c:v>0.45927605034955021</c:v>
                </c:pt>
                <c:pt idx="139">
                  <c:v>0.34315432333934748</c:v>
                </c:pt>
                <c:pt idx="140">
                  <c:v>0.50855985301738349</c:v>
                </c:pt>
                <c:pt idx="141">
                  <c:v>0.56225853967127548</c:v>
                </c:pt>
                <c:pt idx="142">
                  <c:v>0.44147333894707874</c:v>
                </c:pt>
                <c:pt idx="143">
                  <c:v>0.4854478503835275</c:v>
                </c:pt>
                <c:pt idx="144">
                  <c:v>0.41529305764478869</c:v>
                </c:pt>
                <c:pt idx="145">
                  <c:v>0.36043262996434894</c:v>
                </c:pt>
                <c:pt idx="146">
                  <c:v>0.46494207416368122</c:v>
                </c:pt>
                <c:pt idx="147">
                  <c:v>0.44404095865449006</c:v>
                </c:pt>
                <c:pt idx="148">
                  <c:v>0.4388206581447191</c:v>
                </c:pt>
                <c:pt idx="149">
                  <c:v>0.52650092327129594</c:v>
                </c:pt>
                <c:pt idx="150">
                  <c:v>0.53185463791621346</c:v>
                </c:pt>
                <c:pt idx="151">
                  <c:v>0.4918167780406979</c:v>
                </c:pt>
                <c:pt idx="152">
                  <c:v>0.42862499852661218</c:v>
                </c:pt>
                <c:pt idx="153">
                  <c:v>0.47990318640228191</c:v>
                </c:pt>
                <c:pt idx="154">
                  <c:v>0.34836012035478536</c:v>
                </c:pt>
                <c:pt idx="155">
                  <c:v>0.3776083170707219</c:v>
                </c:pt>
                <c:pt idx="156">
                  <c:v>0.41269125939306384</c:v>
                </c:pt>
                <c:pt idx="157">
                  <c:v>0.42441689800786747</c:v>
                </c:pt>
                <c:pt idx="158">
                  <c:v>0.33870609036017302</c:v>
                </c:pt>
                <c:pt idx="159">
                  <c:v>0.44915205499994904</c:v>
                </c:pt>
                <c:pt idx="160">
                  <c:v>0.45884811152726407</c:v>
                </c:pt>
                <c:pt idx="161">
                  <c:v>0.3397327909450133</c:v>
                </c:pt>
                <c:pt idx="162">
                  <c:v>0.43946995050626075</c:v>
                </c:pt>
                <c:pt idx="163">
                  <c:v>0.36767360048221348</c:v>
                </c:pt>
                <c:pt idx="164">
                  <c:v>0.46622834469151136</c:v>
                </c:pt>
                <c:pt idx="165">
                  <c:v>0.48493185802239719</c:v>
                </c:pt>
                <c:pt idx="166">
                  <c:v>0.34769877305445207</c:v>
                </c:pt>
                <c:pt idx="167">
                  <c:v>0.52829873344398259</c:v>
                </c:pt>
                <c:pt idx="168">
                  <c:v>0.52396554028283215</c:v>
                </c:pt>
                <c:pt idx="169">
                  <c:v>0.3352026407333934</c:v>
                </c:pt>
                <c:pt idx="170">
                  <c:v>0.4344465645249655</c:v>
                </c:pt>
                <c:pt idx="171">
                  <c:v>0.35696195637373712</c:v>
                </c:pt>
                <c:pt idx="172">
                  <c:v>0.38688432071943135</c:v>
                </c:pt>
                <c:pt idx="173">
                  <c:v>0.44711369558060821</c:v>
                </c:pt>
                <c:pt idx="174">
                  <c:v>0.50136416275060725</c:v>
                </c:pt>
                <c:pt idx="175">
                  <c:v>0.28047248542310221</c:v>
                </c:pt>
                <c:pt idx="176">
                  <c:v>0.4032962568199327</c:v>
                </c:pt>
                <c:pt idx="177">
                  <c:v>0.39992779432994996</c:v>
                </c:pt>
                <c:pt idx="178">
                  <c:v>0.5220647188006865</c:v>
                </c:pt>
                <c:pt idx="179">
                  <c:v>0.4350534231277714</c:v>
                </c:pt>
                <c:pt idx="180">
                  <c:v>0.40848964210815997</c:v>
                </c:pt>
                <c:pt idx="181">
                  <c:v>0.60658525036347333</c:v>
                </c:pt>
                <c:pt idx="182">
                  <c:v>0.40061965006123096</c:v>
                </c:pt>
                <c:pt idx="183">
                  <c:v>0.5657175776218607</c:v>
                </c:pt>
                <c:pt idx="184">
                  <c:v>0.43677400337335781</c:v>
                </c:pt>
                <c:pt idx="185">
                  <c:v>0.36080591228245884</c:v>
                </c:pt>
                <c:pt idx="186">
                  <c:v>0.53330245925979547</c:v>
                </c:pt>
                <c:pt idx="187">
                  <c:v>0.25485249165881574</c:v>
                </c:pt>
                <c:pt idx="188">
                  <c:v>0.31654676396544462</c:v>
                </c:pt>
                <c:pt idx="189">
                  <c:v>0.65246973739318903</c:v>
                </c:pt>
                <c:pt idx="190">
                  <c:v>0.51360862179928968</c:v>
                </c:pt>
                <c:pt idx="191">
                  <c:v>0.49134637113577323</c:v>
                </c:pt>
                <c:pt idx="192">
                  <c:v>0.52246706595651615</c:v>
                </c:pt>
                <c:pt idx="193">
                  <c:v>0.33821478254857346</c:v>
                </c:pt>
                <c:pt idx="194">
                  <c:v>0.50315900640249944</c:v>
                </c:pt>
                <c:pt idx="195">
                  <c:v>0.34794718485301446</c:v>
                </c:pt>
                <c:pt idx="196">
                  <c:v>0.43136453015737902</c:v>
                </c:pt>
                <c:pt idx="197">
                  <c:v>0.45028980209153818</c:v>
                </c:pt>
                <c:pt idx="198">
                  <c:v>0.49031265891509052</c:v>
                </c:pt>
                <c:pt idx="199">
                  <c:v>0.47482528214572411</c:v>
                </c:pt>
                <c:pt idx="200">
                  <c:v>0.33209778933421569</c:v>
                </c:pt>
                <c:pt idx="201">
                  <c:v>0.48248263765603999</c:v>
                </c:pt>
                <c:pt idx="202">
                  <c:v>0.42090515469945766</c:v>
                </c:pt>
                <c:pt idx="203">
                  <c:v>0.4015767311081514</c:v>
                </c:pt>
                <c:pt idx="204">
                  <c:v>0.3972948980679385</c:v>
                </c:pt>
                <c:pt idx="205">
                  <c:v>0.36029112772737371</c:v>
                </c:pt>
                <c:pt idx="206">
                  <c:v>0.52133404761560642</c:v>
                </c:pt>
                <c:pt idx="207">
                  <c:v>0.39633147723550605</c:v>
                </c:pt>
                <c:pt idx="208">
                  <c:v>0.21721518358862629</c:v>
                </c:pt>
                <c:pt idx="209">
                  <c:v>0.36527911420565312</c:v>
                </c:pt>
                <c:pt idx="210">
                  <c:v>0.46431287157649009</c:v>
                </c:pt>
                <c:pt idx="211">
                  <c:v>0.34926707026931308</c:v>
                </c:pt>
                <c:pt idx="212">
                  <c:v>0.45599249587705337</c:v>
                </c:pt>
                <c:pt idx="213">
                  <c:v>0.46221212680280965</c:v>
                </c:pt>
                <c:pt idx="214">
                  <c:v>0.32116826975563417</c:v>
                </c:pt>
                <c:pt idx="215">
                  <c:v>0.57718020299876127</c:v>
                </c:pt>
                <c:pt idx="216">
                  <c:v>0.27731983329119025</c:v>
                </c:pt>
                <c:pt idx="217">
                  <c:v>0.40737010443431509</c:v>
                </c:pt>
                <c:pt idx="218">
                  <c:v>0.44762943508685249</c:v>
                </c:pt>
                <c:pt idx="219">
                  <c:v>0.45260447143371085</c:v>
                </c:pt>
                <c:pt idx="220">
                  <c:v>0.487810719276069</c:v>
                </c:pt>
                <c:pt idx="221">
                  <c:v>0.31041425021198793</c:v>
                </c:pt>
                <c:pt idx="222">
                  <c:v>0.32122630275828362</c:v>
                </c:pt>
                <c:pt idx="223">
                  <c:v>0.3876688398036548</c:v>
                </c:pt>
                <c:pt idx="224">
                  <c:v>0.4216966475135005</c:v>
                </c:pt>
                <c:pt idx="225">
                  <c:v>0.40634056141277747</c:v>
                </c:pt>
                <c:pt idx="226">
                  <c:v>0.41841019183462308</c:v>
                </c:pt>
                <c:pt idx="227">
                  <c:v>0.48985395310576135</c:v>
                </c:pt>
                <c:pt idx="228">
                  <c:v>0.50657500907386888</c:v>
                </c:pt>
                <c:pt idx="229">
                  <c:v>0.34631518853409249</c:v>
                </c:pt>
                <c:pt idx="230">
                  <c:v>0.48834417900767485</c:v>
                </c:pt>
                <c:pt idx="231">
                  <c:v>0.32189072765911564</c:v>
                </c:pt>
                <c:pt idx="232">
                  <c:v>0.3883815269247396</c:v>
                </c:pt>
                <c:pt idx="233">
                  <c:v>0.41091075430133156</c:v>
                </c:pt>
                <c:pt idx="234">
                  <c:v>0.52063195873091361</c:v>
                </c:pt>
                <c:pt idx="235">
                  <c:v>0.50304913811284235</c:v>
                </c:pt>
                <c:pt idx="236">
                  <c:v>0.2592074602190288</c:v>
                </c:pt>
                <c:pt idx="237">
                  <c:v>0.46435687534750025</c:v>
                </c:pt>
                <c:pt idx="238">
                  <c:v>0.34811176214293627</c:v>
                </c:pt>
                <c:pt idx="239">
                  <c:v>0.44719402365553201</c:v>
                </c:pt>
                <c:pt idx="240">
                  <c:v>0.33440521265105355</c:v>
                </c:pt>
                <c:pt idx="241">
                  <c:v>0.30519273487253556</c:v>
                </c:pt>
                <c:pt idx="242">
                  <c:v>0.36856678737530424</c:v>
                </c:pt>
                <c:pt idx="243">
                  <c:v>0.33499089530216086</c:v>
                </c:pt>
                <c:pt idx="244">
                  <c:v>0.46510136722535828</c:v>
                </c:pt>
                <c:pt idx="245">
                  <c:v>0.48571066199149132</c:v>
                </c:pt>
                <c:pt idx="246">
                  <c:v>0.54874780058921602</c:v>
                </c:pt>
                <c:pt idx="247">
                  <c:v>0.48685679161718531</c:v>
                </c:pt>
                <c:pt idx="248">
                  <c:v>0.42838246590686985</c:v>
                </c:pt>
                <c:pt idx="249">
                  <c:v>0.46319440950331275</c:v>
                </c:pt>
              </c:numCache>
            </c:numRef>
          </c:xVal>
          <c:yVal>
            <c:numRef>
              <c:f>'Equal Variance Check'!$A$2:$A$251</c:f>
              <c:numCache>
                <c:formatCode>General</c:formatCode>
                <c:ptCount val="250"/>
                <c:pt idx="0">
                  <c:v>-5.3345753982558808E-3</c:v>
                </c:pt>
                <c:pt idx="1">
                  <c:v>3.7142916721940034E-2</c:v>
                </c:pt>
                <c:pt idx="2">
                  <c:v>6.3632015209022119E-2</c:v>
                </c:pt>
                <c:pt idx="3">
                  <c:v>-7.0147168820580863E-2</c:v>
                </c:pt>
                <c:pt idx="4">
                  <c:v>-1.0130009469184131E-2</c:v>
                </c:pt>
                <c:pt idx="5">
                  <c:v>-4.3798895114771863E-2</c:v>
                </c:pt>
                <c:pt idx="6">
                  <c:v>-4.0828383693807979E-2</c:v>
                </c:pt>
                <c:pt idx="7">
                  <c:v>-4.1739432165530943E-2</c:v>
                </c:pt>
                <c:pt idx="8">
                  <c:v>-2.424651855519705E-2</c:v>
                </c:pt>
                <c:pt idx="9">
                  <c:v>-1.7317226551329223E-2</c:v>
                </c:pt>
                <c:pt idx="10">
                  <c:v>2.5075771403070268E-3</c:v>
                </c:pt>
                <c:pt idx="11">
                  <c:v>-1.1714544813047956E-2</c:v>
                </c:pt>
                <c:pt idx="12">
                  <c:v>2.8962148423792689E-2</c:v>
                </c:pt>
                <c:pt idx="13">
                  <c:v>8.4663257721761753E-2</c:v>
                </c:pt>
                <c:pt idx="14">
                  <c:v>-7.334168595128443E-2</c:v>
                </c:pt>
                <c:pt idx="15">
                  <c:v>2.0688453461174428E-2</c:v>
                </c:pt>
                <c:pt idx="16">
                  <c:v>5.4134865031117418E-3</c:v>
                </c:pt>
                <c:pt idx="17">
                  <c:v>1.9445024219699902E-2</c:v>
                </c:pt>
                <c:pt idx="18">
                  <c:v>3.6520169403153613E-3</c:v>
                </c:pt>
                <c:pt idx="19">
                  <c:v>-6.7613090133375575E-2</c:v>
                </c:pt>
                <c:pt idx="20">
                  <c:v>3.1471355216155072E-2</c:v>
                </c:pt>
                <c:pt idx="21">
                  <c:v>0.11247237631704993</c:v>
                </c:pt>
                <c:pt idx="22">
                  <c:v>5.207256450127315E-2</c:v>
                </c:pt>
                <c:pt idx="23">
                  <c:v>-2.0663002102265682E-2</c:v>
                </c:pt>
                <c:pt idx="24">
                  <c:v>2.1033861955958133E-2</c:v>
                </c:pt>
                <c:pt idx="25">
                  <c:v>-1.3672521500146584E-2</c:v>
                </c:pt>
                <c:pt idx="26">
                  <c:v>-5.1016419629036525E-2</c:v>
                </c:pt>
                <c:pt idx="27">
                  <c:v>2.8298108515835141E-2</c:v>
                </c:pt>
                <c:pt idx="28">
                  <c:v>7.7186684539566341E-2</c:v>
                </c:pt>
                <c:pt idx="29">
                  <c:v>-3.6833740573344709E-2</c:v>
                </c:pt>
                <c:pt idx="30">
                  <c:v>3.0795601682177431E-2</c:v>
                </c:pt>
                <c:pt idx="31">
                  <c:v>-2.3794658806409519E-2</c:v>
                </c:pt>
                <c:pt idx="32">
                  <c:v>3.9112009185115093E-2</c:v>
                </c:pt>
                <c:pt idx="33">
                  <c:v>-8.470353064022168E-2</c:v>
                </c:pt>
                <c:pt idx="34">
                  <c:v>-6.1890682120288587E-2</c:v>
                </c:pt>
                <c:pt idx="35">
                  <c:v>-1.1383754395795809E-2</c:v>
                </c:pt>
                <c:pt idx="36">
                  <c:v>-1.5185722631792631E-2</c:v>
                </c:pt>
                <c:pt idx="37">
                  <c:v>2.6833706816984826E-2</c:v>
                </c:pt>
                <c:pt idx="38">
                  <c:v>-0.10391986704247108</c:v>
                </c:pt>
                <c:pt idx="39">
                  <c:v>7.7703507696118002E-3</c:v>
                </c:pt>
                <c:pt idx="40">
                  <c:v>7.0719355113745247E-2</c:v>
                </c:pt>
                <c:pt idx="41">
                  <c:v>5.7703450527940847E-2</c:v>
                </c:pt>
                <c:pt idx="42">
                  <c:v>-1.9286956099882624E-2</c:v>
                </c:pt>
                <c:pt idx="43">
                  <c:v>6.0910088668537976E-2</c:v>
                </c:pt>
                <c:pt idx="44">
                  <c:v>3.536690373418383E-2</c:v>
                </c:pt>
                <c:pt idx="45">
                  <c:v>-3.4698781452857652E-3</c:v>
                </c:pt>
                <c:pt idx="46">
                  <c:v>3.7413456620708607E-2</c:v>
                </c:pt>
                <c:pt idx="47">
                  <c:v>3.1848619951115376E-2</c:v>
                </c:pt>
                <c:pt idx="48">
                  <c:v>9.9641475004241253E-3</c:v>
                </c:pt>
                <c:pt idx="49">
                  <c:v>1.0041589251443273E-2</c:v>
                </c:pt>
                <c:pt idx="50">
                  <c:v>3.0566755781056942E-2</c:v>
                </c:pt>
                <c:pt idx="51">
                  <c:v>3.4157574071014329E-2</c:v>
                </c:pt>
                <c:pt idx="52">
                  <c:v>8.7639083648571148E-2</c:v>
                </c:pt>
                <c:pt idx="53">
                  <c:v>-2.4168324820024734E-3</c:v>
                </c:pt>
                <c:pt idx="54">
                  <c:v>-5.6428204473502608E-3</c:v>
                </c:pt>
                <c:pt idx="55">
                  <c:v>-9.5280094335154303E-2</c:v>
                </c:pt>
                <c:pt idx="56">
                  <c:v>3.0411834867045573E-2</c:v>
                </c:pt>
                <c:pt idx="57">
                  <c:v>-6.2469311255009319E-2</c:v>
                </c:pt>
                <c:pt idx="58">
                  <c:v>-1.6662787831112302E-2</c:v>
                </c:pt>
                <c:pt idx="59">
                  <c:v>-5.4402859215497867E-2</c:v>
                </c:pt>
                <c:pt idx="60">
                  <c:v>-3.0852920172391163E-3</c:v>
                </c:pt>
                <c:pt idx="61">
                  <c:v>-6.1798371865050772E-2</c:v>
                </c:pt>
                <c:pt idx="62">
                  <c:v>0.10863791503476972</c:v>
                </c:pt>
                <c:pt idx="63">
                  <c:v>-3.3259469982305168E-2</c:v>
                </c:pt>
                <c:pt idx="64">
                  <c:v>-2.1343348446685728E-2</c:v>
                </c:pt>
                <c:pt idx="65">
                  <c:v>-2.3303198044443196E-2</c:v>
                </c:pt>
                <c:pt idx="66">
                  <c:v>9.314791510945386E-3</c:v>
                </c:pt>
                <c:pt idx="67">
                  <c:v>-3.9478209086495297E-2</c:v>
                </c:pt>
                <c:pt idx="68">
                  <c:v>4.6552525397751843E-2</c:v>
                </c:pt>
                <c:pt idx="69">
                  <c:v>1.658047984598221E-2</c:v>
                </c:pt>
                <c:pt idx="70">
                  <c:v>2.5190849401737547E-2</c:v>
                </c:pt>
                <c:pt idx="71">
                  <c:v>-2.174988068305328E-2</c:v>
                </c:pt>
                <c:pt idx="72">
                  <c:v>-4.9229851725663965E-3</c:v>
                </c:pt>
                <c:pt idx="73">
                  <c:v>-2.7271225216195738E-2</c:v>
                </c:pt>
                <c:pt idx="74">
                  <c:v>-2.1446956389231497E-2</c:v>
                </c:pt>
                <c:pt idx="75">
                  <c:v>-3.4711886449338591E-2</c:v>
                </c:pt>
                <c:pt idx="76">
                  <c:v>-2.4330553688543644E-2</c:v>
                </c:pt>
                <c:pt idx="77">
                  <c:v>-6.2724944960435458E-2</c:v>
                </c:pt>
                <c:pt idx="78">
                  <c:v>-6.5007825513048623E-2</c:v>
                </c:pt>
                <c:pt idx="79">
                  <c:v>6.514526673178217E-2</c:v>
                </c:pt>
                <c:pt idx="80">
                  <c:v>1.3805283241508093E-4</c:v>
                </c:pt>
                <c:pt idx="81">
                  <c:v>-5.1746921079664943E-2</c:v>
                </c:pt>
                <c:pt idx="82">
                  <c:v>3.7441122076222855E-2</c:v>
                </c:pt>
                <c:pt idx="83">
                  <c:v>3.9214538910679608E-3</c:v>
                </c:pt>
                <c:pt idx="84">
                  <c:v>5.9817756110396303E-3</c:v>
                </c:pt>
                <c:pt idx="85">
                  <c:v>3.6322625366768668E-3</c:v>
                </c:pt>
                <c:pt idx="86">
                  <c:v>-1.2638647350910359E-2</c:v>
                </c:pt>
                <c:pt idx="87">
                  <c:v>-4.5134946417732857E-2</c:v>
                </c:pt>
                <c:pt idx="88">
                  <c:v>6.3341323589580389E-2</c:v>
                </c:pt>
                <c:pt idx="89">
                  <c:v>5.5662258608883519E-2</c:v>
                </c:pt>
                <c:pt idx="90">
                  <c:v>2.3071590004053844E-2</c:v>
                </c:pt>
                <c:pt idx="91">
                  <c:v>3.7341733494358709E-2</c:v>
                </c:pt>
                <c:pt idx="92">
                  <c:v>2.5724818118956327E-2</c:v>
                </c:pt>
                <c:pt idx="93">
                  <c:v>3.9734151677435825E-2</c:v>
                </c:pt>
                <c:pt idx="94">
                  <c:v>2.2794157922151892E-2</c:v>
                </c:pt>
                <c:pt idx="95">
                  <c:v>-5.3466334105582991E-3</c:v>
                </c:pt>
                <c:pt idx="96">
                  <c:v>2.7488632889553222E-2</c:v>
                </c:pt>
                <c:pt idx="97">
                  <c:v>-4.51765586410105E-2</c:v>
                </c:pt>
                <c:pt idx="98">
                  <c:v>-0.11271439793155752</c:v>
                </c:pt>
                <c:pt idx="99">
                  <c:v>-7.4506311232665601E-2</c:v>
                </c:pt>
                <c:pt idx="100">
                  <c:v>-2.5590412711256061E-2</c:v>
                </c:pt>
                <c:pt idx="101">
                  <c:v>-9.5661107921958533E-2</c:v>
                </c:pt>
                <c:pt idx="102">
                  <c:v>-2.3553497507783461E-2</c:v>
                </c:pt>
                <c:pt idx="103">
                  <c:v>-2.0930425841695854E-2</c:v>
                </c:pt>
                <c:pt idx="104">
                  <c:v>1.7389589781981463E-2</c:v>
                </c:pt>
                <c:pt idx="105">
                  <c:v>-0.10935412475640355</c:v>
                </c:pt>
                <c:pt idx="106">
                  <c:v>3.8083180752000678E-2</c:v>
                </c:pt>
                <c:pt idx="107">
                  <c:v>3.7794637907341333E-2</c:v>
                </c:pt>
                <c:pt idx="108">
                  <c:v>4.5082843041208687E-2</c:v>
                </c:pt>
                <c:pt idx="109">
                  <c:v>0.14009348608560201</c:v>
                </c:pt>
                <c:pt idx="110">
                  <c:v>-8.2759318907173363E-2</c:v>
                </c:pt>
                <c:pt idx="111">
                  <c:v>-1.6551340322174202E-2</c:v>
                </c:pt>
                <c:pt idx="112">
                  <c:v>-3.9208211698138984E-2</c:v>
                </c:pt>
                <c:pt idx="113">
                  <c:v>1.9848425232886047E-2</c:v>
                </c:pt>
                <c:pt idx="114">
                  <c:v>7.0896857564549665E-2</c:v>
                </c:pt>
                <c:pt idx="115">
                  <c:v>-1.9685239494836859E-2</c:v>
                </c:pt>
                <c:pt idx="116">
                  <c:v>6.5104989272734726E-2</c:v>
                </c:pt>
                <c:pt idx="117">
                  <c:v>-5.8892371788674125E-2</c:v>
                </c:pt>
                <c:pt idx="118">
                  <c:v>5.6868047579114789E-2</c:v>
                </c:pt>
                <c:pt idx="119">
                  <c:v>-3.8373058920818104E-2</c:v>
                </c:pt>
                <c:pt idx="120">
                  <c:v>3.2651080342524619E-2</c:v>
                </c:pt>
                <c:pt idx="121">
                  <c:v>9.163916422758539E-2</c:v>
                </c:pt>
                <c:pt idx="122">
                  <c:v>-2.6923541630464454E-2</c:v>
                </c:pt>
                <c:pt idx="123">
                  <c:v>3.0161104534654537E-2</c:v>
                </c:pt>
                <c:pt idx="124">
                  <c:v>3.4549800517980844E-2</c:v>
                </c:pt>
                <c:pt idx="125">
                  <c:v>5.7322208914412531E-2</c:v>
                </c:pt>
                <c:pt idx="126">
                  <c:v>-9.1370794636873032E-3</c:v>
                </c:pt>
                <c:pt idx="127">
                  <c:v>4.2531302588771913E-3</c:v>
                </c:pt>
                <c:pt idx="128">
                  <c:v>1.4883165558763345E-3</c:v>
                </c:pt>
                <c:pt idx="129">
                  <c:v>-9.3982071936070666E-3</c:v>
                </c:pt>
                <c:pt idx="130">
                  <c:v>3.1880064738244618E-2</c:v>
                </c:pt>
                <c:pt idx="131">
                  <c:v>-2.5268392298565923E-2</c:v>
                </c:pt>
                <c:pt idx="132">
                  <c:v>2.1535602353037753E-3</c:v>
                </c:pt>
                <c:pt idx="133">
                  <c:v>9.8340436296627254E-3</c:v>
                </c:pt>
                <c:pt idx="134">
                  <c:v>-4.2142703945263704E-2</c:v>
                </c:pt>
                <c:pt idx="135">
                  <c:v>-1.6864591952364671E-2</c:v>
                </c:pt>
                <c:pt idx="136">
                  <c:v>6.1075362208514672E-2</c:v>
                </c:pt>
                <c:pt idx="137">
                  <c:v>2.4080993993472966E-2</c:v>
                </c:pt>
                <c:pt idx="138">
                  <c:v>3.2142951689626609E-2</c:v>
                </c:pt>
                <c:pt idx="139">
                  <c:v>1.8702454448523587E-2</c:v>
                </c:pt>
                <c:pt idx="140">
                  <c:v>7.6866413634948172E-2</c:v>
                </c:pt>
                <c:pt idx="141">
                  <c:v>5.0820265501128503E-2</c:v>
                </c:pt>
                <c:pt idx="142">
                  <c:v>-1.8092530878452029E-2</c:v>
                </c:pt>
                <c:pt idx="143">
                  <c:v>-2.4578049833672344E-2</c:v>
                </c:pt>
                <c:pt idx="144">
                  <c:v>1.3430830829830542E-2</c:v>
                </c:pt>
                <c:pt idx="145">
                  <c:v>-2.1110245799853877E-2</c:v>
                </c:pt>
                <c:pt idx="146">
                  <c:v>1.6988919065044017E-2</c:v>
                </c:pt>
                <c:pt idx="147">
                  <c:v>1.2433089432248801E-2</c:v>
                </c:pt>
                <c:pt idx="148">
                  <c:v>-2.193252768500531E-2</c:v>
                </c:pt>
                <c:pt idx="149">
                  <c:v>0.10969569328679185</c:v>
                </c:pt>
                <c:pt idx="150">
                  <c:v>6.6954501896202223E-2</c:v>
                </c:pt>
                <c:pt idx="151">
                  <c:v>3.2687661031705284E-2</c:v>
                </c:pt>
                <c:pt idx="152">
                  <c:v>-1.4674089835746806E-2</c:v>
                </c:pt>
                <c:pt idx="153">
                  <c:v>-2.385517668396353E-2</c:v>
                </c:pt>
                <c:pt idx="154">
                  <c:v>-6.8726704566471397E-2</c:v>
                </c:pt>
                <c:pt idx="155">
                  <c:v>1.3665614125640269E-2</c:v>
                </c:pt>
                <c:pt idx="156">
                  <c:v>-8.9953073766966818E-3</c:v>
                </c:pt>
                <c:pt idx="157">
                  <c:v>-1.7676730700725007E-2</c:v>
                </c:pt>
                <c:pt idx="158">
                  <c:v>-5.1217053411470703E-2</c:v>
                </c:pt>
                <c:pt idx="159">
                  <c:v>-3.2890579635783013E-2</c:v>
                </c:pt>
                <c:pt idx="160">
                  <c:v>1.4476205337416503E-2</c:v>
                </c:pt>
                <c:pt idx="161">
                  <c:v>-4.1101966373382037E-2</c:v>
                </c:pt>
                <c:pt idx="162">
                  <c:v>-1.9468141649682358E-2</c:v>
                </c:pt>
                <c:pt idx="163">
                  <c:v>-2.2189974988711503E-2</c:v>
                </c:pt>
                <c:pt idx="164">
                  <c:v>1.6965160284566405E-2</c:v>
                </c:pt>
                <c:pt idx="165">
                  <c:v>-4.4871466163016738E-3</c:v>
                </c:pt>
                <c:pt idx="166">
                  <c:v>-4.1060360888789171E-2</c:v>
                </c:pt>
                <c:pt idx="167">
                  <c:v>3.020108742419092E-3</c:v>
                </c:pt>
                <c:pt idx="168">
                  <c:v>3.46900242415214E-2</c:v>
                </c:pt>
                <c:pt idx="169">
                  <c:v>-5.8044311667823478E-2</c:v>
                </c:pt>
                <c:pt idx="170">
                  <c:v>2.715092402718805E-2</c:v>
                </c:pt>
                <c:pt idx="171">
                  <c:v>1.0981465359730269E-2</c:v>
                </c:pt>
                <c:pt idx="172">
                  <c:v>-6.8536161507105786E-2</c:v>
                </c:pt>
                <c:pt idx="173">
                  <c:v>-2.3673281907152344E-2</c:v>
                </c:pt>
                <c:pt idx="174">
                  <c:v>4.1995104858750798E-2</c:v>
                </c:pt>
                <c:pt idx="175">
                  <c:v>-0.12247332357374469</c:v>
                </c:pt>
                <c:pt idx="176">
                  <c:v>2.2390122510864918E-2</c:v>
                </c:pt>
                <c:pt idx="177">
                  <c:v>-1.0301223848826868E-2</c:v>
                </c:pt>
                <c:pt idx="178">
                  <c:v>6.8486570999850893E-2</c:v>
                </c:pt>
                <c:pt idx="179">
                  <c:v>-1.3085270572023244E-2</c:v>
                </c:pt>
                <c:pt idx="180">
                  <c:v>-3.0651052454223671E-2</c:v>
                </c:pt>
                <c:pt idx="181">
                  <c:v>1.9193723094928394E-2</c:v>
                </c:pt>
                <c:pt idx="182">
                  <c:v>-1.3493741917015856E-2</c:v>
                </c:pt>
                <c:pt idx="183">
                  <c:v>3.0477773215547344E-2</c:v>
                </c:pt>
                <c:pt idx="184">
                  <c:v>-1.9206944953586769E-2</c:v>
                </c:pt>
                <c:pt idx="185">
                  <c:v>-1.1845073781667992E-2</c:v>
                </c:pt>
                <c:pt idx="186">
                  <c:v>1.4572887715797678E-2</c:v>
                </c:pt>
                <c:pt idx="187">
                  <c:v>-0.16329287864061298</c:v>
                </c:pt>
                <c:pt idx="188">
                  <c:v>-1.7212703616473535E-2</c:v>
                </c:pt>
                <c:pt idx="189">
                  <c:v>8.0710460979222187E-2</c:v>
                </c:pt>
                <c:pt idx="190">
                  <c:v>2.1338389620021769E-2</c:v>
                </c:pt>
                <c:pt idx="191">
                  <c:v>-3.9012551573760101E-2</c:v>
                </c:pt>
                <c:pt idx="192">
                  <c:v>2.746785569329141E-2</c:v>
                </c:pt>
                <c:pt idx="193">
                  <c:v>-9.0735744223177761E-2</c:v>
                </c:pt>
                <c:pt idx="194">
                  <c:v>4.6397874822495855E-2</c:v>
                </c:pt>
                <c:pt idx="195">
                  <c:v>-2.5440951486879027E-2</c:v>
                </c:pt>
                <c:pt idx="196">
                  <c:v>-4.8877883754851636E-2</c:v>
                </c:pt>
                <c:pt idx="197">
                  <c:v>-1.0913971012066204E-2</c:v>
                </c:pt>
                <c:pt idx="198">
                  <c:v>5.5958766272852789E-3</c:v>
                </c:pt>
                <c:pt idx="199">
                  <c:v>1.7292040321782387E-2</c:v>
                </c:pt>
                <c:pt idx="200">
                  <c:v>-5.2248957828592735E-2</c:v>
                </c:pt>
                <c:pt idx="201">
                  <c:v>5.1646394501030646E-2</c:v>
                </c:pt>
                <c:pt idx="202">
                  <c:v>-2.036031770325164E-2</c:v>
                </c:pt>
                <c:pt idx="203">
                  <c:v>1.5194344818637351E-2</c:v>
                </c:pt>
                <c:pt idx="204">
                  <c:v>6.6751255382679342E-3</c:v>
                </c:pt>
                <c:pt idx="205">
                  <c:v>-2.1460639101174017E-2</c:v>
                </c:pt>
                <c:pt idx="206">
                  <c:v>9.1356354526820116E-2</c:v>
                </c:pt>
                <c:pt idx="207">
                  <c:v>2.6381098861020025E-2</c:v>
                </c:pt>
                <c:pt idx="208">
                  <c:v>3.0806345607822749E-2</c:v>
                </c:pt>
                <c:pt idx="209">
                  <c:v>5.354203058796414E-3</c:v>
                </c:pt>
                <c:pt idx="210">
                  <c:v>7.296011612433545E-2</c:v>
                </c:pt>
                <c:pt idx="211">
                  <c:v>-1.8909984683692926E-2</c:v>
                </c:pt>
                <c:pt idx="212">
                  <c:v>-3.2586577863377819E-2</c:v>
                </c:pt>
                <c:pt idx="213">
                  <c:v>4.7340943216010622E-2</c:v>
                </c:pt>
                <c:pt idx="214">
                  <c:v>-2.5739090235779138E-2</c:v>
                </c:pt>
                <c:pt idx="215">
                  <c:v>-3.0329379435240389E-2</c:v>
                </c:pt>
                <c:pt idx="216">
                  <c:v>2.0088873356748527E-2</c:v>
                </c:pt>
                <c:pt idx="217">
                  <c:v>2.9272922290209502E-2</c:v>
                </c:pt>
                <c:pt idx="218">
                  <c:v>1.2487338039610496E-2</c:v>
                </c:pt>
                <c:pt idx="219">
                  <c:v>4.3290561405855355E-2</c:v>
                </c:pt>
                <c:pt idx="220">
                  <c:v>8.1207138187808336E-2</c:v>
                </c:pt>
                <c:pt idx="221">
                  <c:v>-2.4831794349429004E-2</c:v>
                </c:pt>
                <c:pt idx="222">
                  <c:v>-8.4580282378803384E-2</c:v>
                </c:pt>
                <c:pt idx="223">
                  <c:v>2.5616422032728459E-2</c:v>
                </c:pt>
                <c:pt idx="224">
                  <c:v>3.193003116180515E-2</c:v>
                </c:pt>
                <c:pt idx="225">
                  <c:v>4.8071498482628594E-3</c:v>
                </c:pt>
                <c:pt idx="226">
                  <c:v>-2.6315074326582755E-4</c:v>
                </c:pt>
                <c:pt idx="227">
                  <c:v>2.8608880830524597E-3</c:v>
                </c:pt>
                <c:pt idx="228">
                  <c:v>4.3911715185790956E-2</c:v>
                </c:pt>
                <c:pt idx="229">
                  <c:v>-3.4230586503116722E-2</c:v>
                </c:pt>
                <c:pt idx="230">
                  <c:v>-9.249465041191729E-3</c:v>
                </c:pt>
                <c:pt idx="231">
                  <c:v>-1.8525456404726304E-2</c:v>
                </c:pt>
                <c:pt idx="232">
                  <c:v>-6.6924403399470367E-3</c:v>
                </c:pt>
                <c:pt idx="233">
                  <c:v>-9.7887573951697671E-3</c:v>
                </c:pt>
                <c:pt idx="234">
                  <c:v>7.2561468626193781E-2</c:v>
                </c:pt>
                <c:pt idx="235">
                  <c:v>5.1061484393600809E-2</c:v>
                </c:pt>
                <c:pt idx="236">
                  <c:v>-3.2805193472136285E-2</c:v>
                </c:pt>
                <c:pt idx="237">
                  <c:v>-8.1441301602401595E-2</c:v>
                </c:pt>
                <c:pt idx="238">
                  <c:v>-2.2721151912819926E-2</c:v>
                </c:pt>
                <c:pt idx="239">
                  <c:v>7.4755368246660625E-3</c:v>
                </c:pt>
                <c:pt idx="240">
                  <c:v>5.7471160581335501E-3</c:v>
                </c:pt>
                <c:pt idx="241">
                  <c:v>-5.1597271306033921E-2</c:v>
                </c:pt>
                <c:pt idx="242">
                  <c:v>-4.4168153288646039E-2</c:v>
                </c:pt>
                <c:pt idx="243">
                  <c:v>-7.4135663739674063E-2</c:v>
                </c:pt>
                <c:pt idx="244">
                  <c:v>-3.1052897552720227E-3</c:v>
                </c:pt>
                <c:pt idx="245">
                  <c:v>5.2553297929576748E-3</c:v>
                </c:pt>
                <c:pt idx="246">
                  <c:v>4.1185552255098568E-2</c:v>
                </c:pt>
                <c:pt idx="247">
                  <c:v>8.7484121492573452E-2</c:v>
                </c:pt>
                <c:pt idx="248">
                  <c:v>-3.6286893493856165E-2</c:v>
                </c:pt>
                <c:pt idx="249">
                  <c:v>-6.5581346962375775E-2</c:v>
                </c:pt>
              </c:numCache>
            </c:numRef>
          </c:yVal>
          <c:smooth val="0"/>
          <c:extLst>
            <c:ext xmlns:c16="http://schemas.microsoft.com/office/drawing/2014/chart" uri="{C3380CC4-5D6E-409C-BE32-E72D297353CC}">
              <c16:uniqueId val="{00000000-ED1C-4D46-848E-ABA961358CFB}"/>
            </c:ext>
          </c:extLst>
        </c:ser>
        <c:dLbls>
          <c:showLegendKey val="0"/>
          <c:showVal val="0"/>
          <c:showCatName val="0"/>
          <c:showSerName val="0"/>
          <c:showPercent val="0"/>
          <c:showBubbleSize val="0"/>
        </c:dLbls>
        <c:axId val="913773951"/>
        <c:axId val="913774431"/>
      </c:scatterChart>
      <c:valAx>
        <c:axId val="913773951"/>
        <c:scaling>
          <c:orientation val="minMax"/>
          <c:min val="0.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Athletic Spending on Females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774431"/>
        <c:crossesAt val="-0.2"/>
        <c:crossBetween val="midCat"/>
      </c:valAx>
      <c:valAx>
        <c:axId val="913774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773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Total number of athletes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number of athletes</a:t>
          </a:r>
        </a:p>
      </cx:txPr>
    </cx:title>
    <cx:plotArea>
      <cx:plotAreaRegion>
        <cx:series layoutId="boxWhisker" uniqueId="{63368522-F86E-A44D-9312-EBBCB4FD4F8C}">
          <cx:tx>
            <cx:txData>
              <cx:f>_xlchart.v1.10</cx:f>
              <cx:v>Female Athlete %</cx:v>
            </cx:txData>
          </cx:tx>
          <cx:dataId val="0"/>
          <cx:layoutPr>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Number of athletes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Number of athletes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Female Athlete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Female Athlete %</a:t>
          </a:r>
        </a:p>
      </cx:txPr>
    </cx:title>
    <cx:plotArea>
      <cx:plotAreaRegion>
        <cx:series layoutId="boxWhisker" uniqueId="{09A01ADA-BC65-40D6-AFFE-39FD934B0EA7}">
          <cx:tx>
            <cx:txData>
              <cx:f>_xlchart.v1.8</cx:f>
              <cx:v>Total Spending</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Total Female athlete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Total Female athlete %</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Total Female Spending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Female Spending</a:t>
          </a:r>
        </a:p>
      </cx:txPr>
    </cx:title>
    <cx:plotArea>
      <cx:plotAreaRegion>
        <cx:series layoutId="boxWhisker" uniqueId="{21652E90-F699-A84B-B666-D8BCA2C9C13D}">
          <cx:tx>
            <cx:txData>
              <cx:f>_xlchart.v1.4</cx:f>
              <cx:v>Female Spending</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 Per Female Athlete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 Per Female Athlete</a:t>
          </a:r>
        </a:p>
      </cx:txPr>
    </cx:title>
    <cx:plotArea>
      <cx:plotAreaRegion>
        <cx:series layoutId="boxWhisker" uniqueId="{36CEDF59-2881-D64B-95FD-39C140A773BC}">
          <cx:tx>
            <cx:txData>
              <cx:f>_xlchart.v1.0</cx:f>
              <cx:v>$$ Per Female Athlete</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Total Male Spending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Male Spending</a:t>
          </a:r>
        </a:p>
      </cx:txPr>
    </cx:title>
    <cx:plotArea>
      <cx:plotAreaRegion>
        <cx:series layoutId="boxWhisker" uniqueId="{91F1F3E8-C8F2-43EE-B649-E18B6BDFD3F9}">
          <cx:tx>
            <cx:txData>
              <cx:f>_xlchart.v1.6</cx:f>
              <cx:v>Female spend %</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20000000"/>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 Per Male Athlete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 Per Male Athlete</a:t>
          </a:r>
        </a:p>
      </cx:txPr>
    </cx:title>
    <cx:plotArea>
      <cx:plotAreaRegion>
        <cx:series layoutId="boxWhisker" uniqueId="{56C5F561-3C0F-B749-B9D5-9303BA529316}">
          <cx:tx>
            <cx:txData>
              <cx:f>_xlchart.v1.2</cx:f>
              <cx:v>$$ Per Male Athlete</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tx>
        <cx:txData>
          <cx:v>Female Spending as a % of Total Spending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Female Spending as a % of Total Spending</a:t>
          </a:r>
        </a:p>
      </cx:txPr>
    </cx:title>
    <cx:plotArea>
      <cx:plotAreaRegion>
        <cx:series layoutId="clusteredColumn" uniqueId="{6C3FAF4B-2235-491D-8D8B-8860353B4214}">
          <cx:dataId val="0"/>
          <cx:layoutPr>
            <cx:binning intervalClosed="r">
              <cx:binSize val="0.025000000000000005"/>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6.xml"/><Relationship Id="rId3" Type="http://schemas.microsoft.com/office/2014/relationships/chartEx" Target="../charts/chartEx1.xml"/><Relationship Id="rId7" Type="http://schemas.microsoft.com/office/2014/relationships/chartEx" Target="../charts/chartEx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4.xml"/><Relationship Id="rId5" Type="http://schemas.microsoft.com/office/2014/relationships/chartEx" Target="../charts/chartEx3.xml"/><Relationship Id="rId4" Type="http://schemas.microsoft.com/office/2014/relationships/chartEx" Target="../charts/chartEx2.xml"/><Relationship Id="rId9" Type="http://schemas.microsoft.com/office/2014/relationships/chartEx" Target="../charts/chartEx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600075</xdr:colOff>
      <xdr:row>2</xdr:row>
      <xdr:rowOff>73025</xdr:rowOff>
    </xdr:from>
    <xdr:to>
      <xdr:col>17</xdr:col>
      <xdr:colOff>530225</xdr:colOff>
      <xdr:row>9</xdr:row>
      <xdr:rowOff>130175</xdr:rowOff>
    </xdr:to>
    <xdr:sp macro="" textlink="">
      <xdr:nvSpPr>
        <xdr:cNvPr id="2" name="TextBox 1">
          <a:extLst>
            <a:ext uri="{FF2B5EF4-FFF2-40B4-BE49-F238E27FC236}">
              <a16:creationId xmlns:a16="http://schemas.microsoft.com/office/drawing/2014/main" id="{8D7C1AD6-F0BC-8B5F-6E59-FE26FCED2EBE}"/>
            </a:ext>
          </a:extLst>
        </xdr:cNvPr>
        <xdr:cNvSpPr txBox="1"/>
      </xdr:nvSpPr>
      <xdr:spPr>
        <a:xfrm>
          <a:off x="7429500" y="454025"/>
          <a:ext cx="3587750" cy="1390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Categorical variables transformed to dummy variables:</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Football (Yes, No) &gt;&gt; Football (1= Yes, 0=No)</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Sector (Private, Public) &gt;&gt; Sector (1=Private, 0=Public)</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Division (One, Two, Three) &gt;&gt; 3 variables with Division One as reference group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146050</xdr:colOff>
      <xdr:row>15</xdr:row>
      <xdr:rowOff>82550</xdr:rowOff>
    </xdr:to>
    <xdr:graphicFrame macro="">
      <xdr:nvGraphicFramePr>
        <xdr:cNvPr id="2" name="Chart 1">
          <a:extLst>
            <a:ext uri="{FF2B5EF4-FFF2-40B4-BE49-F238E27FC236}">
              <a16:creationId xmlns:a16="http://schemas.microsoft.com/office/drawing/2014/main" id="{A03F6765-2F3B-4E3D-A21B-655063B4B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0</xdr:rowOff>
    </xdr:from>
    <xdr:to>
      <xdr:col>10</xdr:col>
      <xdr:colOff>304800</xdr:colOff>
      <xdr:row>32</xdr:row>
      <xdr:rowOff>76200</xdr:rowOff>
    </xdr:to>
    <xdr:graphicFrame macro="">
      <xdr:nvGraphicFramePr>
        <xdr:cNvPr id="3" name="Chart 1">
          <a:extLst>
            <a:ext uri="{FF2B5EF4-FFF2-40B4-BE49-F238E27FC236}">
              <a16:creationId xmlns:a16="http://schemas.microsoft.com/office/drawing/2014/main" id="{2CBD74B0-7C99-4A15-80D1-968C38CB0306}"/>
            </a:ext>
            <a:ext uri="{147F2762-F138-4A5C-976F-8EAC2B608ADB}">
              <a16:predDERef xmlns:a16="http://schemas.microsoft.com/office/drawing/2014/main" pred="{A03F6765-2F3B-4E3D-A21B-655063B4B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34</xdr:row>
      <xdr:rowOff>0</xdr:rowOff>
    </xdr:from>
    <xdr:to>
      <xdr:col>10</xdr:col>
      <xdr:colOff>304800</xdr:colOff>
      <xdr:row>58</xdr:row>
      <xdr:rowOff>57150</xdr:rowOff>
    </xdr:to>
    <mc:AlternateContent xmlns:mc="http://schemas.openxmlformats.org/markup-compatibility/2006">
      <mc:Choice xmlns:cx1="http://schemas.microsoft.com/office/drawing/2015/9/8/chartex" Requires="cx1">
        <xdr:graphicFrame macro="">
          <xdr:nvGraphicFramePr>
            <xdr:cNvPr id="4" name="Chart 2">
              <a:extLst>
                <a:ext uri="{FF2B5EF4-FFF2-40B4-BE49-F238E27FC236}">
                  <a16:creationId xmlns:a16="http://schemas.microsoft.com/office/drawing/2014/main" id="{5D9ECD9F-428C-40C8-A985-9F3647743031}"/>
                </a:ext>
                <a:ext uri="{147F2762-F138-4A5C-976F-8EAC2B608ADB}">
                  <a16:predDERef xmlns:a16="http://schemas.microsoft.com/office/drawing/2014/main" pred="{2CBD74B0-7C99-4A15-80D1-968C38CB03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194050" y="6267450"/>
              <a:ext cx="4616450" cy="4483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60</xdr:row>
      <xdr:rowOff>0</xdr:rowOff>
    </xdr:from>
    <xdr:to>
      <xdr:col>10</xdr:col>
      <xdr:colOff>304800</xdr:colOff>
      <xdr:row>74</xdr:row>
      <xdr:rowOff>165100</xdr:rowOff>
    </xdr:to>
    <mc:AlternateContent xmlns:mc="http://schemas.openxmlformats.org/markup-compatibility/2006">
      <mc:Choice xmlns:cx1="http://schemas.microsoft.com/office/drawing/2015/9/8/chartex" Requires="cx1">
        <xdr:graphicFrame macro="">
          <xdr:nvGraphicFramePr>
            <xdr:cNvPr id="5" name="Chart 1">
              <a:extLst>
                <a:ext uri="{FF2B5EF4-FFF2-40B4-BE49-F238E27FC236}">
                  <a16:creationId xmlns:a16="http://schemas.microsoft.com/office/drawing/2014/main" id="{4425512C-F6D3-4C95-809A-756B11442419}"/>
                </a:ext>
                <a:ext uri="{147F2762-F138-4A5C-976F-8EAC2B608ADB}">
                  <a16:predDERef xmlns:a16="http://schemas.microsoft.com/office/drawing/2014/main" pred="{5D9ECD9F-428C-40C8-A985-9F36477430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94050" y="11068050"/>
              <a:ext cx="46164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93</xdr:row>
      <xdr:rowOff>0</xdr:rowOff>
    </xdr:from>
    <xdr:to>
      <xdr:col>10</xdr:col>
      <xdr:colOff>508000</xdr:colOff>
      <xdr:row>111</xdr:row>
      <xdr:rowOff>69850</xdr:rowOff>
    </xdr:to>
    <mc:AlternateContent xmlns:mc="http://schemas.openxmlformats.org/markup-compatibility/2006">
      <mc:Choice xmlns:cx1="http://schemas.microsoft.com/office/drawing/2015/9/8/chartex" Requires="cx1">
        <xdr:graphicFrame macro="">
          <xdr:nvGraphicFramePr>
            <xdr:cNvPr id="6" name="Chart 2">
              <a:extLst>
                <a:ext uri="{FF2B5EF4-FFF2-40B4-BE49-F238E27FC236}">
                  <a16:creationId xmlns:a16="http://schemas.microsoft.com/office/drawing/2014/main" id="{112F8323-FB56-4A34-AFBE-6DEB3CCF23D3}"/>
                </a:ext>
                <a:ext uri="{147F2762-F138-4A5C-976F-8EAC2B608ADB}">
                  <a16:predDERef xmlns:a16="http://schemas.microsoft.com/office/drawing/2014/main" pred="{4425512C-F6D3-4C95-809A-756B114424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00" y="17170400"/>
              <a:ext cx="4203700" cy="3390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514350</xdr:colOff>
      <xdr:row>113</xdr:row>
      <xdr:rowOff>76200</xdr:rowOff>
    </xdr:from>
    <xdr:to>
      <xdr:col>11</xdr:col>
      <xdr:colOff>0</xdr:colOff>
      <xdr:row>130</xdr:row>
      <xdr:rowOff>180975</xdr:rowOff>
    </xdr:to>
    <mc:AlternateContent xmlns:mc="http://schemas.openxmlformats.org/markup-compatibility/2006">
      <mc:Choice xmlns:cx1="http://schemas.microsoft.com/office/drawing/2015/9/8/chartex" Requires="cx1">
        <xdr:graphicFrame macro="">
          <xdr:nvGraphicFramePr>
            <xdr:cNvPr id="7" name="Chart 1">
              <a:extLst>
                <a:ext uri="{FF2B5EF4-FFF2-40B4-BE49-F238E27FC236}">
                  <a16:creationId xmlns:a16="http://schemas.microsoft.com/office/drawing/2014/main" id="{D773CF73-DC9B-41D7-8274-3411991ECBF2}"/>
                </a:ext>
                <a:ext uri="{147F2762-F138-4A5C-976F-8EAC2B608ADB}">
                  <a16:predDERef xmlns:a16="http://schemas.microsoft.com/office/drawing/2014/main" pred="{112F8323-FB56-4A34-AFBE-6DEB3CCF23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092450" y="20935950"/>
              <a:ext cx="5029200" cy="3248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77</xdr:row>
      <xdr:rowOff>0</xdr:rowOff>
    </xdr:from>
    <xdr:to>
      <xdr:col>10</xdr:col>
      <xdr:colOff>304800</xdr:colOff>
      <xdr:row>91</xdr:row>
      <xdr:rowOff>165100</xdr:rowOff>
    </xdr:to>
    <mc:AlternateContent xmlns:mc="http://schemas.openxmlformats.org/markup-compatibility/2006">
      <mc:Choice xmlns:cx1="http://schemas.microsoft.com/office/drawing/2015/9/8/chartex" Requires="cx1">
        <xdr:graphicFrame macro="">
          <xdr:nvGraphicFramePr>
            <xdr:cNvPr id="8" name="Chart 15">
              <a:extLst>
                <a:ext uri="{FF2B5EF4-FFF2-40B4-BE49-F238E27FC236}">
                  <a16:creationId xmlns:a16="http://schemas.microsoft.com/office/drawing/2014/main" id="{6D87623A-17C2-43C4-98FC-E43912A94E05}"/>
                </a:ext>
                <a:ext uri="{147F2762-F138-4A5C-976F-8EAC2B608ADB}">
                  <a16:predDERef xmlns:a16="http://schemas.microsoft.com/office/drawing/2014/main" pred="{D773CF73-DC9B-41D7-8274-3411991ECB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194050" y="14211300"/>
              <a:ext cx="46164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135</xdr:row>
      <xdr:rowOff>0</xdr:rowOff>
    </xdr:from>
    <xdr:to>
      <xdr:col>10</xdr:col>
      <xdr:colOff>533400</xdr:colOff>
      <xdr:row>149</xdr:row>
      <xdr:rowOff>73025</xdr:rowOff>
    </xdr:to>
    <mc:AlternateContent xmlns:mc="http://schemas.openxmlformats.org/markup-compatibility/2006">
      <mc:Choice xmlns:cx1="http://schemas.microsoft.com/office/drawing/2015/9/8/chartex" Requires="cx1">
        <xdr:graphicFrame macro="">
          <xdr:nvGraphicFramePr>
            <xdr:cNvPr id="9" name="Chart 1">
              <a:extLst>
                <a:ext uri="{FF2B5EF4-FFF2-40B4-BE49-F238E27FC236}">
                  <a16:creationId xmlns:a16="http://schemas.microsoft.com/office/drawing/2014/main" id="{729DC66D-AA50-4FBC-9E7E-F15DDAD9430F}"/>
                </a:ext>
                <a:ext uri="{147F2762-F138-4A5C-976F-8EAC2B608ADB}">
                  <a16:predDERef xmlns:a16="http://schemas.microsoft.com/office/drawing/2014/main" pred="{6D87623A-17C2-43C4-98FC-E43912A94E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810000" y="24930100"/>
              <a:ext cx="4229100" cy="2651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153</xdr:row>
      <xdr:rowOff>0</xdr:rowOff>
    </xdr:from>
    <xdr:to>
      <xdr:col>11</xdr:col>
      <xdr:colOff>304800</xdr:colOff>
      <xdr:row>167</xdr:row>
      <xdr:rowOff>165100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A1DB344B-360C-44D9-AD51-B73B7CF179C8}"/>
                </a:ext>
                <a:ext uri="{147F2762-F138-4A5C-976F-8EAC2B608ADB}">
                  <a16:predDERef xmlns:a16="http://schemas.microsoft.com/office/drawing/2014/main" pred="{729DC66D-AA50-4FBC-9E7E-F15DDAD943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810000" y="28257500"/>
              <a:ext cx="46164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1228725</xdr:colOff>
      <xdr:row>38</xdr:row>
      <xdr:rowOff>180975</xdr:rowOff>
    </xdr:from>
    <xdr:to>
      <xdr:col>9</xdr:col>
      <xdr:colOff>723900</xdr:colOff>
      <xdr:row>53</xdr:row>
      <xdr:rowOff>66675</xdr:rowOff>
    </xdr:to>
    <xdr:graphicFrame macro="">
      <xdr:nvGraphicFramePr>
        <xdr:cNvPr id="2" name="Chart 2">
          <a:extLst>
            <a:ext uri="{FF2B5EF4-FFF2-40B4-BE49-F238E27FC236}">
              <a16:creationId xmlns:a16="http://schemas.microsoft.com/office/drawing/2014/main" id="{AD6930BB-7C68-4222-A923-83725C710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1238250</xdr:colOff>
      <xdr:row>23</xdr:row>
      <xdr:rowOff>123825</xdr:rowOff>
    </xdr:from>
    <xdr:to>
      <xdr:col>9</xdr:col>
      <xdr:colOff>771525</xdr:colOff>
      <xdr:row>37</xdr:row>
      <xdr:rowOff>38100</xdr:rowOff>
    </xdr:to>
    <xdr:graphicFrame macro="">
      <xdr:nvGraphicFramePr>
        <xdr:cNvPr id="4" name="Chart 53">
          <a:extLst>
            <a:ext uri="{FF2B5EF4-FFF2-40B4-BE49-F238E27FC236}">
              <a16:creationId xmlns:a16="http://schemas.microsoft.com/office/drawing/2014/main" id="{AB551D6D-20D9-489F-891E-B5E2A3139F71}"/>
            </a:ext>
            <a:ext uri="{147F2762-F138-4A5C-976F-8EAC2B608ADB}">
              <a16:predDERef xmlns:a16="http://schemas.microsoft.com/office/drawing/2014/main" pred="{AD6930BB-7C68-4222-A923-83725C710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428625</xdr:colOff>
      <xdr:row>1</xdr:row>
      <xdr:rowOff>47625</xdr:rowOff>
    </xdr:from>
    <xdr:to>
      <xdr:col>19</xdr:col>
      <xdr:colOff>228600</xdr:colOff>
      <xdr:row>18</xdr:row>
      <xdr:rowOff>104775</xdr:rowOff>
    </xdr:to>
    <xdr:sp macro="" textlink="">
      <xdr:nvSpPr>
        <xdr:cNvPr id="5" name="TextBox 4">
          <a:extLst>
            <a:ext uri="{FF2B5EF4-FFF2-40B4-BE49-F238E27FC236}">
              <a16:creationId xmlns:a16="http://schemas.microsoft.com/office/drawing/2014/main" id="{F6EC2D1E-E1F1-D942-323F-1C4F98FB833B}"/>
            </a:ext>
            <a:ext uri="{147F2762-F138-4A5C-976F-8EAC2B608ADB}">
              <a16:predDERef xmlns:a16="http://schemas.microsoft.com/office/drawing/2014/main" pred="{AB551D6D-20D9-489F-891E-B5E2A3139F71}"/>
            </a:ext>
          </a:extLst>
        </xdr:cNvPr>
        <xdr:cNvSpPr txBox="1"/>
      </xdr:nvSpPr>
      <xdr:spPr>
        <a:xfrm>
          <a:off x="10048875" y="238125"/>
          <a:ext cx="5286375" cy="3295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All of the numeric variables in the dataset show weak or moderate correlations with one another.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Athletes (r=-0.416) have a moderate negative correlation with Female Spending %. This means that as the number of athletes increases, the overall female spending % tends to decline.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Female Athlete % (r=0.525) has a moderate to strong positive correlation with Female Spending %. This suggests that schools with a higher percentage of female athletes also tend to spend a higher proportion of their budget on female athletes, compared to schools with fewer female athletes. This also indicates that these schools in the dataset are proportionally allocating their resources, and as they gain more female athletes, spending increases as well.</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Total Spending (r=-0.537) has a moderate to strong negative correlation with Female Spending %. This implies that as total spending on athletics increases, the proportion spent on female athletes tends to decrease. This also implies that schools with larger athletic budgets may allocate more money towards male athletics.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1209675</xdr:colOff>
      <xdr:row>7</xdr:row>
      <xdr:rowOff>171450</xdr:rowOff>
    </xdr:from>
    <xdr:to>
      <xdr:col>9</xdr:col>
      <xdr:colOff>704850</xdr:colOff>
      <xdr:row>22</xdr:row>
      <xdr:rowOff>57150</xdr:rowOff>
    </xdr:to>
    <xdr:graphicFrame macro="">
      <xdr:nvGraphicFramePr>
        <xdr:cNvPr id="7" name="Chart 6">
          <a:extLst>
            <a:ext uri="{FF2B5EF4-FFF2-40B4-BE49-F238E27FC236}">
              <a16:creationId xmlns:a16="http://schemas.microsoft.com/office/drawing/2014/main" id="{AAC8956F-D552-2AAF-428F-28F285D97620}"/>
            </a:ext>
            <a:ext uri="{147F2762-F138-4A5C-976F-8EAC2B608ADB}">
              <a16:predDERef xmlns:a16="http://schemas.microsoft.com/office/drawing/2014/main" pred="{F6EC2D1E-E1F1-D942-323F-1C4F98FB8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20</xdr:row>
      <xdr:rowOff>19050</xdr:rowOff>
    </xdr:from>
    <xdr:to>
      <xdr:col>19</xdr:col>
      <xdr:colOff>285750</xdr:colOff>
      <xdr:row>23</xdr:row>
      <xdr:rowOff>114300</xdr:rowOff>
    </xdr:to>
    <xdr:sp macro="" textlink="">
      <xdr:nvSpPr>
        <xdr:cNvPr id="8" name="TextBox 7">
          <a:extLst>
            <a:ext uri="{FF2B5EF4-FFF2-40B4-BE49-F238E27FC236}">
              <a16:creationId xmlns:a16="http://schemas.microsoft.com/office/drawing/2014/main" id="{88CC198D-B9B4-62F6-F1F8-EE278B0B361F}"/>
            </a:ext>
            <a:ext uri="{147F2762-F138-4A5C-976F-8EAC2B608ADB}">
              <a16:predDERef xmlns:a16="http://schemas.microsoft.com/office/drawing/2014/main" pred="{AAC8956F-D552-2AAF-428F-28F285D97620}"/>
            </a:ext>
          </a:extLst>
        </xdr:cNvPr>
        <xdr:cNvSpPr txBox="1"/>
      </xdr:nvSpPr>
      <xdr:spPr>
        <a:xfrm>
          <a:off x="10039350" y="3829050"/>
          <a:ext cx="5353050" cy="6667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In this dataset, there are no independent variables that have a very strong correlation (r ≥ 0.8 or r ≤ -0.8), and therefore, there is no evidence of multicollinearity. In the regression model, no independent variables need to be removed from the model.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342900</xdr:colOff>
      <xdr:row>2</xdr:row>
      <xdr:rowOff>85725</xdr:rowOff>
    </xdr:from>
    <xdr:to>
      <xdr:col>17</xdr:col>
      <xdr:colOff>514350</xdr:colOff>
      <xdr:row>9</xdr:row>
      <xdr:rowOff>86591</xdr:rowOff>
    </xdr:to>
    <xdr:sp macro="" textlink="">
      <xdr:nvSpPr>
        <xdr:cNvPr id="14" name="TextBox 1">
          <a:extLst>
            <a:ext uri="{FF2B5EF4-FFF2-40B4-BE49-F238E27FC236}">
              <a16:creationId xmlns:a16="http://schemas.microsoft.com/office/drawing/2014/main" id="{E1A5B4EF-A557-FED3-2103-C833C021F243}"/>
            </a:ext>
          </a:extLst>
        </xdr:cNvPr>
        <xdr:cNvSpPr txBox="1"/>
      </xdr:nvSpPr>
      <xdr:spPr>
        <a:xfrm>
          <a:off x="8193809" y="460952"/>
          <a:ext cx="5078268" cy="1314162"/>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Regression 1 = Female Spending % ~ Sector + Division 1 + Division 2 + Division 3 + Athletes + Female Athlete % + Total Spending + Football</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Football has a p-value of 0.54, which is the highest value. It is not significant and therefor will be removed</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effectLst/>
              <a:latin typeface="+mn-lt"/>
              <a:ea typeface="+mn-ea"/>
              <a:cs typeface="+mn-cs"/>
            </a:rPr>
            <a:t>Division 1 is displaying 0's, will be removed and used as baseline</a:t>
          </a:r>
          <a:endParaRPr lang="en-US">
            <a:effectLst/>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57150</xdr:colOff>
      <xdr:row>29</xdr:row>
      <xdr:rowOff>38100</xdr:rowOff>
    </xdr:from>
    <xdr:to>
      <xdr:col>22</xdr:col>
      <xdr:colOff>114300</xdr:colOff>
      <xdr:row>64</xdr:row>
      <xdr:rowOff>114300</xdr:rowOff>
    </xdr:to>
    <xdr:sp macro="" textlink="">
      <xdr:nvSpPr>
        <xdr:cNvPr id="15" name="TextBox 2">
          <a:extLst>
            <a:ext uri="{FF2B5EF4-FFF2-40B4-BE49-F238E27FC236}">
              <a16:creationId xmlns:a16="http://schemas.microsoft.com/office/drawing/2014/main" id="{08DFA24A-BA28-1214-57DE-3C5B7F1423EF}"/>
            </a:ext>
            <a:ext uri="{147F2762-F138-4A5C-976F-8EAC2B608ADB}">
              <a16:predDERef xmlns:a16="http://schemas.microsoft.com/office/drawing/2014/main" pred="{E1A5B4EF-A557-FED3-2103-C833C021F243}"/>
            </a:ext>
          </a:extLst>
        </xdr:cNvPr>
        <xdr:cNvSpPr txBox="1"/>
      </xdr:nvSpPr>
      <xdr:spPr>
        <a:xfrm>
          <a:off x="8124825" y="5457825"/>
          <a:ext cx="7143750" cy="6477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Final Regression: Female Spending % ~ Sector + Division 2 + Division 3 + Athletes + Female Athlete % + Total Spending</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Intercept: (0.1049) For schools in sector = 0, division 1, with zero athletes, zero female-athlete percentage, and zero total spending, the expected female spending is 0.01049. As with most regression intercepts, this value is not directly meaningful in practice because institutions will not realistically have zero athletes, zero spending, or a zero female-athlete percentage. P-value =0.000032, indicating the intercept is statistically significant</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Sector: (0.0141) Holding all other variables constant, switching sectors is associated with a 0.0141 increase in the proportion of spending allocated to female athletes. This suggests that Sector differences have a small but statistically significant effect on female spending. P-value =0.0287, meaning it is significant </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Division: (0.0410) Relative to Division 1 schools, Division 2 institutions allocated 0.0410 more of their athletic spending to women's sports, holding all other variables constant. P-value =0.00023, which is significant</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Division 3= (0.0269). Compared to Division 1 schools, Division 3 schools devote 0.0269 of their spending on female athletics, all other variables held constant. This suggests that Division 3 schools, like Division 2, tend to allocate a higher share of resources to female programs. P-value = 0.0078, statistically significant </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Athletes: (-0.0044). For each additional athlete on campus, the female spending percentage decreases by 0.0044, holding all variables constant. This suggests that schools with larger total athletic populations allocated proportionally less funding to women's teams. P-value= 0.00086 </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Female Athlete % = (0.771) A 1-unit increase in female athlete percentage increases female spending percentage by 0.177. This indicates that schools with more women participating in athletics allocate more of their budgets to women's programs. P-value =0.00266, a significant variable</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Total Spending: (-2.77 x 10^-9). For each additional $1 in total athletic spending, the female spending percentage decreases by 2.77 x 10^-9. Because the coefficient is tiny and spending is measured in large numbers, this means schools with higher overall athletic budgets allocate a slightly smaller share to women's athletics. P-value is &lt;0.0000001, extremely significant</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Model Significance (F-test): Significance F= 7.97 x 10^-65, which is essentially zero. This means the proposed model predicts female spending % much better than a model with no predictors </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Adjusted R^2: (0.7156) The model explains 71.6% of the variation in female athletic spending percentage. This indicates a strong model, though funding decisions rely on many unobserved factors like legal complications and institutional priorities. </a:t>
          </a: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3175</xdr:colOff>
      <xdr:row>1</xdr:row>
      <xdr:rowOff>15875</xdr:rowOff>
    </xdr:from>
    <xdr:to>
      <xdr:col>13</xdr:col>
      <xdr:colOff>307975</xdr:colOff>
      <xdr:row>15</xdr:row>
      <xdr:rowOff>180975</xdr:rowOff>
    </xdr:to>
    <xdr:graphicFrame macro="">
      <xdr:nvGraphicFramePr>
        <xdr:cNvPr id="17" name="Chart 16">
          <a:extLst>
            <a:ext uri="{FF2B5EF4-FFF2-40B4-BE49-F238E27FC236}">
              <a16:creationId xmlns:a16="http://schemas.microsoft.com/office/drawing/2014/main" id="{C087B8CB-BEB2-6D6C-26CE-0EEF5E253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22225</xdr:colOff>
      <xdr:row>16</xdr:row>
      <xdr:rowOff>15875</xdr:rowOff>
    </xdr:from>
    <xdr:to>
      <xdr:col>13</xdr:col>
      <xdr:colOff>327025</xdr:colOff>
      <xdr:row>30</xdr:row>
      <xdr:rowOff>180975</xdr:rowOff>
    </xdr:to>
    <xdr:graphicFrame macro="">
      <xdr:nvGraphicFramePr>
        <xdr:cNvPr id="18" name="Chart 17">
          <a:extLst>
            <a:ext uri="{FF2B5EF4-FFF2-40B4-BE49-F238E27FC236}">
              <a16:creationId xmlns:a16="http://schemas.microsoft.com/office/drawing/2014/main" id="{227CB4C5-943F-A18F-71F9-406AA8BDB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22225</xdr:colOff>
      <xdr:row>31</xdr:row>
      <xdr:rowOff>34925</xdr:rowOff>
    </xdr:from>
    <xdr:to>
      <xdr:col>13</xdr:col>
      <xdr:colOff>327025</xdr:colOff>
      <xdr:row>46</xdr:row>
      <xdr:rowOff>15875</xdr:rowOff>
    </xdr:to>
    <xdr:graphicFrame macro="">
      <xdr:nvGraphicFramePr>
        <xdr:cNvPr id="19" name="Chart 18">
          <a:extLst>
            <a:ext uri="{FF2B5EF4-FFF2-40B4-BE49-F238E27FC236}">
              <a16:creationId xmlns:a16="http://schemas.microsoft.com/office/drawing/2014/main" id="{FB3F0B68-3805-77C2-D0FF-469F27D56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15875</xdr:colOff>
      <xdr:row>46</xdr:row>
      <xdr:rowOff>34925</xdr:rowOff>
    </xdr:from>
    <xdr:to>
      <xdr:col>13</xdr:col>
      <xdr:colOff>320675</xdr:colOff>
      <xdr:row>61</xdr:row>
      <xdr:rowOff>15875</xdr:rowOff>
    </xdr:to>
    <xdr:graphicFrame macro="">
      <xdr:nvGraphicFramePr>
        <xdr:cNvPr id="20" name="Chart 19">
          <a:extLst>
            <a:ext uri="{FF2B5EF4-FFF2-40B4-BE49-F238E27FC236}">
              <a16:creationId xmlns:a16="http://schemas.microsoft.com/office/drawing/2014/main" id="{123781EB-4C6E-1952-D98F-30677B44A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owa-my.sharepoint.com/personal/bpersby_uiowa_edu/Documents/Business%20Analytics%20Group%20Project/WomensSports_Descriptive_Completed.xlsx" TargetMode="External"/><Relationship Id="rId1" Type="http://schemas.openxmlformats.org/officeDocument/2006/relationships/externalLinkPath" Target="/personal/bpersby_uiowa_edu/Documents/Business%20Analytics%20Group%20Project/WomensSports_Descriptive_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AO7BTmefUWJf0hLIuUndTRWX2oa-idCsCQnQ4ON_2jgWzFNThMJT5-uB-gfpvbi" itemId="01KYEK6WEIPGCT4LUD3NDKUXZOLZ5Y4IJG">
      <xxl21:absoluteUrl r:id="rId2"/>
    </xxl21:alternateUrls>
    <sheetNames>
      <sheetName val="Raw Data"/>
      <sheetName val="Athlete"/>
      <sheetName val="female athlete percent"/>
      <sheetName val="Female Spending"/>
      <sheetName val="$$ Per Female Athlete"/>
      <sheetName val="Female Spend %"/>
      <sheetName val="$$ Per Male Athlete"/>
      <sheetName val="Edited Data"/>
      <sheetName val="Data Dictionary"/>
      <sheetName val="Notes"/>
      <sheetName val="Sheet2"/>
      <sheetName val="football"/>
      <sheetName val="Sector chart"/>
      <sheetName val="Sheet1"/>
      <sheetName val="Division"/>
    </sheetNames>
    <sheetDataSet>
      <sheetData sheetId="0"/>
      <sheetData sheetId="1"/>
      <sheetData sheetId="2"/>
      <sheetData sheetId="3"/>
      <sheetData sheetId="4"/>
      <sheetData sheetId="5"/>
      <sheetData sheetId="6"/>
      <sheetData sheetId="7">
        <row r="1">
          <cell r="G1" t="str">
            <v>Female Spending</v>
          </cell>
          <cell r="H1" t="str">
            <v>$$ Per Female Athlete</v>
          </cell>
          <cell r="I1" t="str">
            <v>$$ Per Male Athlete</v>
          </cell>
        </row>
        <row r="2">
          <cell r="G2">
            <v>3107620</v>
          </cell>
          <cell r="H2">
            <v>19175.97403398783</v>
          </cell>
          <cell r="I2">
            <v>19027.814695272449</v>
          </cell>
        </row>
        <row r="3">
          <cell r="G3">
            <v>6116741</v>
          </cell>
          <cell r="H3">
            <v>31858.026041666672</v>
          </cell>
          <cell r="I3">
            <v>35236.5546875</v>
          </cell>
        </row>
        <row r="4">
          <cell r="G4">
            <v>1966910</v>
          </cell>
          <cell r="H4">
            <v>21135.252463385019</v>
          </cell>
          <cell r="I4">
            <v>15028.50737003993</v>
          </cell>
        </row>
        <row r="5">
          <cell r="G5">
            <v>8388776</v>
          </cell>
          <cell r="H5">
            <v>24159.48160414716</v>
          </cell>
          <cell r="I5">
            <v>53949.019607843133</v>
          </cell>
        </row>
        <row r="6">
          <cell r="G6">
            <v>7007632</v>
          </cell>
          <cell r="H6">
            <v>23030.360394113271</v>
          </cell>
          <cell r="I6">
            <v>33708.951428329237</v>
          </cell>
        </row>
        <row r="7">
          <cell r="G7">
            <v>278204</v>
          </cell>
          <cell r="H7">
            <v>3711.4650871154508</v>
          </cell>
          <cell r="I7">
            <v>3712.5051782208529</v>
          </cell>
        </row>
        <row r="8">
          <cell r="G8">
            <v>5592760</v>
          </cell>
          <cell r="H8">
            <v>22840.643633096461</v>
          </cell>
          <cell r="I8">
            <v>36328.27822795292</v>
          </cell>
        </row>
        <row r="9">
          <cell r="G9">
            <v>937780</v>
          </cell>
          <cell r="H9">
            <v>4804.9885227086406</v>
          </cell>
          <cell r="I9">
            <v>4900.3153825284853</v>
          </cell>
        </row>
        <row r="10">
          <cell r="G10">
            <v>2454908</v>
          </cell>
          <cell r="H10">
            <v>9747.5004963271786</v>
          </cell>
          <cell r="I10">
            <v>9521.792324584334</v>
          </cell>
        </row>
        <row r="11">
          <cell r="G11">
            <v>2409740</v>
          </cell>
          <cell r="H11">
            <v>18805.67196559986</v>
          </cell>
          <cell r="I11">
            <v>21477.88266251102</v>
          </cell>
        </row>
        <row r="12">
          <cell r="G12">
            <v>289823</v>
          </cell>
          <cell r="H12">
            <v>2478.4542103867898</v>
          </cell>
          <cell r="I12">
            <v>2359.0352164725232</v>
          </cell>
        </row>
        <row r="13">
          <cell r="G13">
            <v>4542322</v>
          </cell>
          <cell r="H13">
            <v>18034.748774144879</v>
          </cell>
          <cell r="I13">
            <v>23728.060280923779</v>
          </cell>
        </row>
        <row r="14">
          <cell r="G14">
            <v>247593</v>
          </cell>
          <cell r="H14">
            <v>2780.5067043999729</v>
          </cell>
          <cell r="I14">
            <v>2185.0524991901211</v>
          </cell>
        </row>
        <row r="15">
          <cell r="G15">
            <v>5446927</v>
          </cell>
          <cell r="H15">
            <v>28664.114384347398</v>
          </cell>
          <cell r="I15">
            <v>24814.34898693598</v>
          </cell>
        </row>
        <row r="16">
          <cell r="G16">
            <v>184996</v>
          </cell>
          <cell r="H16">
            <v>1595.095621583404</v>
          </cell>
          <cell r="I16">
            <v>2080.9913132345418</v>
          </cell>
        </row>
        <row r="17">
          <cell r="G17">
            <v>1165567</v>
          </cell>
          <cell r="H17">
            <v>4751.1719291380296</v>
          </cell>
          <cell r="I17">
            <v>3956.6560476419331</v>
          </cell>
        </row>
        <row r="18">
          <cell r="G18">
            <v>550975</v>
          </cell>
          <cell r="H18">
            <v>5200.8703121607696</v>
          </cell>
          <cell r="I18">
            <v>4507.2599781781009</v>
          </cell>
        </row>
        <row r="19">
          <cell r="G19">
            <v>847541</v>
          </cell>
          <cell r="H19">
            <v>5223.9953155818539</v>
          </cell>
          <cell r="I19">
            <v>3917.497763864043</v>
          </cell>
        </row>
        <row r="20">
          <cell r="G20">
            <v>1923854</v>
          </cell>
          <cell r="H20">
            <v>5918.3488891486659</v>
          </cell>
          <cell r="I20">
            <v>5795.7465077111056</v>
          </cell>
        </row>
        <row r="21">
          <cell r="G21">
            <v>273802</v>
          </cell>
          <cell r="H21">
            <v>2301.9404089319341</v>
          </cell>
          <cell r="I21">
            <v>2862.911209259823</v>
          </cell>
        </row>
        <row r="22">
          <cell r="G22">
            <v>1092151</v>
          </cell>
          <cell r="H22">
            <v>4791.8173043173038</v>
          </cell>
          <cell r="I22">
            <v>4089.662129607324</v>
          </cell>
        </row>
        <row r="23">
          <cell r="G23">
            <v>3311183</v>
          </cell>
          <cell r="H23">
            <v>13866.622275826259</v>
          </cell>
          <cell r="I23">
            <v>8438.7042104433403</v>
          </cell>
        </row>
        <row r="24">
          <cell r="G24">
            <v>19634482</v>
          </cell>
          <cell r="H24">
            <v>47531.911494141568</v>
          </cell>
          <cell r="I24">
            <v>107983.4715004537</v>
          </cell>
        </row>
        <row r="25">
          <cell r="G25">
            <v>1566055</v>
          </cell>
          <cell r="H25">
            <v>5291.4414110014859</v>
          </cell>
          <cell r="I25">
            <v>5496.778058556989</v>
          </cell>
        </row>
        <row r="26">
          <cell r="G26">
            <v>637305</v>
          </cell>
          <cell r="H26">
            <v>3579.1185092832829</v>
          </cell>
          <cell r="I26">
            <v>3134.2859416385309</v>
          </cell>
        </row>
        <row r="27">
          <cell r="G27">
            <v>970430</v>
          </cell>
          <cell r="H27">
            <v>8911.2029384756661</v>
          </cell>
          <cell r="I27">
            <v>7637.3315241971941</v>
          </cell>
        </row>
        <row r="28">
          <cell r="G28">
            <v>5091409</v>
          </cell>
          <cell r="H28">
            <v>22522.578276371551</v>
          </cell>
          <cell r="I28">
            <v>36189.046737151388</v>
          </cell>
        </row>
        <row r="29">
          <cell r="G29">
            <v>2530379</v>
          </cell>
          <cell r="H29">
            <v>11490.02379395525</v>
          </cell>
          <cell r="I29">
            <v>9365.7642434439549</v>
          </cell>
        </row>
        <row r="30">
          <cell r="G30">
            <v>3551185</v>
          </cell>
          <cell r="H30">
            <v>25733.22463768116</v>
          </cell>
          <cell r="I30">
            <v>17564.84057971014</v>
          </cell>
        </row>
        <row r="31">
          <cell r="G31">
            <v>8089376</v>
          </cell>
          <cell r="H31">
            <v>32625.029239766081</v>
          </cell>
          <cell r="I31">
            <v>51434.877780224633</v>
          </cell>
        </row>
        <row r="32">
          <cell r="G32">
            <v>842074</v>
          </cell>
          <cell r="H32">
            <v>4359.3056785061617</v>
          </cell>
          <cell r="I32">
            <v>3934.8996182779379</v>
          </cell>
        </row>
        <row r="33">
          <cell r="G33">
            <v>2436504</v>
          </cell>
          <cell r="H33">
            <v>12069.54902116192</v>
          </cell>
          <cell r="I33">
            <v>14232.577195100919</v>
          </cell>
        </row>
        <row r="34">
          <cell r="G34">
            <v>6943478</v>
          </cell>
          <cell r="H34">
            <v>27876.497510839901</v>
          </cell>
          <cell r="I34">
            <v>30233.281141266529</v>
          </cell>
        </row>
        <row r="35">
          <cell r="G35">
            <v>10570904</v>
          </cell>
          <cell r="H35">
            <v>54195.867726224053</v>
          </cell>
          <cell r="I35">
            <v>148133.32575585361</v>
          </cell>
        </row>
        <row r="36">
          <cell r="G36">
            <v>1320951</v>
          </cell>
          <cell r="H36">
            <v>8404.2792792792807</v>
          </cell>
          <cell r="I36">
            <v>9415.6481081493148</v>
          </cell>
        </row>
        <row r="37">
          <cell r="G37">
            <v>521669</v>
          </cell>
          <cell r="H37">
            <v>3594.345992724066</v>
          </cell>
          <cell r="I37">
            <v>3195.2595655639702</v>
          </cell>
        </row>
        <row r="38">
          <cell r="G38">
            <v>3050309</v>
          </cell>
          <cell r="H38">
            <v>18849.54642080285</v>
          </cell>
          <cell r="I38">
            <v>22568.393554072769</v>
          </cell>
        </row>
        <row r="39">
          <cell r="G39">
            <v>5072826</v>
          </cell>
          <cell r="H39">
            <v>26978.52493192648</v>
          </cell>
          <cell r="I39">
            <v>29141.975542489999</v>
          </cell>
        </row>
        <row r="40">
          <cell r="G40">
            <v>6938071</v>
          </cell>
          <cell r="H40">
            <v>28117.815602836879</v>
          </cell>
          <cell r="I40">
            <v>67768.380952380947</v>
          </cell>
        </row>
        <row r="41">
          <cell r="G41">
            <v>671456</v>
          </cell>
          <cell r="H41">
            <v>6001.144001144</v>
          </cell>
          <cell r="I41">
            <v>5113.6277122192614</v>
          </cell>
        </row>
        <row r="42">
          <cell r="G42">
            <v>21291413</v>
          </cell>
          <cell r="H42">
            <v>62090.020180104511</v>
          </cell>
          <cell r="I42">
            <v>125817.53314690239</v>
          </cell>
        </row>
        <row r="43">
          <cell r="G43">
            <v>984764</v>
          </cell>
          <cell r="H43">
            <v>4919.7366186065556</v>
          </cell>
          <cell r="I43">
            <v>3595.4585452081892</v>
          </cell>
        </row>
        <row r="44">
          <cell r="G44">
            <v>2177148</v>
          </cell>
          <cell r="H44">
            <v>13935.70934787618</v>
          </cell>
          <cell r="I44">
            <v>11919.10441157246</v>
          </cell>
        </row>
        <row r="45">
          <cell r="G45">
            <v>2286214</v>
          </cell>
          <cell r="H45">
            <v>18595.57196772514</v>
          </cell>
          <cell r="I45">
            <v>12746.182642765139</v>
          </cell>
        </row>
        <row r="46">
          <cell r="G46">
            <v>330547</v>
          </cell>
          <cell r="H46">
            <v>2026.5529587757801</v>
          </cell>
          <cell r="I46">
            <v>1631.48966024889</v>
          </cell>
        </row>
        <row r="47">
          <cell r="G47">
            <v>1724655</v>
          </cell>
          <cell r="H47">
            <v>17232.935980575348</v>
          </cell>
          <cell r="I47">
            <v>16460.46968062883</v>
          </cell>
        </row>
        <row r="48">
          <cell r="G48">
            <v>2711912</v>
          </cell>
          <cell r="H48">
            <v>23799.13997367266</v>
          </cell>
          <cell r="I48">
            <v>19109.28253339931</v>
          </cell>
        </row>
        <row r="49">
          <cell r="G49">
            <v>2139086</v>
          </cell>
          <cell r="H49">
            <v>11093.808669315111</v>
          </cell>
          <cell r="I49">
            <v>8821.0288278654753</v>
          </cell>
        </row>
        <row r="50">
          <cell r="G50">
            <v>1420812</v>
          </cell>
          <cell r="H50">
            <v>4479.1601645623477</v>
          </cell>
          <cell r="I50">
            <v>4374.0976778744034</v>
          </cell>
        </row>
        <row r="51">
          <cell r="G51">
            <v>663340</v>
          </cell>
          <cell r="H51">
            <v>2787.4356550057778</v>
          </cell>
          <cell r="I51">
            <v>2556.5136393878911</v>
          </cell>
        </row>
        <row r="52">
          <cell r="G52">
            <v>20703856</v>
          </cell>
          <cell r="H52">
            <v>58924.908925318749</v>
          </cell>
          <cell r="I52">
            <v>162563.27039930559</v>
          </cell>
        </row>
        <row r="53">
          <cell r="G53">
            <v>4417655</v>
          </cell>
          <cell r="H53">
            <v>25532.77385720643</v>
          </cell>
          <cell r="I53">
            <v>27874.477128820599</v>
          </cell>
        </row>
        <row r="54">
          <cell r="G54">
            <v>6287045</v>
          </cell>
          <cell r="H54">
            <v>29391.900104719869</v>
          </cell>
          <cell r="I54">
            <v>24389.710351225131</v>
          </cell>
        </row>
        <row r="55">
          <cell r="G55">
            <v>540598</v>
          </cell>
          <cell r="H55">
            <v>4007.279250429935</v>
          </cell>
          <cell r="I55">
            <v>3668.2474410551508</v>
          </cell>
        </row>
        <row r="56">
          <cell r="G56">
            <v>13730849</v>
          </cell>
          <cell r="H56">
            <v>52156.196821441597</v>
          </cell>
          <cell r="I56">
            <v>113142.2566833751</v>
          </cell>
        </row>
        <row r="57">
          <cell r="G57">
            <v>11734004</v>
          </cell>
          <cell r="H57">
            <v>38571.79861412436</v>
          </cell>
          <cell r="I57">
            <v>132475.62858695511</v>
          </cell>
        </row>
        <row r="58">
          <cell r="G58">
            <v>3124858</v>
          </cell>
          <cell r="H58">
            <v>16349.04307972417</v>
          </cell>
          <cell r="I58">
            <v>13028.11698736238</v>
          </cell>
        </row>
        <row r="59">
          <cell r="G59">
            <v>1940018</v>
          </cell>
          <cell r="H59">
            <v>14156.58201984822</v>
          </cell>
          <cell r="I59">
            <v>18632.449494949498</v>
          </cell>
        </row>
        <row r="60">
          <cell r="G60">
            <v>2206335</v>
          </cell>
          <cell r="H60">
            <v>10813.51238758056</v>
          </cell>
          <cell r="I60">
            <v>9953.3249757018293</v>
          </cell>
        </row>
        <row r="61">
          <cell r="G61">
            <v>4541212</v>
          </cell>
          <cell r="H61">
            <v>18921.716666666671</v>
          </cell>
          <cell r="I61">
            <v>30587.8</v>
          </cell>
        </row>
        <row r="62">
          <cell r="G62">
            <v>1615006</v>
          </cell>
          <cell r="H62">
            <v>26902.41871002132</v>
          </cell>
          <cell r="I62">
            <v>24732.138653483991</v>
          </cell>
        </row>
        <row r="63">
          <cell r="G63">
            <v>879353</v>
          </cell>
          <cell r="H63">
            <v>9462.9382519424053</v>
          </cell>
          <cell r="I63">
            <v>11088.054296851809</v>
          </cell>
        </row>
        <row r="64">
          <cell r="G64">
            <v>23955245</v>
          </cell>
          <cell r="H64">
            <v>71483.441554566176</v>
          </cell>
          <cell r="I64">
            <v>168529.057203114</v>
          </cell>
        </row>
        <row r="65">
          <cell r="G65">
            <v>626527</v>
          </cell>
          <cell r="H65">
            <v>5260.9097244963932</v>
          </cell>
          <cell r="I65">
            <v>4854.0941371685803</v>
          </cell>
        </row>
        <row r="66">
          <cell r="G66">
            <v>1169612</v>
          </cell>
          <cell r="H66">
            <v>5110.5110458612971</v>
          </cell>
          <cell r="I66">
            <v>5065.6350780092398</v>
          </cell>
        </row>
        <row r="67">
          <cell r="G67">
            <v>1588939</v>
          </cell>
          <cell r="H67">
            <v>11686.64038481341</v>
          </cell>
          <cell r="I67">
            <v>11700.38418764533</v>
          </cell>
        </row>
        <row r="68">
          <cell r="G68">
            <v>4979384</v>
          </cell>
          <cell r="H68">
            <v>22643.341442895791</v>
          </cell>
          <cell r="I68">
            <v>26256.800019314811</v>
          </cell>
        </row>
        <row r="69">
          <cell r="G69">
            <v>784704</v>
          </cell>
          <cell r="H69">
            <v>4453.9902372573497</v>
          </cell>
          <cell r="I69">
            <v>4592.0442534000422</v>
          </cell>
        </row>
        <row r="70">
          <cell r="G70">
            <v>8159067</v>
          </cell>
          <cell r="H70">
            <v>41420.788912579963</v>
          </cell>
          <cell r="I70">
            <v>43339.283972295387</v>
          </cell>
        </row>
        <row r="71">
          <cell r="G71">
            <v>153117</v>
          </cell>
          <cell r="H71">
            <v>2889.1635375587298</v>
          </cell>
          <cell r="I71">
            <v>2507.0079829341871</v>
          </cell>
        </row>
        <row r="72">
          <cell r="G72">
            <v>1645189</v>
          </cell>
          <cell r="H72">
            <v>11912.50923203916</v>
          </cell>
          <cell r="I72">
            <v>9102.5879781757176</v>
          </cell>
        </row>
        <row r="73">
          <cell r="G73">
            <v>1257909</v>
          </cell>
          <cell r="H73">
            <v>3504.715548633535</v>
          </cell>
          <cell r="I73">
            <v>4143.2761762691061</v>
          </cell>
        </row>
        <row r="74">
          <cell r="G74">
            <v>1903019</v>
          </cell>
          <cell r="H74">
            <v>5242.8232169620032</v>
          </cell>
          <cell r="I74">
            <v>5463.7664425066496</v>
          </cell>
        </row>
        <row r="75">
          <cell r="G75">
            <v>7071895</v>
          </cell>
          <cell r="H75">
            <v>43624.051569921663</v>
          </cell>
          <cell r="I75">
            <v>65581.376518218603</v>
          </cell>
        </row>
        <row r="76">
          <cell r="G76">
            <v>8273103</v>
          </cell>
          <cell r="H76">
            <v>43543.793257717312</v>
          </cell>
          <cell r="I76">
            <v>70571.911135547503</v>
          </cell>
        </row>
        <row r="77">
          <cell r="G77">
            <v>1033972</v>
          </cell>
          <cell r="H77">
            <v>3591.365207273233</v>
          </cell>
          <cell r="I77">
            <v>3823.250078857568</v>
          </cell>
        </row>
        <row r="78">
          <cell r="G78">
            <v>383993</v>
          </cell>
          <cell r="H78">
            <v>2325.9334189421652</v>
          </cell>
          <cell r="I78">
            <v>2522.376380654287</v>
          </cell>
        </row>
        <row r="79">
          <cell r="G79">
            <v>362098</v>
          </cell>
          <cell r="H79">
            <v>1938.1771078662271</v>
          </cell>
          <cell r="I79">
            <v>2339.5238382134398</v>
          </cell>
        </row>
        <row r="80">
          <cell r="G80">
            <v>916428</v>
          </cell>
          <cell r="H80">
            <v>9733.2880175032387</v>
          </cell>
          <cell r="I80">
            <v>9978.3699582332119</v>
          </cell>
        </row>
        <row r="81">
          <cell r="G81">
            <v>6732178</v>
          </cell>
          <cell r="H81">
            <v>33468.446433010198</v>
          </cell>
          <cell r="I81">
            <v>30614.59019727476</v>
          </cell>
        </row>
        <row r="82">
          <cell r="G82">
            <v>4002198</v>
          </cell>
          <cell r="H82">
            <v>15695.571181501949</v>
          </cell>
          <cell r="I82">
            <v>15712.185106409141</v>
          </cell>
        </row>
        <row r="83">
          <cell r="G83">
            <v>988233</v>
          </cell>
          <cell r="H83">
            <v>5318.5707827434762</v>
          </cell>
          <cell r="I83">
            <v>5883.5359760159899</v>
          </cell>
        </row>
        <row r="84">
          <cell r="G84">
            <v>4749130</v>
          </cell>
          <cell r="H84">
            <v>23254.059188749819</v>
          </cell>
          <cell r="I84">
            <v>21997.847853073919</v>
          </cell>
        </row>
        <row r="85">
          <cell r="G85">
            <v>7614284</v>
          </cell>
          <cell r="H85">
            <v>27494.841749869101</v>
          </cell>
          <cell r="I85">
            <v>35473.143692720987</v>
          </cell>
        </row>
        <row r="86">
          <cell r="G86">
            <v>1549418</v>
          </cell>
          <cell r="H86">
            <v>10457.734881209501</v>
          </cell>
          <cell r="I86">
            <v>8994.9895251396647</v>
          </cell>
        </row>
        <row r="87">
          <cell r="G87">
            <v>348716</v>
          </cell>
          <cell r="H87">
            <v>2016.165587419056</v>
          </cell>
          <cell r="I87">
            <v>1831.603773584905</v>
          </cell>
        </row>
        <row r="88">
          <cell r="G88">
            <v>6475591</v>
          </cell>
          <cell r="H88">
            <v>13566.618061753379</v>
          </cell>
          <cell r="I88">
            <v>19910.86727508203</v>
          </cell>
        </row>
        <row r="89">
          <cell r="G89">
            <v>2361965</v>
          </cell>
          <cell r="H89">
            <v>8005.6840521156737</v>
          </cell>
          <cell r="I89">
            <v>10441.876290166419</v>
          </cell>
        </row>
        <row r="90">
          <cell r="G90">
            <v>10553392</v>
          </cell>
          <cell r="H90">
            <v>29627.54841354063</v>
          </cell>
          <cell r="I90">
            <v>35008.441261527681</v>
          </cell>
        </row>
        <row r="91">
          <cell r="G91">
            <v>608993</v>
          </cell>
          <cell r="H91">
            <v>2901.6247379454931</v>
          </cell>
          <cell r="I91">
            <v>2257.2064989517821</v>
          </cell>
        </row>
        <row r="92">
          <cell r="G92">
            <v>411005</v>
          </cell>
          <cell r="H92">
            <v>4326.45950441062</v>
          </cell>
          <cell r="I92">
            <v>3402.978078467524</v>
          </cell>
        </row>
        <row r="93">
          <cell r="G93">
            <v>4426683</v>
          </cell>
          <cell r="H93">
            <v>20408.865836791148</v>
          </cell>
          <cell r="I93">
            <v>21580.03432003432</v>
          </cell>
        </row>
        <row r="94">
          <cell r="G94">
            <v>1302505</v>
          </cell>
          <cell r="H94">
            <v>6291.2005641530932</v>
          </cell>
          <cell r="I94">
            <v>5794.6968451434941</v>
          </cell>
        </row>
        <row r="95">
          <cell r="G95">
            <v>4828137</v>
          </cell>
          <cell r="H95">
            <v>19248.028608105629</v>
          </cell>
          <cell r="I95">
            <v>19000.040227501999</v>
          </cell>
        </row>
        <row r="96">
          <cell r="G96">
            <v>415841</v>
          </cell>
          <cell r="H96">
            <v>2535.4612523626611</v>
          </cell>
          <cell r="I96">
            <v>2300.7530574130969</v>
          </cell>
        </row>
        <row r="97">
          <cell r="G97">
            <v>4470793</v>
          </cell>
          <cell r="H97">
            <v>23031.0787141974</v>
          </cell>
          <cell r="I97">
            <v>28446.182488340601</v>
          </cell>
        </row>
        <row r="98">
          <cell r="G98">
            <v>1172533</v>
          </cell>
          <cell r="H98">
            <v>4006.7694557781292</v>
          </cell>
          <cell r="I98">
            <v>3202.1595729764799</v>
          </cell>
        </row>
        <row r="99">
          <cell r="G99">
            <v>18451417</v>
          </cell>
          <cell r="H99">
            <v>84301.162764134773</v>
          </cell>
          <cell r="I99">
            <v>319608.62098241347</v>
          </cell>
        </row>
        <row r="100">
          <cell r="G100">
            <v>748019</v>
          </cell>
          <cell r="H100">
            <v>7479.4420557944213</v>
          </cell>
          <cell r="I100">
            <v>9559.8655095120412</v>
          </cell>
        </row>
        <row r="101">
          <cell r="G101">
            <v>8234381</v>
          </cell>
          <cell r="H101">
            <v>38641.831108191182</v>
          </cell>
          <cell r="I101">
            <v>110005.64920685141</v>
          </cell>
        </row>
        <row r="102">
          <cell r="G102">
            <v>590846</v>
          </cell>
          <cell r="H102">
            <v>3358.262569768895</v>
          </cell>
          <cell r="I102">
            <v>3526.5862452404222</v>
          </cell>
        </row>
        <row r="103">
          <cell r="G103">
            <v>350857</v>
          </cell>
          <cell r="H103">
            <v>1897.7039781485789</v>
          </cell>
          <cell r="I103">
            <v>2676.7251529161758</v>
          </cell>
        </row>
        <row r="104">
          <cell r="G104">
            <v>4768610</v>
          </cell>
          <cell r="H104">
            <v>23052.57713020526</v>
          </cell>
          <cell r="I104">
            <v>33820.859164374371</v>
          </cell>
        </row>
        <row r="105">
          <cell r="G105">
            <v>285131</v>
          </cell>
          <cell r="H105">
            <v>1783.651740920066</v>
          </cell>
          <cell r="I105">
            <v>1816.4351938042221</v>
          </cell>
        </row>
        <row r="106">
          <cell r="G106">
            <v>2294725</v>
          </cell>
          <cell r="H106">
            <v>11149.1837527937</v>
          </cell>
          <cell r="I106">
            <v>9178.567087581876</v>
          </cell>
        </row>
        <row r="107">
          <cell r="G107">
            <v>5840094</v>
          </cell>
          <cell r="H107">
            <v>20562.55281392597</v>
          </cell>
          <cell r="I107">
            <v>46601.390305121968</v>
          </cell>
        </row>
        <row r="108">
          <cell r="G108">
            <v>1108707</v>
          </cell>
          <cell r="H108">
            <v>5157.4484118861992</v>
          </cell>
          <cell r="I108">
            <v>4499.4849109198894</v>
          </cell>
        </row>
        <row r="109">
          <cell r="G109">
            <v>2032749</v>
          </cell>
          <cell r="H109">
            <v>7941.4184585573203</v>
          </cell>
          <cell r="I109">
            <v>6520.6515316789382</v>
          </cell>
        </row>
        <row r="110">
          <cell r="G110">
            <v>2508246</v>
          </cell>
          <cell r="H110">
            <v>11059.28571428571</v>
          </cell>
          <cell r="I110">
            <v>9293.6245519713248</v>
          </cell>
        </row>
        <row r="111">
          <cell r="G111">
            <v>3399721</v>
          </cell>
          <cell r="H111">
            <v>14524.439374714289</v>
          </cell>
          <cell r="I111">
            <v>8359.6719694280673</v>
          </cell>
        </row>
        <row r="112">
          <cell r="G112">
            <v>3364765</v>
          </cell>
          <cell r="H112">
            <v>33675.263716247318</v>
          </cell>
          <cell r="I112">
            <v>48317.300979754931</v>
          </cell>
        </row>
        <row r="113">
          <cell r="G113">
            <v>3725894</v>
          </cell>
          <cell r="H113">
            <v>12056.504743783889</v>
          </cell>
          <cell r="I113">
            <v>13562.579125943181</v>
          </cell>
        </row>
        <row r="114">
          <cell r="G114">
            <v>772501</v>
          </cell>
          <cell r="H114">
            <v>3902.3085471812492</v>
          </cell>
          <cell r="I114">
            <v>4084.0444241792602</v>
          </cell>
        </row>
        <row r="115">
          <cell r="G115">
            <v>2067763</v>
          </cell>
          <cell r="H115">
            <v>21759.055035252029</v>
          </cell>
          <cell r="I115">
            <v>17065.92045725173</v>
          </cell>
        </row>
        <row r="116">
          <cell r="G116">
            <v>5079384</v>
          </cell>
          <cell r="H116">
            <v>26428.696303696299</v>
          </cell>
          <cell r="I116">
            <v>23670.897704528401</v>
          </cell>
        </row>
        <row r="117">
          <cell r="G117">
            <v>505990</v>
          </cell>
          <cell r="H117">
            <v>4873.0666255754368</v>
          </cell>
          <cell r="I117">
            <v>3950.5787373390131</v>
          </cell>
        </row>
        <row r="118">
          <cell r="G118">
            <v>3658462</v>
          </cell>
          <cell r="H118">
            <v>16561.695616548739</v>
          </cell>
          <cell r="I118">
            <v>12078.228395728131</v>
          </cell>
        </row>
        <row r="119">
          <cell r="G119">
            <v>7835779</v>
          </cell>
          <cell r="H119">
            <v>33035.317082219619</v>
          </cell>
          <cell r="I119">
            <v>63000.919773662077</v>
          </cell>
        </row>
        <row r="120">
          <cell r="G120">
            <v>4676262</v>
          </cell>
          <cell r="H120">
            <v>24749.460157506979</v>
          </cell>
          <cell r="I120">
            <v>21439.212983184101</v>
          </cell>
        </row>
        <row r="121">
          <cell r="G121">
            <v>204685</v>
          </cell>
          <cell r="H121">
            <v>1461.41983021441</v>
          </cell>
          <cell r="I121">
            <v>1757.214662817313</v>
          </cell>
        </row>
        <row r="122">
          <cell r="G122">
            <v>578235</v>
          </cell>
          <cell r="H122">
            <v>4249.4782174143102</v>
          </cell>
          <cell r="I122">
            <v>3393.7137653275872</v>
          </cell>
        </row>
        <row r="123">
          <cell r="G123">
            <v>2275368</v>
          </cell>
          <cell r="H123">
            <v>18210.228091236499</v>
          </cell>
          <cell r="I123">
            <v>14201.222606689729</v>
          </cell>
        </row>
        <row r="124">
          <cell r="G124">
            <v>919015</v>
          </cell>
          <cell r="H124">
            <v>2984.8809639806432</v>
          </cell>
          <cell r="I124">
            <v>3060.9780678600559</v>
          </cell>
        </row>
        <row r="125">
          <cell r="G125">
            <v>2260895</v>
          </cell>
          <cell r="H125">
            <v>14304.663625492711</v>
          </cell>
          <cell r="I125">
            <v>11417.04527038732</v>
          </cell>
        </row>
        <row r="126">
          <cell r="G126">
            <v>1627862</v>
          </cell>
          <cell r="H126">
            <v>12251.815725499941</v>
          </cell>
          <cell r="I126">
            <v>8870.1613427071006</v>
          </cell>
        </row>
        <row r="127">
          <cell r="G127">
            <v>1459148</v>
          </cell>
          <cell r="H127">
            <v>6913.7550343520479</v>
          </cell>
          <cell r="I127">
            <v>5780.4713275726626</v>
          </cell>
        </row>
        <row r="128">
          <cell r="G128">
            <v>26400</v>
          </cell>
          <cell r="H128">
            <v>1887.8718535469111</v>
          </cell>
          <cell r="I128">
            <v>1498.313343328336</v>
          </cell>
        </row>
        <row r="129">
          <cell r="G129">
            <v>26240975</v>
          </cell>
          <cell r="H129">
            <v>71055.407077657102</v>
          </cell>
          <cell r="I129">
            <v>207525.7220689414</v>
          </cell>
        </row>
        <row r="130">
          <cell r="G130">
            <v>1851189</v>
          </cell>
          <cell r="H130">
            <v>17454.82575243268</v>
          </cell>
          <cell r="I130">
            <v>16395.392199665279</v>
          </cell>
        </row>
        <row r="131">
          <cell r="G131">
            <v>881724</v>
          </cell>
          <cell r="H131">
            <v>4953.616935212026</v>
          </cell>
          <cell r="I131">
            <v>4879.3950667727568</v>
          </cell>
        </row>
        <row r="132">
          <cell r="G132">
            <v>1527136</v>
          </cell>
          <cell r="H132">
            <v>10676.21171552212</v>
          </cell>
          <cell r="I132">
            <v>8691.5256032337202</v>
          </cell>
        </row>
        <row r="133">
          <cell r="G133">
            <v>1302207</v>
          </cell>
          <cell r="H133">
            <v>4159.8076953792588</v>
          </cell>
          <cell r="I133">
            <v>4829.8342541436459</v>
          </cell>
        </row>
        <row r="134">
          <cell r="G134">
            <v>693243</v>
          </cell>
          <cell r="H134">
            <v>3057.503252695878</v>
          </cell>
          <cell r="I134">
            <v>2598.9263853883672</v>
          </cell>
        </row>
        <row r="135">
          <cell r="G135">
            <v>1441436</v>
          </cell>
          <cell r="H135">
            <v>15029.98832165499</v>
          </cell>
          <cell r="I135">
            <v>11297.050364758699</v>
          </cell>
        </row>
        <row r="136">
          <cell r="G136">
            <v>7011215</v>
          </cell>
          <cell r="H136">
            <v>31844.407301597399</v>
          </cell>
          <cell r="I136">
            <v>52470.616481696728</v>
          </cell>
        </row>
        <row r="137">
          <cell r="G137">
            <v>696508</v>
          </cell>
          <cell r="H137">
            <v>5710.5798242161873</v>
          </cell>
          <cell r="I137">
            <v>5535.4990424693024</v>
          </cell>
        </row>
        <row r="138">
          <cell r="G138">
            <v>2040509</v>
          </cell>
          <cell r="H138">
            <v>7850.4666784650781</v>
          </cell>
          <cell r="I138">
            <v>5527.1864036552352</v>
          </cell>
        </row>
        <row r="139">
          <cell r="G139">
            <v>1023849</v>
          </cell>
          <cell r="H139">
            <v>5509.1554790282207</v>
          </cell>
          <cell r="I139">
            <v>4505.1885676100846</v>
          </cell>
        </row>
        <row r="140">
          <cell r="G140">
            <v>1385448</v>
          </cell>
          <cell r="H140">
            <v>5585.3577907679901</v>
          </cell>
          <cell r="I140">
            <v>4569.6680207311938</v>
          </cell>
        </row>
        <row r="141">
          <cell r="G141">
            <v>238693</v>
          </cell>
          <cell r="H141">
            <v>4598.5627865757324</v>
          </cell>
          <cell r="I141">
            <v>2871.8367757426422</v>
          </cell>
        </row>
        <row r="142">
          <cell r="G142">
            <v>377832</v>
          </cell>
          <cell r="H142">
            <v>2999.3331851522562</v>
          </cell>
          <cell r="I142">
            <v>2005.806798954007</v>
          </cell>
        </row>
        <row r="143">
          <cell r="G143">
            <v>240862</v>
          </cell>
          <cell r="H143">
            <v>2902.1266341345859</v>
          </cell>
          <cell r="I143">
            <v>2286.702030364002</v>
          </cell>
        </row>
        <row r="144">
          <cell r="G144">
            <v>2361342</v>
          </cell>
          <cell r="H144">
            <v>7052.992831541218</v>
          </cell>
          <cell r="I144">
            <v>7300.6695992179848</v>
          </cell>
        </row>
        <row r="145">
          <cell r="G145">
            <v>2465544</v>
          </cell>
          <cell r="H145">
            <v>12573.147845953001</v>
          </cell>
          <cell r="I145">
            <v>13982.37597911227</v>
          </cell>
        </row>
        <row r="146">
          <cell r="G146">
            <v>536976</v>
          </cell>
          <cell r="H146">
            <v>3490.3474903474898</v>
          </cell>
          <cell r="I146">
            <v>2986.4390845098242</v>
          </cell>
        </row>
        <row r="147">
          <cell r="G147">
            <v>2900157</v>
          </cell>
          <cell r="H147">
            <v>9731.3193948118114</v>
          </cell>
          <cell r="I147">
            <v>9840.1363731100992</v>
          </cell>
        </row>
        <row r="148">
          <cell r="G148">
            <v>8813826</v>
          </cell>
          <cell r="H148">
            <v>30625.89388095486</v>
          </cell>
          <cell r="I148">
            <v>41876.883695966309</v>
          </cell>
        </row>
        <row r="149">
          <cell r="G149">
            <v>1664341</v>
          </cell>
          <cell r="H149">
            <v>5301.0905778406304</v>
          </cell>
          <cell r="I149">
            <v>4925.86717978054</v>
          </cell>
        </row>
        <row r="150">
          <cell r="G150">
            <v>1785434</v>
          </cell>
          <cell r="H150">
            <v>8625.7433969921094</v>
          </cell>
          <cell r="I150">
            <v>8988.8863080732717</v>
          </cell>
        </row>
        <row r="151">
          <cell r="G151">
            <v>866789</v>
          </cell>
          <cell r="H151">
            <v>8090.6994978251532</v>
          </cell>
          <cell r="I151">
            <v>4671.5987678736237</v>
          </cell>
        </row>
        <row r="152">
          <cell r="G152">
            <v>4970706</v>
          </cell>
          <cell r="H152">
            <v>30658.011274624689</v>
          </cell>
          <cell r="I152">
            <v>29001.1003141861</v>
          </cell>
        </row>
        <row r="153">
          <cell r="G153">
            <v>1474028</v>
          </cell>
          <cell r="H153">
            <v>5300.0284053114347</v>
          </cell>
          <cell r="I153">
            <v>4836.9711924746643</v>
          </cell>
        </row>
        <row r="154">
          <cell r="G154">
            <v>2145470</v>
          </cell>
          <cell r="H154">
            <v>11163.159756909759</v>
          </cell>
          <cell r="I154">
            <v>11180.264104328249</v>
          </cell>
        </row>
        <row r="155">
          <cell r="G155">
            <v>1182934</v>
          </cell>
          <cell r="H155">
            <v>4769.9913304703723</v>
          </cell>
          <cell r="I155">
            <v>5190.2147729803046</v>
          </cell>
        </row>
        <row r="156">
          <cell r="G156">
            <v>648008</v>
          </cell>
          <cell r="H156">
            <v>4697.2078053872256</v>
          </cell>
          <cell r="I156">
            <v>5362.4913733609383</v>
          </cell>
        </row>
        <row r="157">
          <cell r="G157">
            <v>1308801</v>
          </cell>
          <cell r="H157">
            <v>15029.869085898021</v>
          </cell>
          <cell r="I157">
            <v>11181.97698527887</v>
          </cell>
        </row>
        <row r="158">
          <cell r="G158">
            <v>8853492</v>
          </cell>
          <cell r="H158">
            <v>19238.35723598436</v>
          </cell>
          <cell r="I158">
            <v>29660.009416195859</v>
          </cell>
        </row>
        <row r="159">
          <cell r="G159">
            <v>1233305</v>
          </cell>
          <cell r="H159">
            <v>3762.508084493636</v>
          </cell>
          <cell r="I159">
            <v>4242.8338051606743</v>
          </cell>
        </row>
        <row r="160">
          <cell r="G160">
            <v>2863193</v>
          </cell>
          <cell r="H160">
            <v>11540.851780790999</v>
          </cell>
          <cell r="I160">
            <v>13063.86653205829</v>
          </cell>
        </row>
        <row r="161">
          <cell r="G161">
            <v>2467954</v>
          </cell>
          <cell r="H161">
            <v>12776.800459724889</v>
          </cell>
          <cell r="I161">
            <v>13402.09262268587</v>
          </cell>
        </row>
        <row r="162">
          <cell r="G162">
            <v>1883722</v>
          </cell>
          <cell r="H162">
            <v>14954.922197523019</v>
          </cell>
          <cell r="I162">
            <v>15640.706843142771</v>
          </cell>
        </row>
        <row r="163">
          <cell r="G163">
            <v>1137812</v>
          </cell>
          <cell r="H163">
            <v>13081.60684310975</v>
          </cell>
          <cell r="I163">
            <v>11637.2104282662</v>
          </cell>
        </row>
        <row r="164">
          <cell r="G164">
            <v>1135219</v>
          </cell>
          <cell r="H164">
            <v>7094.5866560007998</v>
          </cell>
          <cell r="I164">
            <v>6995.2654260150348</v>
          </cell>
        </row>
        <row r="165">
          <cell r="G165">
            <v>1166275</v>
          </cell>
          <cell r="H165">
            <v>7146.5556331727876</v>
          </cell>
          <cell r="I165">
            <v>6735.1362967838122</v>
          </cell>
        </row>
        <row r="166">
          <cell r="G166">
            <v>2639169</v>
          </cell>
          <cell r="H166">
            <v>10075.39455299264</v>
          </cell>
          <cell r="I166">
            <v>9323.9790407889959</v>
          </cell>
        </row>
        <row r="167">
          <cell r="G167">
            <v>2523437</v>
          </cell>
          <cell r="H167">
            <v>10424.668682662439</v>
          </cell>
          <cell r="I167">
            <v>10723.77328596121</v>
          </cell>
        </row>
        <row r="168">
          <cell r="G168">
            <v>5796682</v>
          </cell>
          <cell r="H168">
            <v>13682.58531726362</v>
          </cell>
          <cell r="I168">
            <v>22043.111730915021</v>
          </cell>
        </row>
        <row r="169">
          <cell r="G169">
            <v>3480319</v>
          </cell>
          <cell r="H169">
            <v>17417.70637840002</v>
          </cell>
          <cell r="I169">
            <v>16780.338580338579</v>
          </cell>
        </row>
        <row r="170">
          <cell r="G170">
            <v>2309299</v>
          </cell>
          <cell r="H170">
            <v>19894.37274935819</v>
          </cell>
          <cell r="I170">
            <v>15211.858876756431</v>
          </cell>
        </row>
        <row r="171">
          <cell r="G171">
            <v>912615</v>
          </cell>
          <cell r="H171">
            <v>5497.5151350862907</v>
          </cell>
          <cell r="I171">
            <v>6053.4858442448867</v>
          </cell>
        </row>
        <row r="172">
          <cell r="G172">
            <v>574914</v>
          </cell>
          <cell r="H172">
            <v>3658.7032888707872</v>
          </cell>
          <cell r="I172">
            <v>2773.2895087896131</v>
          </cell>
        </row>
        <row r="173">
          <cell r="G173">
            <v>4129020</v>
          </cell>
          <cell r="H173">
            <v>22960.429734418802</v>
          </cell>
          <cell r="I173">
            <v>25458.280852112479</v>
          </cell>
        </row>
        <row r="174">
          <cell r="G174">
            <v>209771</v>
          </cell>
          <cell r="H174">
            <v>2386.5004152493202</v>
          </cell>
          <cell r="I174">
            <v>2888.2025351647681</v>
          </cell>
        </row>
        <row r="175">
          <cell r="G175">
            <v>525613</v>
          </cell>
          <cell r="H175">
            <v>2245.1348072717328</v>
          </cell>
          <cell r="I175">
            <v>2481.8090175953071</v>
          </cell>
        </row>
        <row r="176">
          <cell r="G176">
            <v>5816086</v>
          </cell>
          <cell r="H176">
            <v>27055.589669160061</v>
          </cell>
          <cell r="I176">
            <v>27672.49033640782</v>
          </cell>
        </row>
        <row r="177">
          <cell r="G177">
            <v>7206531</v>
          </cell>
          <cell r="H177">
            <v>29671.15859683794</v>
          </cell>
          <cell r="I177">
            <v>77967.788461538454</v>
          </cell>
        </row>
        <row r="178">
          <cell r="G178">
            <v>764319</v>
          </cell>
          <cell r="H178">
            <v>3399.390677815335</v>
          </cell>
          <cell r="I178">
            <v>2891.0445853359238</v>
          </cell>
        </row>
        <row r="179">
          <cell r="G179">
            <v>1763532</v>
          </cell>
          <cell r="H179">
            <v>5490.7902110965824</v>
          </cell>
          <cell r="I179">
            <v>5584.5975264868521</v>
          </cell>
        </row>
        <row r="180">
          <cell r="G180">
            <v>1018400</v>
          </cell>
          <cell r="H180">
            <v>4451.7299412060411</v>
          </cell>
          <cell r="I180">
            <v>3375.0828099263308</v>
          </cell>
        </row>
        <row r="181">
          <cell r="G181">
            <v>1106015</v>
          </cell>
          <cell r="H181">
            <v>4266.0456684409473</v>
          </cell>
          <cell r="I181">
            <v>4265.11848904199</v>
          </cell>
        </row>
        <row r="182">
          <cell r="G182">
            <v>1490285</v>
          </cell>
          <cell r="H182">
            <v>5726.9314129365484</v>
          </cell>
          <cell r="I182">
            <v>6205.132039013617</v>
          </cell>
        </row>
        <row r="183">
          <cell r="G183">
            <v>472704</v>
          </cell>
          <cell r="H183">
            <v>3525.957751521662</v>
          </cell>
          <cell r="I183">
            <v>3263.743399761539</v>
          </cell>
        </row>
        <row r="184">
          <cell r="G184">
            <v>2062934</v>
          </cell>
          <cell r="H184">
            <v>7725.0715237938321</v>
          </cell>
          <cell r="I184">
            <v>7834.4383636751318</v>
          </cell>
        </row>
        <row r="185">
          <cell r="G185">
            <v>520463</v>
          </cell>
          <cell r="H185">
            <v>3315.5789138397831</v>
          </cell>
          <cell r="I185">
            <v>2813.180778032036</v>
          </cell>
        </row>
        <row r="186">
          <cell r="G186">
            <v>357099</v>
          </cell>
          <cell r="H186">
            <v>3436.5520825313729</v>
          </cell>
          <cell r="I186">
            <v>3195.8525345622111</v>
          </cell>
        </row>
        <row r="187">
          <cell r="G187">
            <v>911443</v>
          </cell>
          <cell r="H187">
            <v>4867.1294689343968</v>
          </cell>
          <cell r="I187">
            <v>4343.653409014486</v>
          </cell>
        </row>
        <row r="188">
          <cell r="G188">
            <v>2593324</v>
          </cell>
          <cell r="H188">
            <v>14242.303087552031</v>
          </cell>
          <cell r="I188">
            <v>12614.02670164634</v>
          </cell>
        </row>
        <row r="189">
          <cell r="G189">
            <v>991156</v>
          </cell>
          <cell r="H189">
            <v>10010.867808661929</v>
          </cell>
          <cell r="I189">
            <v>16752.104143544209</v>
          </cell>
        </row>
        <row r="190">
          <cell r="G190">
            <v>1655607</v>
          </cell>
          <cell r="H190">
            <v>12915.963895368341</v>
          </cell>
          <cell r="I190">
            <v>10366.675656942671</v>
          </cell>
        </row>
        <row r="191">
          <cell r="G191">
            <v>1948886</v>
          </cell>
          <cell r="H191">
            <v>12488.055875945151</v>
          </cell>
          <cell r="I191">
            <v>9110.5055292259076</v>
          </cell>
        </row>
        <row r="192">
          <cell r="G192">
            <v>2973495</v>
          </cell>
          <cell r="H192">
            <v>14493.824211819299</v>
          </cell>
          <cell r="I192">
            <v>12468.442818936959</v>
          </cell>
        </row>
        <row r="193">
          <cell r="G193">
            <v>1421979</v>
          </cell>
          <cell r="H193">
            <v>11755.77876984127</v>
          </cell>
          <cell r="I193">
            <v>12366.15423387097</v>
          </cell>
        </row>
        <row r="194">
          <cell r="G194">
            <v>6948173</v>
          </cell>
          <cell r="H194">
            <v>26726.72336529844</v>
          </cell>
          <cell r="I194">
            <v>33595.924434875073</v>
          </cell>
        </row>
        <row r="195">
          <cell r="G195">
            <v>7596811</v>
          </cell>
          <cell r="H195">
            <v>31269.416786377271</v>
          </cell>
          <cell r="I195">
            <v>68170.068744754695</v>
          </cell>
        </row>
        <row r="196">
          <cell r="G196">
            <v>571727</v>
          </cell>
          <cell r="H196">
            <v>4270.603174603174</v>
          </cell>
          <cell r="I196">
            <v>3116.8971704623868</v>
          </cell>
        </row>
        <row r="197">
          <cell r="G197">
            <v>907829</v>
          </cell>
          <cell r="H197">
            <v>3802.6481133972261</v>
          </cell>
          <cell r="I197">
            <v>3736.888925985802</v>
          </cell>
        </row>
        <row r="198">
          <cell r="G198">
            <v>1088532</v>
          </cell>
          <cell r="H198">
            <v>4460.7579582336157</v>
          </cell>
          <cell r="I198">
            <v>5256.61596623879</v>
          </cell>
        </row>
        <row r="199">
          <cell r="G199">
            <v>1553240</v>
          </cell>
          <cell r="H199">
            <v>4355.0209586294868</v>
          </cell>
          <cell r="I199">
            <v>4620.9482264923408</v>
          </cell>
        </row>
        <row r="200">
          <cell r="G200">
            <v>1995852</v>
          </cell>
          <cell r="H200">
            <v>8602.810344827587</v>
          </cell>
          <cell r="I200">
            <v>7741.4850746268658</v>
          </cell>
        </row>
        <row r="201">
          <cell r="G201">
            <v>965316</v>
          </cell>
          <cell r="H201">
            <v>4709.2260859384141</v>
          </cell>
          <cell r="I201">
            <v>4059.3576056209499</v>
          </cell>
        </row>
        <row r="202">
          <cell r="G202">
            <v>1870845</v>
          </cell>
          <cell r="H202">
            <v>11701.99657230069</v>
          </cell>
          <cell r="I202">
            <v>12016.156435428549</v>
          </cell>
        </row>
        <row r="203">
          <cell r="G203">
            <v>4232894</v>
          </cell>
          <cell r="H203">
            <v>17363.866828563929</v>
          </cell>
          <cell r="I203">
            <v>13266.921665342001</v>
          </cell>
        </row>
        <row r="204">
          <cell r="G204">
            <v>1526011</v>
          </cell>
          <cell r="H204">
            <v>5279.5110778981752</v>
          </cell>
          <cell r="I204">
            <v>5569.7084009804857</v>
          </cell>
        </row>
        <row r="205">
          <cell r="G205">
            <v>895488</v>
          </cell>
          <cell r="H205">
            <v>11492.107492107491</v>
          </cell>
          <cell r="I205">
            <v>8549.8404643831927</v>
          </cell>
        </row>
        <row r="206">
          <cell r="G206">
            <v>1177946</v>
          </cell>
          <cell r="H206">
            <v>4832.4800210046096</v>
          </cell>
          <cell r="I206">
            <v>4232.0790822368108</v>
          </cell>
        </row>
        <row r="207">
          <cell r="G207">
            <v>8943725</v>
          </cell>
          <cell r="H207">
            <v>43170.113045073231</v>
          </cell>
          <cell r="I207">
            <v>68795.893876772971</v>
          </cell>
        </row>
        <row r="208">
          <cell r="G208">
            <v>6564948</v>
          </cell>
          <cell r="H208">
            <v>40542.389210019268</v>
          </cell>
          <cell r="I208">
            <v>32746.131948368031</v>
          </cell>
        </row>
        <row r="209">
          <cell r="G209">
            <v>468270</v>
          </cell>
          <cell r="H209">
            <v>2928.792569659443</v>
          </cell>
          <cell r="I209">
            <v>2128.3469853632341</v>
          </cell>
        </row>
        <row r="210">
          <cell r="G210">
            <v>16362280</v>
          </cell>
          <cell r="H210">
            <v>98095.20383693045</v>
          </cell>
          <cell r="I210">
            <v>235672.4020783373</v>
          </cell>
        </row>
        <row r="211">
          <cell r="G211">
            <v>509827</v>
          </cell>
          <cell r="H211">
            <v>5308.7071514848603</v>
          </cell>
          <cell r="I211">
            <v>4301.1982676584239</v>
          </cell>
        </row>
        <row r="212">
          <cell r="G212">
            <v>1029494</v>
          </cell>
          <cell r="H212">
            <v>10488.986245542539</v>
          </cell>
          <cell r="I212">
            <v>5826.5783664459159</v>
          </cell>
        </row>
        <row r="213">
          <cell r="G213">
            <v>7068833</v>
          </cell>
          <cell r="H213">
            <v>14707.61551649522</v>
          </cell>
          <cell r="I213">
            <v>22969.59586728429</v>
          </cell>
        </row>
        <row r="214">
          <cell r="G214">
            <v>506542</v>
          </cell>
          <cell r="H214">
            <v>3286.885990526247</v>
          </cell>
          <cell r="I214">
            <v>3435.7496162374209</v>
          </cell>
        </row>
        <row r="215">
          <cell r="G215">
            <v>1485651</v>
          </cell>
          <cell r="H215">
            <v>15179.065134099619</v>
          </cell>
          <cell r="I215">
            <v>10596.585440613029</v>
          </cell>
        </row>
        <row r="216">
          <cell r="G216">
            <v>788418</v>
          </cell>
          <cell r="H216">
            <v>7510.173366355496</v>
          </cell>
          <cell r="I216">
            <v>6483.6432962415383</v>
          </cell>
        </row>
        <row r="217">
          <cell r="G217">
            <v>312191</v>
          </cell>
          <cell r="H217">
            <v>2975.5146778497901</v>
          </cell>
          <cell r="I217">
            <v>3409.3470483005372</v>
          </cell>
        </row>
        <row r="218">
          <cell r="G218">
            <v>20067047</v>
          </cell>
          <cell r="H218">
            <v>53799.05361930294</v>
          </cell>
          <cell r="I218">
            <v>140197.36193029489</v>
          </cell>
        </row>
        <row r="219">
          <cell r="G219">
            <v>5223273</v>
          </cell>
          <cell r="H219">
            <v>23981.9696969697</v>
          </cell>
          <cell r="I219">
            <v>19881.37624280481</v>
          </cell>
        </row>
        <row r="220">
          <cell r="G220">
            <v>3143753</v>
          </cell>
          <cell r="H220">
            <v>18580.100472813239</v>
          </cell>
          <cell r="I220">
            <v>16808.327556325821</v>
          </cell>
        </row>
        <row r="221">
          <cell r="G221">
            <v>4176797</v>
          </cell>
          <cell r="H221">
            <v>17206.87566944056</v>
          </cell>
          <cell r="I221">
            <v>17585.333843904471</v>
          </cell>
        </row>
        <row r="222">
          <cell r="G222">
            <v>1193606</v>
          </cell>
          <cell r="H222">
            <v>7652.4978201774647</v>
          </cell>
          <cell r="I222">
            <v>5094.0436705362081</v>
          </cell>
        </row>
        <row r="223">
          <cell r="G223">
            <v>10048402</v>
          </cell>
          <cell r="H223">
            <v>27934.264808904802</v>
          </cell>
          <cell r="I223">
            <v>49355.141901990777</v>
          </cell>
        </row>
        <row r="224">
          <cell r="G224">
            <v>5532886</v>
          </cell>
          <cell r="H224">
            <v>26362.140270630829</v>
          </cell>
          <cell r="I224">
            <v>50805.562315313749</v>
          </cell>
        </row>
        <row r="225">
          <cell r="G225">
            <v>802880</v>
          </cell>
          <cell r="H225">
            <v>6040.6885758998433</v>
          </cell>
          <cell r="I225">
            <v>4326.912053717655</v>
          </cell>
        </row>
        <row r="226">
          <cell r="G226">
            <v>5190745</v>
          </cell>
          <cell r="H226">
            <v>24242.223986549601</v>
          </cell>
          <cell r="I226">
            <v>24472.108773377331</v>
          </cell>
        </row>
        <row r="227">
          <cell r="G227">
            <v>627606</v>
          </cell>
          <cell r="H227">
            <v>3501.9724911419239</v>
          </cell>
          <cell r="I227">
            <v>2940.8919608063238</v>
          </cell>
        </row>
        <row r="228">
          <cell r="G228">
            <v>1108805</v>
          </cell>
          <cell r="H228">
            <v>9238.8868058159405</v>
          </cell>
          <cell r="I228">
            <v>7904.3926455881219</v>
          </cell>
        </row>
        <row r="229">
          <cell r="G229">
            <v>1851959</v>
          </cell>
          <cell r="H229">
            <v>10898.235764894191</v>
          </cell>
          <cell r="I229">
            <v>10310.02630059657</v>
          </cell>
        </row>
        <row r="230">
          <cell r="G230">
            <v>2089359</v>
          </cell>
          <cell r="H230">
            <v>15606.78991596639</v>
          </cell>
          <cell r="I230">
            <v>11236.0082815735</v>
          </cell>
        </row>
        <row r="231">
          <cell r="G231">
            <v>1464382</v>
          </cell>
          <cell r="H231">
            <v>7791.338121840914</v>
          </cell>
          <cell r="I231">
            <v>7918.8769517261126</v>
          </cell>
        </row>
        <row r="232">
          <cell r="G232">
            <v>564709</v>
          </cell>
          <cell r="H232">
            <v>4520.3842305383223</v>
          </cell>
          <cell r="I232">
            <v>4285.1059206952741</v>
          </cell>
        </row>
        <row r="233">
          <cell r="G233">
            <v>740377</v>
          </cell>
          <cell r="H233">
            <v>4155.2194410147049</v>
          </cell>
          <cell r="I233">
            <v>3662.841106570851</v>
          </cell>
        </row>
        <row r="234">
          <cell r="G234">
            <v>800492</v>
          </cell>
          <cell r="H234">
            <v>6016.2037037037026</v>
          </cell>
          <cell r="I234">
            <v>5146.5028741263304</v>
          </cell>
        </row>
        <row r="235">
          <cell r="G235">
            <v>6391386</v>
          </cell>
          <cell r="H235">
            <v>14371.901941472501</v>
          </cell>
          <cell r="I235">
            <v>20439.6501340662</v>
          </cell>
        </row>
        <row r="236">
          <cell r="G236">
            <v>201445</v>
          </cell>
          <cell r="H236">
            <v>2552.7156144663809</v>
          </cell>
          <cell r="I236">
            <v>1716.031678478249</v>
          </cell>
        </row>
        <row r="237">
          <cell r="G237">
            <v>3289304</v>
          </cell>
          <cell r="H237">
            <v>18393.6743686671</v>
          </cell>
          <cell r="I237">
            <v>17739.769178695431</v>
          </cell>
        </row>
        <row r="238">
          <cell r="G238">
            <v>17321777</v>
          </cell>
          <cell r="H238">
            <v>65565.107951792641</v>
          </cell>
          <cell r="I238">
            <v>196594.79841784219</v>
          </cell>
        </row>
        <row r="239">
          <cell r="G239">
            <v>1327926</v>
          </cell>
          <cell r="H239">
            <v>12173.87238723872</v>
          </cell>
          <cell r="I239">
            <v>16484.976323719329</v>
          </cell>
        </row>
        <row r="240">
          <cell r="G240">
            <v>606418</v>
          </cell>
          <cell r="H240">
            <v>4266.94342808894</v>
          </cell>
          <cell r="I240">
            <v>3812.2834698536331</v>
          </cell>
        </row>
        <row r="241">
          <cell r="G241">
            <v>4481859</v>
          </cell>
          <cell r="H241">
            <v>25335.264722840901</v>
          </cell>
          <cell r="I241">
            <v>28109.473459903191</v>
          </cell>
        </row>
        <row r="242">
          <cell r="G242">
            <v>10458827</v>
          </cell>
          <cell r="H242">
            <v>34145.028174439933</v>
          </cell>
          <cell r="I242">
            <v>53833.475564658373</v>
          </cell>
        </row>
        <row r="243">
          <cell r="G243">
            <v>5363350</v>
          </cell>
          <cell r="H243">
            <v>27906.208374958369</v>
          </cell>
          <cell r="I243">
            <v>45255.511326572967</v>
          </cell>
        </row>
        <row r="244">
          <cell r="G244">
            <v>7377831</v>
          </cell>
          <cell r="H244">
            <v>27943.471690395301</v>
          </cell>
          <cell r="I244">
            <v>48064.980054986627</v>
          </cell>
        </row>
        <row r="245">
          <cell r="G245">
            <v>2680568</v>
          </cell>
          <cell r="H245">
            <v>16450.450450450451</v>
          </cell>
          <cell r="I245">
            <v>26078.37708035206</v>
          </cell>
        </row>
        <row r="246">
          <cell r="G246">
            <v>8249409</v>
          </cell>
          <cell r="H246">
            <v>49673.091513421721</v>
          </cell>
          <cell r="I246">
            <v>65463.678014986952</v>
          </cell>
        </row>
        <row r="247">
          <cell r="G247">
            <v>1937783</v>
          </cell>
          <cell r="H247">
            <v>10653.59832866018</v>
          </cell>
          <cell r="I247">
            <v>10003.41280288626</v>
          </cell>
        </row>
        <row r="248">
          <cell r="G248">
            <v>1189480</v>
          </cell>
          <cell r="H248">
            <v>6685.2511718354808</v>
          </cell>
          <cell r="I248">
            <v>5431.9113253440246</v>
          </cell>
        </row>
        <row r="249">
          <cell r="G249">
            <v>12384684</v>
          </cell>
          <cell r="H249">
            <v>26755.076249052148</v>
          </cell>
          <cell r="I249">
            <v>29000.43989344803</v>
          </cell>
        </row>
        <row r="250">
          <cell r="G250">
            <v>2101853</v>
          </cell>
          <cell r="H250">
            <v>13127.966022297869</v>
          </cell>
          <cell r="I250">
            <v>14390.48718540753</v>
          </cell>
        </row>
        <row r="251">
          <cell r="G251">
            <v>1951640</v>
          </cell>
          <cell r="H251">
            <v>11900.96957131532</v>
          </cell>
          <cell r="I251">
            <v>15490.69241832751</v>
          </cell>
        </row>
      </sheetData>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WomensSports_Descriptive_Completed_Turni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WomensSports_Descriptive_Completed_Turnin.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5.664348032406" createdVersion="8" refreshedVersion="8" minRefreshableVersion="3" recordCount="250" xr:uid="{81D4D44C-3DBF-43F2-AC66-3B7CA9DBA4D6}">
  <cacheSource type="worksheet">
    <worksheetSource ref="A1:K251" sheet="Edited Data" r:id="rId2"/>
  </cacheSource>
  <cacheFields count="10">
    <cacheField name="Sector" numFmtId="0">
      <sharedItems count="2">
        <s v="Private"/>
        <s v="Public"/>
      </sharedItems>
    </cacheField>
    <cacheField name="Division" numFmtId="0">
      <sharedItems containsSemiMixedTypes="0" containsString="0" containsNumber="1" containsInteger="1" minValue="1" maxValue="3" count="3">
        <n v="2"/>
        <n v="1"/>
        <n v="3"/>
      </sharedItems>
    </cacheField>
    <cacheField name="Football" numFmtId="0">
      <sharedItems/>
    </cacheField>
    <cacheField name="Athletes" numFmtId="0">
      <sharedItems containsSemiMixedTypes="0" containsString="0" containsNumber="1" containsInteger="1" minValue="46" maxValue="1054"/>
    </cacheField>
    <cacheField name="Female Athlete %" numFmtId="0">
      <sharedItems containsSemiMixedTypes="0" containsString="0" containsNumber="1" minValue="24.6" maxValue="61.7"/>
    </cacheField>
    <cacheField name="Male Spending" numFmtId="0">
      <sharedItems containsSemiMixedTypes="0" containsString="0" containsNumber="1" containsInteger="1" minValue="47970" maxValue="77672346"/>
    </cacheField>
    <cacheField name="Female Spending" numFmtId="0">
      <sharedItems containsSemiMixedTypes="0" containsString="0" containsNumber="1" containsInteger="1" minValue="26400" maxValue="26240975"/>
    </cacheField>
    <cacheField name="$$ Per Female Athlete" numFmtId="0">
      <sharedItems containsSemiMixedTypes="0" containsString="0" containsNumber="1" minValue="1461.4198302144096" maxValue="98095.20383693045"/>
    </cacheField>
    <cacheField name="$$ Per Male Athlete" numFmtId="0">
      <sharedItems containsSemiMixedTypes="0" containsString="0" containsNumber="1" minValue="1498.3133433283358" maxValue="319608.62098241359"/>
    </cacheField>
    <cacheField name="Female spend %" numFmtId="10">
      <sharedItems containsSemiMixedTypes="0" containsString="0" containsNumber="1" minValue="0.18402576098416912" maxValue="0.652469737393189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5.662299537034" createdVersion="8" refreshedVersion="8" minRefreshableVersion="3" recordCount="250" xr:uid="{E1A97495-3441-43BC-A7F4-6EEAB8F062C1}">
  <cacheSource type="worksheet">
    <worksheetSource ref="D1:D251" sheet="Edited Data" r:id="rId2"/>
  </cacheSource>
  <cacheFields count="1">
    <cacheField name="Football"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No"/>
    <n v="299"/>
    <n v="54.2"/>
    <n v="2605707"/>
    <n v="3107620"/>
    <n v="19175.97403398783"/>
    <n v="19027.814695272453"/>
    <n v="0.54392475697610165"/>
  </r>
  <r>
    <x v="0"/>
    <x v="1"/>
    <s v="No"/>
    <n v="320"/>
    <n v="60"/>
    <n v="4510279"/>
    <n v="6116741"/>
    <n v="31858.026041666668"/>
    <n v="35236.5546875"/>
    <n v="0.5755838419425201"/>
  </r>
  <r>
    <x v="1"/>
    <x v="0"/>
    <s v="No"/>
    <n v="201"/>
    <n v="46.3"/>
    <n v="1622132"/>
    <n v="1966910"/>
    <n v="21135.252463385023"/>
    <n v="15028.50737003993"/>
    <n v="0.54803203751864704"/>
  </r>
  <r>
    <x v="1"/>
    <x v="1"/>
    <s v="No"/>
    <n v="731"/>
    <n v="47.5"/>
    <n v="20704285"/>
    <n v="8388776"/>
    <n v="24159.481604147164"/>
    <n v="53949.019607843133"/>
    <n v="0.28834284573905783"/>
  </r>
  <r>
    <x v="1"/>
    <x v="1"/>
    <s v="No"/>
    <n v="611"/>
    <n v="49.8"/>
    <n v="10339277"/>
    <n v="7007632"/>
    <n v="23030.360394113275"/>
    <n v="33708.951428329237"/>
    <n v="0.4039700675203865"/>
  </r>
  <r>
    <x v="0"/>
    <x v="2"/>
    <s v="No"/>
    <n v="186"/>
    <n v="40.299999999999997"/>
    <n v="412244"/>
    <n v="278204"/>
    <n v="3711.4650871154513"/>
    <n v="3712.5051782208529"/>
    <n v="0.40293258869603504"/>
  </r>
  <r>
    <x v="1"/>
    <x v="1"/>
    <s v="No"/>
    <n v="583"/>
    <n v="42"/>
    <n v="12284044"/>
    <n v="5592760"/>
    <n v="22840.643633096464"/>
    <n v="36328.27822795292"/>
    <n v="0.31285010452651379"/>
  </r>
  <r>
    <x v="0"/>
    <x v="2"/>
    <s v="No"/>
    <n v="608"/>
    <n v="32.1"/>
    <n v="2023007"/>
    <n v="937780"/>
    <n v="4804.9885227086406"/>
    <n v="4900.3153825284853"/>
    <n v="0.31673335501675737"/>
  </r>
  <r>
    <x v="0"/>
    <x v="0"/>
    <s v="No"/>
    <n v="730"/>
    <n v="34.5"/>
    <n v="4552845"/>
    <n v="2454908"/>
    <n v="9747.5004963271786"/>
    <n v="9521.792324584334"/>
    <n v="0.35031314602555197"/>
  </r>
  <r>
    <x v="1"/>
    <x v="1"/>
    <s v="No"/>
    <n v="363"/>
    <n v="35.299999999999997"/>
    <n v="5044317"/>
    <n v="2409740"/>
    <n v="18805.67196559986"/>
    <n v="21477.882662511016"/>
    <n v="0.32327898753658579"/>
  </r>
  <r>
    <x v="0"/>
    <x v="2"/>
    <s v="No"/>
    <n v="213"/>
    <n v="54.9"/>
    <n v="226616"/>
    <n v="289823"/>
    <n v="2478.4542103867893"/>
    <n v="2359.0352164725232"/>
    <n v="0.56119502980990976"/>
  </r>
  <r>
    <x v="1"/>
    <x v="1"/>
    <s v="No"/>
    <n v="579"/>
    <n v="43.5"/>
    <n v="7762279"/>
    <n v="4542322"/>
    <n v="18034.748774144879"/>
    <n v="23728.060280923775"/>
    <n v="0.36915638304728449"/>
  </r>
  <r>
    <x v="0"/>
    <x v="2"/>
    <s v="No"/>
    <n v="194"/>
    <n v="45.9"/>
    <n v="229330"/>
    <n v="247593"/>
    <n v="2780.5067043999729"/>
    <n v="2185.0524991901211"/>
    <n v="0.51914669663656399"/>
  </r>
  <r>
    <x v="1"/>
    <x v="1"/>
    <s v="No"/>
    <n v="414"/>
    <n v="45.9"/>
    <n v="5557769"/>
    <n v="5446927"/>
    <n v="28664.114384347402"/>
    <n v="24814.34898693598"/>
    <n v="0.49496387723931673"/>
  </r>
  <r>
    <x v="0"/>
    <x v="2"/>
    <s v="No"/>
    <n v="206"/>
    <n v="56.3"/>
    <n v="187335"/>
    <n v="184996"/>
    <n v="1595.0956215834037"/>
    <n v="2080.9913132345428"/>
    <n v="0.49685897763011944"/>
  </r>
  <r>
    <x v="0"/>
    <x v="2"/>
    <s v="No"/>
    <n v="649"/>
    <n v="37.799999999999997"/>
    <n v="1597215"/>
    <n v="1165567"/>
    <n v="4751.1719291380305"/>
    <n v="3956.6560476419327"/>
    <n v="0.42188163959371389"/>
  </r>
  <r>
    <x v="0"/>
    <x v="2"/>
    <s v="No"/>
    <n v="237"/>
    <n v="44.7"/>
    <n v="590726"/>
    <n v="550975"/>
    <n v="5200.8703121607705"/>
    <n v="4507.2599781781009"/>
    <n v="0.48259132645062058"/>
  </r>
  <r>
    <x v="0"/>
    <x v="2"/>
    <s v="No"/>
    <n v="520"/>
    <n v="31.2"/>
    <n v="1401524"/>
    <n v="847541"/>
    <n v="5223.9953155818539"/>
    <n v="3917.497763864043"/>
    <n v="0.37684148746256779"/>
  </r>
  <r>
    <x v="0"/>
    <x v="2"/>
    <s v="No"/>
    <n v="749"/>
    <n v="43.4"/>
    <n v="2457014"/>
    <n v="1923854"/>
    <n v="5918.3488891486659"/>
    <n v="5795.7465077111056"/>
    <n v="0.4391490453490039"/>
  </r>
  <r>
    <x v="0"/>
    <x v="2"/>
    <s v="No"/>
    <n v="224"/>
    <n v="53.1"/>
    <n v="300766"/>
    <n v="273802"/>
    <n v="2301.9404089319341"/>
    <n v="2862.9112092598234"/>
    <n v="0.47653541443310454"/>
  </r>
  <r>
    <x v="1"/>
    <x v="2"/>
    <s v="No"/>
    <n v="560"/>
    <n v="40.700000000000003"/>
    <n v="1358095"/>
    <n v="1092151"/>
    <n v="4791.8173043173038"/>
    <n v="4089.6621296073235"/>
    <n v="0.4457311633199279"/>
  </r>
  <r>
    <x v="1"/>
    <x v="0"/>
    <s v="No"/>
    <n v="594"/>
    <n v="40.200000000000003"/>
    <n v="2997529"/>
    <n v="3311183"/>
    <n v="13866.622275826256"/>
    <n v="8438.7042104433403"/>
    <n v="0.52485879843619432"/>
  </r>
  <r>
    <x v="1"/>
    <x v="1"/>
    <s v="No"/>
    <n v="898"/>
    <n v="46"/>
    <n v="52363345"/>
    <n v="19634482"/>
    <n v="47531.911494141568"/>
    <n v="107983.47150045368"/>
    <n v="0.27270936940916285"/>
  </r>
  <r>
    <x v="0"/>
    <x v="2"/>
    <s v="No"/>
    <n v="755"/>
    <n v="39.200000000000003"/>
    <n v="2523241"/>
    <n v="1566055"/>
    <n v="5291.4414110014859"/>
    <n v="5496.778058556989"/>
    <n v="0.38296445158286413"/>
  </r>
  <r>
    <x v="0"/>
    <x v="2"/>
    <s v="No"/>
    <n v="354"/>
    <n v="50.3"/>
    <n v="551440"/>
    <n v="637305"/>
    <n v="3579.1185092832829"/>
    <n v="3134.2859416385313"/>
    <n v="0.53611581962489852"/>
  </r>
  <r>
    <x v="1"/>
    <x v="0"/>
    <s v="No"/>
    <n v="330"/>
    <n v="33"/>
    <n v="1688614"/>
    <n v="970430"/>
    <n v="8911.2029384756661"/>
    <n v="7637.331524197195"/>
    <n v="0.36495447235923889"/>
  </r>
  <r>
    <x v="1"/>
    <x v="1"/>
    <s v="No"/>
    <n v="482"/>
    <n v="46.9"/>
    <n v="9262297"/>
    <n v="5091409"/>
    <n v="22522.578276371551"/>
    <n v="36189.046737151388"/>
    <n v="0.35471041416063559"/>
  </r>
  <r>
    <x v="0"/>
    <x v="0"/>
    <s v="No"/>
    <n v="496"/>
    <n v="44.4"/>
    <n v="2582853"/>
    <n v="2530379"/>
    <n v="11490.023793955246"/>
    <n v="9365.7642434439549"/>
    <n v="0.49486880313664627"/>
  </r>
  <r>
    <x v="0"/>
    <x v="0"/>
    <s v="No"/>
    <n v="276"/>
    <n v="50"/>
    <n v="2423948"/>
    <n v="3551185"/>
    <n v="25733.22463768116"/>
    <n v="17564.840579710144"/>
    <n v="0.59432735639524681"/>
  </r>
  <r>
    <x v="0"/>
    <x v="1"/>
    <s v="No"/>
    <n v="475"/>
    <n v="52.2"/>
    <n v="11678289"/>
    <n v="8089376"/>
    <n v="32625.029239766081"/>
    <n v="51434.877780224626"/>
    <n v="0.40922263706917333"/>
  </r>
  <r>
    <x v="1"/>
    <x v="2"/>
    <s v="No"/>
    <n v="381"/>
    <n v="50.7"/>
    <n v="739104"/>
    <n v="842074"/>
    <n v="4359.3056785061626"/>
    <n v="3934.8996182779383"/>
    <n v="0.53256116642149076"/>
  </r>
  <r>
    <x v="1"/>
    <x v="0"/>
    <s v="No"/>
    <n v="341"/>
    <n v="59.2"/>
    <n v="1980150"/>
    <n v="2436504"/>
    <n v="12069.549021161924"/>
    <n v="14232.577195100916"/>
    <n v="0.55166286514633023"/>
  </r>
  <r>
    <x v="0"/>
    <x v="1"/>
    <s v="No"/>
    <n v="479"/>
    <n v="52"/>
    <n v="6951236"/>
    <n v="6943478"/>
    <n v="27876.49751083989"/>
    <n v="30233.281141266529"/>
    <n v="0.4997208290865145"/>
  </r>
  <r>
    <x v="1"/>
    <x v="1"/>
    <s v="No"/>
    <n v="415"/>
    <n v="47"/>
    <n v="32581925"/>
    <n v="10570904"/>
    <n v="54195.867726224045"/>
    <n v="148133.32575585358"/>
    <n v="0.24496433362456954"/>
  </r>
  <r>
    <x v="1"/>
    <x v="0"/>
    <s v="No"/>
    <n v="472"/>
    <n v="33.299999999999997"/>
    <n v="2964272"/>
    <n v="1320951"/>
    <n v="8404.2792792792807"/>
    <n v="9415.6481081493148"/>
    <n v="0.3082572365545504"/>
  </r>
  <r>
    <x v="0"/>
    <x v="2"/>
    <s v="No"/>
    <n v="386"/>
    <n v="37.6"/>
    <n v="769623"/>
    <n v="521669"/>
    <n v="3594.345992724066"/>
    <n v="3195.2595655639698"/>
    <n v="0.40398995734504667"/>
  </r>
  <r>
    <x v="1"/>
    <x v="1"/>
    <s v="No"/>
    <n v="416"/>
    <n v="38.9"/>
    <n v="5736344"/>
    <n v="3050309"/>
    <n v="18849.546420802846"/>
    <n v="22568.393554072769"/>
    <n v="0.34715255057870159"/>
  </r>
  <r>
    <x v="1"/>
    <x v="1"/>
    <s v="No"/>
    <n v="452"/>
    <n v="41.6"/>
    <n v="7692549"/>
    <n v="5072826"/>
    <n v="26978.52493192648"/>
    <n v="29141.975542490003"/>
    <n v="0.39738950089597835"/>
  </r>
  <r>
    <x v="1"/>
    <x v="1"/>
    <s v="No"/>
    <n v="525"/>
    <n v="47"/>
    <n v="18856552"/>
    <n v="6938071"/>
    <n v="28117.815602836876"/>
    <n v="67768.380952380947"/>
    <n v="0.26897353762448861"/>
  </r>
  <r>
    <x v="0"/>
    <x v="2"/>
    <s v="No"/>
    <n v="259"/>
    <n v="43.2"/>
    <n v="752276"/>
    <n v="671456"/>
    <n v="6001.144001144"/>
    <n v="5113.6277122192614"/>
    <n v="0.4716168492384803"/>
  </r>
  <r>
    <x v="1"/>
    <x v="1"/>
    <s v="No"/>
    <n v="752"/>
    <n v="45.6"/>
    <n v="51470443"/>
    <n v="21291413"/>
    <n v="62090.020180104511"/>
    <n v="125817.53314690237"/>
    <n v="0.29261778314176046"/>
  </r>
  <r>
    <x v="0"/>
    <x v="2"/>
    <s v="No"/>
    <n v="457"/>
    <n v="43.8"/>
    <n v="923436"/>
    <n v="984764"/>
    <n v="4919.7366186065565"/>
    <n v="3595.4585452081888"/>
    <n v="0.51606959438214028"/>
  </r>
  <r>
    <x v="0"/>
    <x v="0"/>
    <s v="No"/>
    <n v="554"/>
    <n v="28.2"/>
    <n v="4741086"/>
    <n v="2177148"/>
    <n v="13935.709347876184"/>
    <n v="11919.104411572458"/>
    <n v="0.31469707442679734"/>
  </r>
  <r>
    <x v="0"/>
    <x v="0"/>
    <s v="No"/>
    <n v="272"/>
    <n v="45.2"/>
    <n v="1899895"/>
    <n v="2286214"/>
    <n v="18595.571967725144"/>
    <n v="12746.182642765136"/>
    <n v="0.54614296952133834"/>
  </r>
  <r>
    <x v="0"/>
    <x v="2"/>
    <s v="No"/>
    <n v="337"/>
    <n v="48.4"/>
    <n v="283703"/>
    <n v="330547"/>
    <n v="2026.5529587757803"/>
    <n v="1631.4896602488902"/>
    <n v="0.53813105413105411"/>
  </r>
  <r>
    <x v="1"/>
    <x v="0"/>
    <s v="No"/>
    <n v="203"/>
    <n v="49.3"/>
    <n v="1694128"/>
    <n v="1724655"/>
    <n v="17232.935980575348"/>
    <n v="16460.46968062883"/>
    <n v="0.50446460041482599"/>
  </r>
  <r>
    <x v="0"/>
    <x v="0"/>
    <s v="No"/>
    <n v="215"/>
    <n v="53"/>
    <n v="1930993"/>
    <n v="2711912"/>
    <n v="23799.139973672663"/>
    <n v="19109.282533399306"/>
    <n v="0.58409810237340631"/>
  </r>
  <r>
    <x v="0"/>
    <x v="0"/>
    <s v="No"/>
    <n v="421"/>
    <n v="45.8"/>
    <n v="2012800"/>
    <n v="2139086"/>
    <n v="11093.808669315107"/>
    <n v="8821.0288278654753"/>
    <n v="0.51520826920585006"/>
  </r>
  <r>
    <x v="1"/>
    <x v="2"/>
    <s v="No"/>
    <n v="795"/>
    <n v="39.9"/>
    <n v="2089922"/>
    <n v="1420812"/>
    <n v="4479.1601645623487"/>
    <n v="4374.0976778744025"/>
    <n v="0.40470511294789069"/>
  </r>
  <r>
    <x v="0"/>
    <x v="2"/>
    <s v="No"/>
    <n v="501"/>
    <n v="47.5"/>
    <n v="672427"/>
    <n v="663340"/>
    <n v="2787.4356550057778"/>
    <n v="2556.5136393878906"/>
    <n v="0.49659858343558422"/>
  </r>
  <r>
    <x v="1"/>
    <x v="1"/>
    <s v="No"/>
    <n v="720"/>
    <n v="48.8"/>
    <n v="59927324"/>
    <n v="20703856"/>
    <n v="58924.908925318756"/>
    <n v="162563.27039930556"/>
    <n v="0.25677233050539505"/>
  </r>
  <r>
    <x v="1"/>
    <x v="1"/>
    <s v="No"/>
    <n v="321"/>
    <n v="53.9"/>
    <n v="4124893"/>
    <n v="4417655"/>
    <n v="25532.773857206434"/>
    <n v="27874.477128820592"/>
    <n v="0.51713551975359107"/>
  </r>
  <r>
    <x v="0"/>
    <x v="1"/>
    <s v="No"/>
    <n v="464"/>
    <n v="46.1"/>
    <n v="6099769"/>
    <n v="6287045"/>
    <n v="29391.900104719876"/>
    <n v="24389.710351225131"/>
    <n v="0.50755949027732228"/>
  </r>
  <r>
    <x v="1"/>
    <x v="0"/>
    <s v="No"/>
    <n v="292"/>
    <n v="46.2"/>
    <n v="576267"/>
    <n v="540598"/>
    <n v="4007.2792504299355"/>
    <n v="3668.2474410551508"/>
    <n v="0.48403164214117195"/>
  </r>
  <r>
    <x v="1"/>
    <x v="1"/>
    <s v="No"/>
    <n v="608"/>
    <n v="43.3"/>
    <n v="39004209"/>
    <n v="13730849"/>
    <n v="52156.19682144159"/>
    <n v="113142.25668337509"/>
    <n v="0.26037420874743328"/>
  </r>
  <r>
    <x v="1"/>
    <x v="1"/>
    <s v="No"/>
    <n v="606"/>
    <n v="50.2"/>
    <n v="39979555"/>
    <n v="11734004"/>
    <n v="38571.79861412436"/>
    <n v="132475.62858695508"/>
    <n v="0.22690381839702814"/>
  </r>
  <r>
    <x v="0"/>
    <x v="0"/>
    <s v="No"/>
    <n v="454"/>
    <n v="42.1"/>
    <n v="3424649"/>
    <n v="3124858"/>
    <n v="16349.043079724172"/>
    <n v="13028.116987362384"/>
    <n v="0.47711346823509004"/>
  </r>
  <r>
    <x v="1"/>
    <x v="0"/>
    <s v="No"/>
    <n v="240"/>
    <n v="57.1"/>
    <n v="1918397"/>
    <n v="1940018"/>
    <n v="14156.582019848218"/>
    <n v="18632.449494949495"/>
    <n v="0.502801798147685"/>
  </r>
  <r>
    <x v="0"/>
    <x v="0"/>
    <s v="No"/>
    <n v="559"/>
    <n v="36.5"/>
    <n v="3533082"/>
    <n v="2206335"/>
    <n v="10813.512387580562"/>
    <n v="9953.3249757018293"/>
    <n v="0.38441796440300469"/>
  </r>
  <r>
    <x v="1"/>
    <x v="1"/>
    <s v="No"/>
    <n v="480"/>
    <n v="50"/>
    <n v="7341072"/>
    <n v="4541212"/>
    <n v="18921.716666666667"/>
    <n v="30587.8"/>
    <n v="0.38218342534145794"/>
  </r>
  <r>
    <x v="1"/>
    <x v="0"/>
    <s v="No"/>
    <n v="128"/>
    <n v="46.9"/>
    <n v="1680994"/>
    <n v="1615006"/>
    <n v="26902.418710021324"/>
    <n v="24732.138653483991"/>
    <n v="0.48998968446601943"/>
  </r>
  <r>
    <x v="1"/>
    <x v="0"/>
    <s v="No"/>
    <n v="194"/>
    <n v="47.9"/>
    <n v="1120714"/>
    <n v="879353"/>
    <n v="9462.9382519424053"/>
    <n v="11088.054296851811"/>
    <n v="0.43966177133066042"/>
  </r>
  <r>
    <x v="0"/>
    <x v="1"/>
    <s v="No"/>
    <n v="796"/>
    <n v="42.1"/>
    <n v="77672346"/>
    <n v="23955245"/>
    <n v="71483.441554566176"/>
    <n v="168529.05720311403"/>
    <n v="0.23571595827751146"/>
  </r>
  <r>
    <x v="0"/>
    <x v="2"/>
    <s v="No"/>
    <n v="371"/>
    <n v="32.1"/>
    <n v="1222790"/>
    <n v="626527"/>
    <n v="5260.9097244963932"/>
    <n v="4854.0941371685803"/>
    <n v="0.33878832022849514"/>
  </r>
  <r>
    <x v="0"/>
    <x v="2"/>
    <s v="No"/>
    <n v="596"/>
    <n v="38.4"/>
    <n v="1859777"/>
    <n v="1169612"/>
    <n v="5110.5110458612971"/>
    <n v="5065.6350780092398"/>
    <n v="0.38608841584887249"/>
  </r>
  <r>
    <x v="1"/>
    <x v="0"/>
    <s v="No"/>
    <n v="314"/>
    <n v="43.3"/>
    <n v="2083113"/>
    <n v="1588939"/>
    <n v="11686.640384813405"/>
    <n v="11700.384187645333"/>
    <n v="0.43271146487032319"/>
  </r>
  <r>
    <x v="0"/>
    <x v="1"/>
    <s v="No"/>
    <n v="427"/>
    <n v="51.5"/>
    <n v="5437652"/>
    <n v="4979384"/>
    <n v="22643.341442895795"/>
    <n v="26256.800019314807"/>
    <n v="0.4780039158931581"/>
  </r>
  <r>
    <x v="0"/>
    <x v="2"/>
    <s v="No"/>
    <n v="460"/>
    <n v="38.299999999999997"/>
    <n v="1303314"/>
    <n v="784704"/>
    <n v="4453.9902372573506"/>
    <n v="4592.0442534000422"/>
    <n v="0.37581285218805582"/>
  </r>
  <r>
    <x v="0"/>
    <x v="1"/>
    <s v="No"/>
    <n v="402"/>
    <n v="49"/>
    <n v="8885420"/>
    <n v="8159067"/>
    <n v="41420.788912579963"/>
    <n v="43339.283972295387"/>
    <n v="0.47869243585917254"/>
  </r>
  <r>
    <x v="1"/>
    <x v="2"/>
    <s v="No"/>
    <n v="113"/>
    <n v="46.9"/>
    <n v="150428"/>
    <n v="153117"/>
    <n v="2889.1635375587298"/>
    <n v="2507.0079829341867"/>
    <n v="0.50442932678844987"/>
  </r>
  <r>
    <x v="1"/>
    <x v="0"/>
    <s v="No"/>
    <n v="398"/>
    <n v="34.700000000000003"/>
    <n v="2365708"/>
    <n v="1645189"/>
    <n v="11912.509232039156"/>
    <n v="9102.5879781757176"/>
    <n v="0.41017981763181655"/>
  </r>
  <r>
    <x v="1"/>
    <x v="2"/>
    <s v="No"/>
    <n v="737"/>
    <n v="48.7"/>
    <n v="1566494"/>
    <n v="1257909"/>
    <n v="3504.7155486335355"/>
    <n v="4143.2761762691061"/>
    <n v="0.44537164136987534"/>
  </r>
  <r>
    <x v="0"/>
    <x v="2"/>
    <s v="No"/>
    <n v="796"/>
    <n v="45.6"/>
    <n v="2365942"/>
    <n v="1903019"/>
    <n v="5242.8232169620032"/>
    <n v="5463.7664425066505"/>
    <n v="0.44578036669812632"/>
  </r>
  <r>
    <x v="1"/>
    <x v="1"/>
    <s v="No"/>
    <n v="377"/>
    <n v="43"/>
    <n v="14092782"/>
    <n v="7071895"/>
    <n v="43624.051569921663"/>
    <n v="65581.376518218618"/>
    <n v="0.33413668443888844"/>
  </r>
  <r>
    <x v="1"/>
    <x v="1"/>
    <s v="No"/>
    <n v="481"/>
    <n v="39.5"/>
    <n v="20536779"/>
    <n v="8273103"/>
    <n v="43543.793257717305"/>
    <n v="70571.911135547503"/>
    <n v="0.28716198837607182"/>
  </r>
  <r>
    <x v="0"/>
    <x v="2"/>
    <s v="No"/>
    <n v="811"/>
    <n v="35.5"/>
    <n v="1999923"/>
    <n v="1033972"/>
    <n v="3591.365207273233"/>
    <n v="3823.2500788575685"/>
    <n v="0.34080678467778219"/>
  </r>
  <r>
    <x v="0"/>
    <x v="2"/>
    <s v="No"/>
    <n v="298"/>
    <n v="55.4"/>
    <n v="335244"/>
    <n v="383993"/>
    <n v="2325.9334189421652"/>
    <n v="2522.376380654287"/>
    <n v="0.53388938555719467"/>
  </r>
  <r>
    <x v="0"/>
    <x v="2"/>
    <s v="No"/>
    <n v="386"/>
    <n v="48.4"/>
    <n v="465977"/>
    <n v="362098"/>
    <n v="1938.1771078662273"/>
    <n v="2339.5238382134394"/>
    <n v="0.43727681671346197"/>
  </r>
  <r>
    <x v="1"/>
    <x v="0"/>
    <s v="No"/>
    <n v="358"/>
    <n v="26.3"/>
    <n v="2632753"/>
    <n v="916428"/>
    <n v="9733.2880175032387"/>
    <n v="9978.3699582332119"/>
    <n v="0.25820830214069107"/>
  </r>
  <r>
    <x v="0"/>
    <x v="1"/>
    <s v="No"/>
    <n v="447"/>
    <n v="45"/>
    <n v="7526597"/>
    <n v="6732178"/>
    <n v="33468.446433010191"/>
    <n v="30614.59019727476"/>
    <n v="0.47214280329130659"/>
  </r>
  <r>
    <x v="0"/>
    <x v="0"/>
    <s v="No"/>
    <n v="499"/>
    <n v="51.1"/>
    <n v="3833946"/>
    <n v="4002198"/>
    <n v="15695.571181501948"/>
    <n v="15712.185106409137"/>
    <n v="0.51073563732366323"/>
  </r>
  <r>
    <x v="0"/>
    <x v="2"/>
    <s v="No"/>
    <n v="474"/>
    <n v="39.200000000000003"/>
    <n v="1695588"/>
    <n v="988233"/>
    <n v="5318.5707827434762"/>
    <n v="5883.535976015989"/>
    <n v="0.36821867032115779"/>
  </r>
  <r>
    <x v="0"/>
    <x v="1"/>
    <s v="No"/>
    <n v="549"/>
    <n v="37.200000000000003"/>
    <n v="7584242"/>
    <n v="4749130"/>
    <n v="23254.059188749823"/>
    <n v="21997.847853073916"/>
    <n v="0.3850633873688396"/>
  </r>
  <r>
    <x v="0"/>
    <x v="1"/>
    <s v="No"/>
    <n v="571"/>
    <n v="48.5"/>
    <n v="10431410"/>
    <n v="7614284"/>
    <n v="27494.841749869101"/>
    <n v="35473.143692720994"/>
    <n v="0.42194464784784669"/>
  </r>
  <r>
    <x v="0"/>
    <x v="0"/>
    <s v="No"/>
    <n v="320"/>
    <n v="46.3"/>
    <n v="1545699"/>
    <n v="1549418"/>
    <n v="10457.734881209504"/>
    <n v="8994.9895251396647"/>
    <n v="0.50060078504302097"/>
  </r>
  <r>
    <x v="0"/>
    <x v="2"/>
    <s v="No"/>
    <n v="368"/>
    <n v="47"/>
    <n v="357236"/>
    <n v="348716"/>
    <n v="2016.1655874190562"/>
    <n v="1831.6037735849054"/>
    <n v="0.49396559539458773"/>
  </r>
  <r>
    <x v="0"/>
    <x v="1"/>
    <s v="No"/>
    <n v="1007"/>
    <n v="47.4"/>
    <n v="10546428"/>
    <n v="6475591"/>
    <n v="13566.618061753381"/>
    <n v="19910.86727508203"/>
    <n v="0.3804243785651984"/>
  </r>
  <r>
    <x v="1"/>
    <x v="0"/>
    <s v="No"/>
    <n v="514"/>
    <n v="57.4"/>
    <n v="2286395"/>
    <n v="2361965"/>
    <n v="8005.6840521156737"/>
    <n v="10441.876290166419"/>
    <n v="0.50812867333855383"/>
  </r>
  <r>
    <x v="1"/>
    <x v="1"/>
    <s v="No"/>
    <n v="693"/>
    <n v="51.4"/>
    <n v="11790773"/>
    <n v="10553392"/>
    <n v="29627.548413540633"/>
    <n v="35008.441261527681"/>
    <n v="0.47231086952678697"/>
  </r>
  <r>
    <x v="1"/>
    <x v="2"/>
    <s v="No"/>
    <n v="477"/>
    <n v="44"/>
    <n v="602945"/>
    <n v="608993"/>
    <n v="2901.6247379454926"/>
    <n v="2257.2064989517821"/>
    <n v="0.50249517714602565"/>
  </r>
  <r>
    <x v="0"/>
    <x v="2"/>
    <s v="No"/>
    <n v="223"/>
    <n v="42.6"/>
    <n v="435588"/>
    <n v="411005"/>
    <n v="4326.459504410619"/>
    <n v="3402.9780784675245"/>
    <n v="0.48548121706652431"/>
  </r>
  <r>
    <x v="1"/>
    <x v="1"/>
    <s v="No"/>
    <n v="450"/>
    <n v="48.2"/>
    <n v="5030306"/>
    <n v="4426683"/>
    <n v="20408.865836791148"/>
    <n v="21580.03432003432"/>
    <n v="0.46808587807387741"/>
  </r>
  <r>
    <x v="1"/>
    <x v="2"/>
    <s v="No"/>
    <n v="426"/>
    <n v="48.6"/>
    <n v="1268830"/>
    <n v="1302505"/>
    <n v="6291.2005641530932"/>
    <n v="5794.6968451434941"/>
    <n v="0.50654815494674943"/>
  </r>
  <r>
    <x v="0"/>
    <x v="1"/>
    <s v="No"/>
    <n v="574"/>
    <n v="43.7"/>
    <n v="6140091"/>
    <n v="4828137"/>
    <n v="19248.028608105629"/>
    <n v="19000.040227501999"/>
    <n v="0.44019298285921848"/>
  </r>
  <r>
    <x v="1"/>
    <x v="2"/>
    <s v="No"/>
    <n v="330"/>
    <n v="49.7"/>
    <n v="381902"/>
    <n v="415841"/>
    <n v="2535.4612523626606"/>
    <n v="2300.7530574130969"/>
    <n v="0.52127188831490845"/>
  </r>
  <r>
    <x v="1"/>
    <x v="1"/>
    <s v="No"/>
    <n v="460"/>
    <n v="42.2"/>
    <n v="7563271"/>
    <n v="4470793"/>
    <n v="23031.0787141974"/>
    <n v="28446.182488340604"/>
    <n v="0.37151148606156659"/>
  </r>
  <r>
    <x v="0"/>
    <x v="2"/>
    <s v="No"/>
    <n v="906"/>
    <n v="32.299999999999997"/>
    <n v="1964083"/>
    <n v="1172533"/>
    <n v="4006.7694557781288"/>
    <n v="3202.1595729764799"/>
    <n v="0.37382102240121201"/>
  </r>
  <r>
    <x v="0"/>
    <x v="1"/>
    <s v="No"/>
    <n v="425"/>
    <n v="51.5"/>
    <n v="65879327"/>
    <n v="18451417"/>
    <n v="84301.162764134773"/>
    <n v="319608.62098241359"/>
    <n v="0.2187982238126584"/>
  </r>
  <r>
    <x v="0"/>
    <x v="0"/>
    <s v="No"/>
    <n v="274"/>
    <n v="36.5"/>
    <n v="1663321"/>
    <n v="748019"/>
    <n v="7479.4420557944213"/>
    <n v="9559.8655095120412"/>
    <n v="0.3102088465334627"/>
  </r>
  <r>
    <x v="1"/>
    <x v="1"/>
    <s v="No"/>
    <n v="545"/>
    <n v="39.1"/>
    <n v="36511425"/>
    <n v="8234381"/>
    <n v="38641.831108191182"/>
    <n v="110005.64920685136"/>
    <n v="0.18402576098416912"/>
  </r>
  <r>
    <x v="0"/>
    <x v="2"/>
    <s v="No"/>
    <n v="354"/>
    <n v="49.7"/>
    <n v="627951"/>
    <n v="590846"/>
    <n v="3358.2625697688954"/>
    <n v="3526.5862452404217"/>
    <n v="0.48477802291932126"/>
  </r>
  <r>
    <x v="0"/>
    <x v="2"/>
    <s v="No"/>
    <n v="359"/>
    <n v="51.5"/>
    <n v="466058"/>
    <n v="350857"/>
    <n v="1897.7039781485789"/>
    <n v="2676.7251529161758"/>
    <n v="0.42949021624036771"/>
  </r>
  <r>
    <x v="1"/>
    <x v="1"/>
    <s v="No"/>
    <n v="353"/>
    <n v="58.6"/>
    <n v="4942648"/>
    <n v="4768610"/>
    <n v="23052.577130205256"/>
    <n v="33820.859164374378"/>
    <n v="0.49103936894684497"/>
  </r>
  <r>
    <x v="0"/>
    <x v="2"/>
    <s v="No"/>
    <n v="321"/>
    <n v="49.8"/>
    <n v="292704"/>
    <n v="285131"/>
    <n v="1783.6517409200665"/>
    <n v="1816.4351938042223"/>
    <n v="0.49344709129768877"/>
  </r>
  <r>
    <x v="0"/>
    <x v="0"/>
    <s v="No"/>
    <n v="502"/>
    <n v="41"/>
    <n v="2718508"/>
    <n v="2294725"/>
    <n v="11149.183752793702"/>
    <n v="9178.567087581876"/>
    <n v="0.45773356235387425"/>
  </r>
  <r>
    <x v="1"/>
    <x v="1"/>
    <s v="Yes"/>
    <n v="488"/>
    <n v="58.2"/>
    <n v="9505938"/>
    <n v="5840094"/>
    <n v="20562.552813925973"/>
    <n v="46601.390305121975"/>
    <n v="0.38056052535274265"/>
  </r>
  <r>
    <x v="1"/>
    <x v="2"/>
    <s v="Yes"/>
    <n v="446"/>
    <n v="48.2"/>
    <n v="1039507"/>
    <n v="1108707"/>
    <n v="5157.4484118861992"/>
    <n v="4499.4849109198885"/>
    <n v="0.51610640280716913"/>
  </r>
  <r>
    <x v="0"/>
    <x v="2"/>
    <s v="Yes"/>
    <n v="608"/>
    <n v="42.1"/>
    <n v="2295478"/>
    <n v="2032749"/>
    <n v="7941.4184585573194"/>
    <n v="6520.6515316789382"/>
    <n v="0.46964935064635011"/>
  </r>
  <r>
    <x v="1"/>
    <x v="0"/>
    <s v="Yes"/>
    <n v="450"/>
    <n v="50.4"/>
    <n v="2074337"/>
    <n v="2508246"/>
    <n v="11059.285714285714"/>
    <n v="9293.6245519713248"/>
    <n v="0.5473432777976962"/>
  </r>
  <r>
    <x v="1"/>
    <x v="0"/>
    <s v="Yes"/>
    <n v="451"/>
    <n v="51.9"/>
    <n v="1813472"/>
    <n v="3399721"/>
    <n v="14524.439374714293"/>
    <n v="8359.6719694280673"/>
    <n v="0.65213795077220427"/>
  </r>
  <r>
    <x v="1"/>
    <x v="0"/>
    <s v="Yes"/>
    <n v="183"/>
    <n v="54.6"/>
    <n v="4014298"/>
    <n v="3364765"/>
    <n v="33675.263716247318"/>
    <n v="48317.300979754938"/>
    <n v="0.45598811122767213"/>
  </r>
  <r>
    <x v="0"/>
    <x v="0"/>
    <s v="Yes"/>
    <n v="546"/>
    <n v="56.6"/>
    <n v="3213843"/>
    <n v="3725894"/>
    <n v="12056.504743783893"/>
    <n v="13562.579125943181"/>
    <n v="0.53689268051512617"/>
  </r>
  <r>
    <x v="0"/>
    <x v="2"/>
    <s v="Yes"/>
    <n v="505"/>
    <n v="39.200000000000003"/>
    <n v="1253965"/>
    <n v="772501"/>
    <n v="3902.3085471812487"/>
    <n v="4084.0444241792597"/>
    <n v="0.38120600098891372"/>
  </r>
  <r>
    <x v="0"/>
    <x v="0"/>
    <s v="Yes"/>
    <n v="221"/>
    <n v="43"/>
    <n v="2149794"/>
    <n v="2067763"/>
    <n v="21759.055035252026"/>
    <n v="17065.920457251726"/>
    <n v="0.49027505733769572"/>
  </r>
  <r>
    <x v="1"/>
    <x v="1"/>
    <s v="Yes"/>
    <n v="448"/>
    <n v="42.9"/>
    <n v="6055205"/>
    <n v="5079384"/>
    <n v="26428.696303696302"/>
    <n v="23670.897704528394"/>
    <n v="0.45618064573375811"/>
  </r>
  <r>
    <x v="0"/>
    <x v="2"/>
    <s v="Yes"/>
    <n v="386"/>
    <n v="26.9"/>
    <n v="1114719"/>
    <n v="505990"/>
    <n v="4873.0666255754377"/>
    <n v="3950.5787373390131"/>
    <n v="0.31220286923809271"/>
  </r>
  <r>
    <x v="0"/>
    <x v="0"/>
    <s v="Yes"/>
    <n v="471"/>
    <n v="46.9"/>
    <n v="3020777"/>
    <n v="3658462"/>
    <n v="16561.695616548739"/>
    <n v="12078.228395728125"/>
    <n v="0.54773635140170907"/>
  </r>
  <r>
    <x v="1"/>
    <x v="1"/>
    <s v="Yes"/>
    <n v="509"/>
    <n v="46.6"/>
    <n v="17124028"/>
    <n v="7835779"/>
    <n v="33035.317082219619"/>
    <n v="63000.919773662084"/>
    <n v="0.31393588099459263"/>
  </r>
  <r>
    <x v="0"/>
    <x v="1"/>
    <s v="Yes"/>
    <n v="482"/>
    <n v="39.200000000000003"/>
    <n v="6282890"/>
    <n v="4676262"/>
    <n v="24749.460157506983"/>
    <n v="21439.212983184101"/>
    <n v="0.42669925556283916"/>
  </r>
  <r>
    <x v="0"/>
    <x v="2"/>
    <s v="Yes"/>
    <n v="227"/>
    <n v="61.7"/>
    <n v="152774"/>
    <n v="204685"/>
    <n v="1461.4198302144096"/>
    <n v="1757.2146628173127"/>
    <n v="0.57261112463247532"/>
  </r>
  <r>
    <x v="0"/>
    <x v="2"/>
    <s v="Yes"/>
    <n v="292"/>
    <n v="46.6"/>
    <n v="529175"/>
    <n v="578235"/>
    <n v="4249.4782174143102"/>
    <n v="3393.7137653275872"/>
    <n v="0.52215078426237793"/>
  </r>
  <r>
    <x v="1"/>
    <x v="1"/>
    <s v="Yes"/>
    <n v="255"/>
    <n v="49"/>
    <n v="1846869"/>
    <n v="2275368"/>
    <n v="18210.228091236495"/>
    <n v="14201.222606689733"/>
    <n v="0.55197408591500197"/>
  </r>
  <r>
    <x v="0"/>
    <x v="2"/>
    <s v="Yes"/>
    <n v="933"/>
    <n v="33"/>
    <n v="1913448"/>
    <n v="919015"/>
    <n v="2984.8809639806427"/>
    <n v="3060.9780678600564"/>
    <n v="0.32445790112704032"/>
  </r>
  <r>
    <x v="0"/>
    <x v="0"/>
    <s v="Yes"/>
    <n v="337"/>
    <n v="46.9"/>
    <n v="2043046"/>
    <n v="2260895"/>
    <n v="14304.663625492714"/>
    <n v="11417.045270387322"/>
    <n v="0.52530808391657791"/>
  </r>
  <r>
    <x v="0"/>
    <x v="0"/>
    <s v="Yes"/>
    <n v="333"/>
    <n v="39.9"/>
    <n v="1775212"/>
    <n v="1627862"/>
    <n v="12251.815725499935"/>
    <n v="8870.1613427071006"/>
    <n v="0.47835045608764309"/>
  </r>
  <r>
    <x v="1"/>
    <x v="2"/>
    <s v="Yes"/>
    <n v="402"/>
    <n v="52.5"/>
    <n v="1103781"/>
    <n v="1459148"/>
    <n v="6913.7550343520488"/>
    <n v="5780.4713275726626"/>
    <n v="0.5693282958677357"/>
  </r>
  <r>
    <x v="1"/>
    <x v="2"/>
    <s v="Yes"/>
    <n v="46"/>
    <n v="30.4"/>
    <n v="47970"/>
    <n v="26400"/>
    <n v="1887.8718535469109"/>
    <n v="1498.3133433283358"/>
    <n v="0.35498184751916095"/>
  </r>
  <r>
    <x v="0"/>
    <x v="1"/>
    <s v="Yes"/>
    <n v="627"/>
    <n v="58.9"/>
    <n v="53478756"/>
    <n v="26240975"/>
    <n v="71055.407077657102"/>
    <n v="207525.72206894142"/>
    <n v="0.32916537312450289"/>
  </r>
  <r>
    <x v="1"/>
    <x v="0"/>
    <s v="Yes"/>
    <n v="216"/>
    <n v="49.1"/>
    <n v="1802575"/>
    <n v="1851189"/>
    <n v="17454.825752432676"/>
    <n v="16395.392199665283"/>
    <n v="0.50665259168353516"/>
  </r>
  <r>
    <x v="0"/>
    <x v="2"/>
    <s v="Yes"/>
    <n v="364"/>
    <n v="48.9"/>
    <n v="907587"/>
    <n v="881724"/>
    <n v="4953.6169352120269"/>
    <n v="4879.3950667727577"/>
    <n v="0.49277291650249733"/>
  </r>
  <r>
    <x v="1"/>
    <x v="0"/>
    <s v="Yes"/>
    <n v="313"/>
    <n v="45.7"/>
    <n v="1477203"/>
    <n v="1527136"/>
    <n v="10676.211715522124"/>
    <n v="8691.5256032337202"/>
    <n v="0.50831014742344327"/>
  </r>
  <r>
    <x v="1"/>
    <x v="2"/>
    <s v="Yes"/>
    <n v="685"/>
    <n v="45.7"/>
    <n v="1796481"/>
    <n v="1302207"/>
    <n v="4159.8076953792588"/>
    <n v="4829.8342541436459"/>
    <n v="0.42024463256707356"/>
  </r>
  <r>
    <x v="0"/>
    <x v="2"/>
    <s v="Yes"/>
    <n v="685"/>
    <n v="33.1"/>
    <n v="1190997"/>
    <n v="693243"/>
    <n v="3057.5032526958785"/>
    <n v="2598.9263853883667"/>
    <n v="0.36791650745128007"/>
  </r>
  <r>
    <x v="1"/>
    <x v="0"/>
    <s v="Yes"/>
    <n v="324"/>
    <n v="29.6"/>
    <n v="2576812"/>
    <n v="1441436"/>
    <n v="15029.988321654986"/>
    <n v="11297.050364758696"/>
    <n v="0.35872250791887411"/>
  </r>
  <r>
    <x v="1"/>
    <x v="1"/>
    <s v="Yes"/>
    <n v="443"/>
    <n v="49.7"/>
    <n v="11691975"/>
    <n v="7011215"/>
    <n v="31844.407301597392"/>
    <n v="52470.616481696728"/>
    <n v="0.37486733546523349"/>
  </r>
  <r>
    <x v="0"/>
    <x v="2"/>
    <s v="Yes"/>
    <n v="264"/>
    <n v="46.2"/>
    <n v="786218"/>
    <n v="696508"/>
    <n v="5710.5798242161873"/>
    <n v="5535.4990424693024"/>
    <n v="0.469748287950707"/>
  </r>
  <r>
    <x v="1"/>
    <x v="0"/>
    <s v="Yes"/>
    <n v="769"/>
    <n v="33.799999999999997"/>
    <n v="2813769"/>
    <n v="2040509"/>
    <n v="7850.466678465079"/>
    <n v="5527.1864036552352"/>
    <n v="0.42035272804730178"/>
  </r>
  <r>
    <x v="1"/>
    <x v="2"/>
    <s v="Yes"/>
    <n v="545"/>
    <n v="34.1"/>
    <n v="1618061"/>
    <n v="1023849"/>
    <n v="5509.1554790282216"/>
    <n v="4505.1885676100846"/>
    <n v="0.38754121071497516"/>
  </r>
  <r>
    <x v="0"/>
    <x v="2"/>
    <s v="Yes"/>
    <n v="605"/>
    <n v="41"/>
    <n v="1631143"/>
    <n v="1385448"/>
    <n v="5585.3577907679901"/>
    <n v="4569.6680207311947"/>
    <n v="0.45927605034955021"/>
  </r>
  <r>
    <x v="0"/>
    <x v="2"/>
    <s v="Yes"/>
    <n v="211"/>
    <n v="24.6"/>
    <n v="456892"/>
    <n v="238693"/>
    <n v="4598.5627865757324"/>
    <n v="2871.8367757426422"/>
    <n v="0.34315432333934748"/>
  </r>
  <r>
    <x v="1"/>
    <x v="2"/>
    <s v="Yes"/>
    <n v="308"/>
    <n v="40.9"/>
    <n v="365113"/>
    <n v="377832"/>
    <n v="2999.3331851522562"/>
    <n v="2005.8067989540068"/>
    <n v="0.50855985301738349"/>
  </r>
  <r>
    <x v="1"/>
    <x v="2"/>
    <s v="Yes"/>
    <n v="165"/>
    <n v="50.3"/>
    <n v="187521"/>
    <n v="240862"/>
    <n v="2902.1266341345863"/>
    <n v="2286.702030364002"/>
    <n v="0.56225853967127548"/>
  </r>
  <r>
    <x v="0"/>
    <x v="0"/>
    <s v="Yes"/>
    <n v="744"/>
    <n v="45"/>
    <n v="2987434"/>
    <n v="2361342"/>
    <n v="7052.992831541218"/>
    <n v="7300.6695992179857"/>
    <n v="0.44147333894707874"/>
  </r>
  <r>
    <x v="1"/>
    <x v="0"/>
    <s v="Yes"/>
    <n v="383"/>
    <n v="51.2"/>
    <n v="2613362"/>
    <n v="2465544"/>
    <n v="12573.147845953003"/>
    <n v="13982.375979112272"/>
    <n v="0.4854478503835275"/>
  </r>
  <r>
    <x v="1"/>
    <x v="2"/>
    <s v="Yes"/>
    <n v="407"/>
    <n v="37.799999999999997"/>
    <n v="756029"/>
    <n v="536976"/>
    <n v="3490.3474903474903"/>
    <n v="2986.4390845098242"/>
    <n v="0.41529305764478869"/>
  </r>
  <r>
    <x v="0"/>
    <x v="0"/>
    <s v="Yes"/>
    <n v="821"/>
    <n v="36.299999999999997"/>
    <n v="5146165"/>
    <n v="2900157"/>
    <n v="9731.3193948118114"/>
    <n v="9840.1363731100992"/>
    <n v="0.36043262996434894"/>
  </r>
  <r>
    <x v="1"/>
    <x v="1"/>
    <s v="Yes"/>
    <n v="530"/>
    <n v="54.3"/>
    <n v="10143000"/>
    <n v="8813826"/>
    <n v="30625.89388095486"/>
    <n v="41876.883695966309"/>
    <n v="0.46494207416368122"/>
  </r>
  <r>
    <x v="0"/>
    <x v="2"/>
    <s v="Yes"/>
    <n v="737"/>
    <n v="42.6"/>
    <n v="2083829"/>
    <n v="1664341"/>
    <n v="5301.0905778406295"/>
    <n v="4925.86717978054"/>
    <n v="0.44404095865449006"/>
  </r>
  <r>
    <x v="1"/>
    <x v="0"/>
    <s v="Yes"/>
    <n v="461"/>
    <n v="44.9"/>
    <n v="2283276"/>
    <n v="1785434"/>
    <n v="8625.7433969921112"/>
    <n v="8988.8863080732717"/>
    <n v="0.4388206581447191"/>
  </r>
  <r>
    <x v="1"/>
    <x v="2"/>
    <s v="Yes"/>
    <n v="274"/>
    <n v="39.1"/>
    <n v="779531"/>
    <n v="866789"/>
    <n v="8090.6994978251532"/>
    <n v="4671.5987678736237"/>
    <n v="0.52650092327129594"/>
  </r>
  <r>
    <x v="1"/>
    <x v="1"/>
    <s v="Yes"/>
    <n v="313"/>
    <n v="51.8"/>
    <n v="4375280"/>
    <n v="4970706"/>
    <n v="30658.011274624689"/>
    <n v="29001.100314186097"/>
    <n v="0.53185463791621346"/>
  </r>
  <r>
    <x v="1"/>
    <x v="2"/>
    <s v="Yes"/>
    <n v="593"/>
    <n v="46.9"/>
    <n v="1523080"/>
    <n v="1474028"/>
    <n v="5300.0284053114347"/>
    <n v="4836.9711924746643"/>
    <n v="0.4918167780406979"/>
  </r>
  <r>
    <x v="1"/>
    <x v="0"/>
    <s v="Yes"/>
    <n v="448"/>
    <n v="42.9"/>
    <n v="2860001"/>
    <n v="2145470"/>
    <n v="11163.159756909756"/>
    <n v="11180.264104328246"/>
    <n v="0.42862499852661218"/>
  </r>
  <r>
    <x v="0"/>
    <x v="2"/>
    <s v="Yes"/>
    <n v="495"/>
    <n v="50.1"/>
    <n v="1282009"/>
    <n v="1182934"/>
    <n v="4769.9913304703723"/>
    <n v="5190.2147729803046"/>
    <n v="0.47990318640228191"/>
  </r>
  <r>
    <x v="0"/>
    <x v="2"/>
    <s v="Yes"/>
    <n v="364"/>
    <n v="37.9"/>
    <n v="1212159"/>
    <n v="648008"/>
    <n v="4697.2078053872256"/>
    <n v="5362.4913733609383"/>
    <n v="0.34836012035478536"/>
  </r>
  <r>
    <x v="1"/>
    <x v="0"/>
    <s v="Yes"/>
    <n v="280"/>
    <n v="31.1"/>
    <n v="2157227"/>
    <n v="1308801"/>
    <n v="15029.869085898024"/>
    <n v="11181.97698527887"/>
    <n v="0.3776083170707219"/>
  </r>
  <r>
    <x v="0"/>
    <x v="1"/>
    <s v="Yes"/>
    <n v="885"/>
    <n v="52"/>
    <n v="12599572"/>
    <n v="8853492"/>
    <n v="19238.357235984357"/>
    <n v="29660.009416195855"/>
    <n v="0.41269125939306384"/>
  </r>
  <r>
    <x v="1"/>
    <x v="2"/>
    <s v="Yes"/>
    <n v="722"/>
    <n v="45.4"/>
    <n v="1672576"/>
    <n v="1233305"/>
    <n v="3762.508084493636"/>
    <n v="4242.8338051606743"/>
    <n v="0.42441689800786747"/>
  </r>
  <r>
    <x v="0"/>
    <x v="0"/>
    <s v="Yes"/>
    <n v="676"/>
    <n v="36.700000000000003"/>
    <n v="5590133"/>
    <n v="2863193"/>
    <n v="11540.851780790996"/>
    <n v="13063.866532058293"/>
    <n v="0.33870609036017302"/>
  </r>
  <r>
    <x v="0"/>
    <x v="0"/>
    <s v="Yes"/>
    <n v="419"/>
    <n v="46.1"/>
    <n v="3026742"/>
    <n v="2467954"/>
    <n v="12776.800459724889"/>
    <n v="13402.092622685872"/>
    <n v="0.44915205499994904"/>
  </r>
  <r>
    <x v="1"/>
    <x v="1"/>
    <s v="Yes"/>
    <n v="268"/>
    <n v="47"/>
    <n v="2221606"/>
    <n v="1883722"/>
    <n v="14954.922197523023"/>
    <n v="15640.706843142774"/>
    <n v="0.45884811152726407"/>
  </r>
  <r>
    <x v="0"/>
    <x v="0"/>
    <s v="Yes"/>
    <n v="277"/>
    <n v="31.4"/>
    <n v="2211326"/>
    <n v="1137812"/>
    <n v="13081.606843109752"/>
    <n v="11637.210428266202"/>
    <n v="0.3397327909450133"/>
  </r>
  <r>
    <x v="0"/>
    <x v="2"/>
    <s v="Yes"/>
    <n v="367"/>
    <n v="43.6"/>
    <n v="1447936"/>
    <n v="1135219"/>
    <n v="7094.5866560007998"/>
    <n v="6995.2654260150357"/>
    <n v="0.43946995050626075"/>
  </r>
  <r>
    <x v="0"/>
    <x v="2"/>
    <s v="Yes"/>
    <n v="461"/>
    <n v="35.4"/>
    <n v="2005764"/>
    <n v="1166275"/>
    <n v="7146.5556331727885"/>
    <n v="6735.1362967838122"/>
    <n v="0.36767360048221348"/>
  </r>
  <r>
    <x v="1"/>
    <x v="0"/>
    <s v="Yes"/>
    <n v="586"/>
    <n v="44.7"/>
    <n v="3021510"/>
    <n v="2639169"/>
    <n v="10075.394552992644"/>
    <n v="9323.9790407889959"/>
    <n v="0.46622834469151136"/>
  </r>
  <r>
    <x v="1"/>
    <x v="0"/>
    <s v="Yes"/>
    <n v="492"/>
    <n v="49.2"/>
    <n v="2680257"/>
    <n v="2523437"/>
    <n v="10424.668682662435"/>
    <n v="10723.773285961206"/>
    <n v="0.48493185802239719"/>
  </r>
  <r>
    <x v="0"/>
    <x v="1"/>
    <s v="Yes"/>
    <n v="917"/>
    <n v="46.2"/>
    <n v="10874881"/>
    <n v="5796682"/>
    <n v="13682.585317263616"/>
    <n v="22043.111730915018"/>
    <n v="0.34769877305445207"/>
  </r>
  <r>
    <x v="0"/>
    <x v="0"/>
    <s v="Yes"/>
    <n v="385"/>
    <n v="51.9"/>
    <n v="3107467"/>
    <n v="3480319"/>
    <n v="17417.70637840002"/>
    <n v="16780.338580338579"/>
    <n v="0.52829873344398259"/>
  </r>
  <r>
    <x v="0"/>
    <x v="0"/>
    <s v="Yes"/>
    <n v="254"/>
    <n v="45.7"/>
    <n v="2098050"/>
    <n v="2309299"/>
    <n v="19894.37274935819"/>
    <n v="15211.858876756427"/>
    <n v="0.52396554028283215"/>
  </r>
  <r>
    <x v="0"/>
    <x v="2"/>
    <s v="Yes"/>
    <n v="465"/>
    <n v="35.700000000000003"/>
    <n v="1809962"/>
    <n v="912615"/>
    <n v="5497.5151350862916"/>
    <n v="6053.4858442448867"/>
    <n v="0.3352026407333934"/>
  </r>
  <r>
    <x v="0"/>
    <x v="2"/>
    <s v="Yes"/>
    <n v="427"/>
    <n v="36.799999999999997"/>
    <n v="748411"/>
    <n v="574914"/>
    <n v="3658.7032888707872"/>
    <n v="2773.2895087896127"/>
    <n v="0.4344465645249655"/>
  </r>
  <r>
    <x v="1"/>
    <x v="1"/>
    <s v="Yes"/>
    <n v="472"/>
    <n v="38.1"/>
    <n v="7438095"/>
    <n v="4129020"/>
    <n v="22960.429734418791"/>
    <n v="25458.280852112483"/>
    <n v="0.35696195637373712"/>
  </r>
  <r>
    <x v="1"/>
    <x v="2"/>
    <s v="Yes"/>
    <n v="203"/>
    <n v="43.3"/>
    <n v="332435"/>
    <n v="209771"/>
    <n v="2386.5004152493202"/>
    <n v="2888.2025351647681"/>
    <n v="0.38688432071943135"/>
  </r>
  <r>
    <x v="1"/>
    <x v="2"/>
    <s v="Yes"/>
    <n v="496"/>
    <n v="47.2"/>
    <n v="649956"/>
    <n v="525613"/>
    <n v="2245.1348072717328"/>
    <n v="2481.8090175953075"/>
    <n v="0.44711369558060821"/>
  </r>
  <r>
    <x v="0"/>
    <x v="1"/>
    <s v="Yes"/>
    <n v="424"/>
    <n v="50.7"/>
    <n v="5784436"/>
    <n v="5816086"/>
    <n v="27055.589669160061"/>
    <n v="27672.49033640782"/>
    <n v="0.50136416275060725"/>
  </r>
  <r>
    <x v="1"/>
    <x v="1"/>
    <s v="Yes"/>
    <n v="480"/>
    <n v="50.6"/>
    <n v="18487722"/>
    <n v="7206531"/>
    <n v="29671.158596837944"/>
    <n v="77967.788461538454"/>
    <n v="0.28047248542310221"/>
  </r>
  <r>
    <x v="1"/>
    <x v="2"/>
    <s v="Yes"/>
    <n v="616"/>
    <n v="36.5"/>
    <n v="1130861"/>
    <n v="764319"/>
    <n v="3399.3906778153355"/>
    <n v="2891.0445853359238"/>
    <n v="0.4032962568199327"/>
  </r>
  <r>
    <x v="0"/>
    <x v="2"/>
    <s v="Yes"/>
    <n v="795"/>
    <n v="40.4"/>
    <n v="2646094"/>
    <n v="1763532"/>
    <n v="5490.7902110965824"/>
    <n v="5584.5975264868521"/>
    <n v="0.39992779432994996"/>
  </r>
  <r>
    <x v="1"/>
    <x v="2"/>
    <s v="Yes"/>
    <n v="505"/>
    <n v="45.3"/>
    <n v="932316"/>
    <n v="1018400"/>
    <n v="4451.7299412060411"/>
    <n v="3375.0828099263308"/>
    <n v="0.5220647188006865"/>
  </r>
  <r>
    <x v="0"/>
    <x v="2"/>
    <s v="Yes"/>
    <n v="596"/>
    <n v="43.5"/>
    <n v="1436236"/>
    <n v="1106015"/>
    <n v="4266.0456684409473"/>
    <n v="4265.1184890419909"/>
    <n v="0.4350534231277714"/>
  </r>
  <r>
    <x v="0"/>
    <x v="2"/>
    <s v="Yes"/>
    <n v="608"/>
    <n v="42.8"/>
    <n v="2157996"/>
    <n v="1490285"/>
    <n v="5726.9314129365475"/>
    <n v="6205.132039013617"/>
    <n v="0.40848964210815997"/>
  </r>
  <r>
    <x v="0"/>
    <x v="2"/>
    <s v="Yes"/>
    <n v="228"/>
    <n v="58.8"/>
    <n v="306583"/>
    <n v="472704"/>
    <n v="3525.9577515216615"/>
    <n v="3263.7433997615394"/>
    <n v="0.60658525036347333"/>
  </r>
  <r>
    <x v="0"/>
    <x v="2"/>
    <s v="Yes"/>
    <n v="661"/>
    <n v="40.4"/>
    <n v="3086424"/>
    <n v="2062934"/>
    <n v="7725.0715237938321"/>
    <n v="7834.4383636751318"/>
    <n v="0.40061965006123096"/>
  </r>
  <r>
    <x v="0"/>
    <x v="2"/>
    <s v="Yes"/>
    <n v="299"/>
    <n v="52.5"/>
    <n v="399542"/>
    <n v="520463"/>
    <n v="3315.5789138397836"/>
    <n v="2813.1807780320364"/>
    <n v="0.5657175776218607"/>
  </r>
  <r>
    <x v="0"/>
    <x v="2"/>
    <s v="Yes"/>
    <n v="248"/>
    <n v="41.9"/>
    <n v="460484"/>
    <n v="357099"/>
    <n v="3436.5520825313729"/>
    <n v="3195.8525345622115"/>
    <n v="0.43677400337335781"/>
  </r>
  <r>
    <x v="0"/>
    <x v="2"/>
    <s v="Yes"/>
    <n v="559"/>
    <n v="33.5"/>
    <n v="1614688"/>
    <n v="911443"/>
    <n v="4867.1294689343977"/>
    <n v="4343.653409014486"/>
    <n v="0.36080591228245884"/>
  </r>
  <r>
    <x v="0"/>
    <x v="0"/>
    <s v="Yes"/>
    <n v="362"/>
    <n v="50.3"/>
    <n v="2269440"/>
    <n v="2593324"/>
    <n v="14242.303087552034"/>
    <n v="12614.02670164634"/>
    <n v="0.53330245925979547"/>
  </r>
  <r>
    <x v="0"/>
    <x v="0"/>
    <s v="Yes"/>
    <n v="272"/>
    <n v="36.4"/>
    <n v="2897980"/>
    <n v="991156"/>
    <n v="10010.867808661927"/>
    <n v="16752.104143544209"/>
    <n v="0.25485249165881574"/>
  </r>
  <r>
    <x v="0"/>
    <x v="0"/>
    <s v="Yes"/>
    <n v="473"/>
    <n v="27.1"/>
    <n v="3574606"/>
    <n v="1655607"/>
    <n v="12915.963895368339"/>
    <n v="10366.675656942667"/>
    <n v="0.31654676396544462"/>
  </r>
  <r>
    <x v="1"/>
    <x v="0"/>
    <s v="Yes"/>
    <n v="270"/>
    <n v="57.8"/>
    <n v="1038051"/>
    <n v="1948886"/>
    <n v="12488.055875945149"/>
    <n v="9110.5055292259076"/>
    <n v="0.65246973739318903"/>
  </r>
  <r>
    <x v="0"/>
    <x v="0"/>
    <s v="Yes"/>
    <n v="431"/>
    <n v="47.6"/>
    <n v="2815923"/>
    <n v="2973495"/>
    <n v="14493.824211819297"/>
    <n v="12468.442818936965"/>
    <n v="0.51360862179928968"/>
  </r>
  <r>
    <x v="0"/>
    <x v="0"/>
    <s v="Yes"/>
    <n v="240"/>
    <n v="50.4"/>
    <n v="1472067"/>
    <n v="1421979"/>
    <n v="11755.778769841269"/>
    <n v="12366.154233870968"/>
    <n v="0.49134637113577323"/>
  </r>
  <r>
    <x v="1"/>
    <x v="1"/>
    <s v="Yes"/>
    <n v="449"/>
    <n v="57.9"/>
    <n v="6350604"/>
    <n v="6948173"/>
    <n v="26726.723365298436"/>
    <n v="33595.924434875065"/>
    <n v="0.52246706595651615"/>
  </r>
  <r>
    <x v="1"/>
    <x v="1"/>
    <s v="Yes"/>
    <n v="461"/>
    <n v="52.7"/>
    <n v="14864688"/>
    <n v="7596811"/>
    <n v="31269.416786377275"/>
    <n v="68170.06874475471"/>
    <n v="0.33821478254857346"/>
  </r>
  <r>
    <x v="0"/>
    <x v="2"/>
    <s v="Yes"/>
    <n v="315"/>
    <n v="42.5"/>
    <n v="564548"/>
    <n v="571727"/>
    <n v="4270.6031746031749"/>
    <n v="3116.8971704623873"/>
    <n v="0.50315900640249944"/>
  </r>
  <r>
    <x v="0"/>
    <x v="2"/>
    <s v="Yes"/>
    <n v="694"/>
    <n v="34.4"/>
    <n v="1701271"/>
    <n v="907829"/>
    <n v="3802.6481133972256"/>
    <n v="3736.888925985802"/>
    <n v="0.34794718485301446"/>
  </r>
  <r>
    <x v="0"/>
    <x v="2"/>
    <s v="Yes"/>
    <n v="517"/>
    <n v="47.2"/>
    <n v="1434930"/>
    <n v="1088532"/>
    <n v="4460.7579582336157"/>
    <n v="5256.61596623879"/>
    <n v="0.43136453015737902"/>
  </r>
  <r>
    <x v="0"/>
    <x v="2"/>
    <s v="Yes"/>
    <n v="767"/>
    <n v="46.5"/>
    <n v="1896183"/>
    <n v="1553240"/>
    <n v="4355.0209586294877"/>
    <n v="4620.9482264923417"/>
    <n v="0.45028980209153818"/>
  </r>
  <r>
    <x v="0"/>
    <x v="0"/>
    <s v="Yes"/>
    <n v="500"/>
    <n v="46.4"/>
    <n v="2074718"/>
    <n v="1995852"/>
    <n v="8602.810344827587"/>
    <n v="7741.4850746268658"/>
    <n v="0.49031265891509052"/>
  </r>
  <r>
    <x v="0"/>
    <x v="2"/>
    <s v="Yes"/>
    <n v="468"/>
    <n v="43.8"/>
    <n v="1067676"/>
    <n v="965316"/>
    <n v="4709.2260859384141"/>
    <n v="4059.3576056209504"/>
    <n v="0.47482528214572411"/>
  </r>
  <r>
    <x v="0"/>
    <x v="0"/>
    <s v="Yes"/>
    <n v="473"/>
    <n v="33.799999999999997"/>
    <n v="3762571"/>
    <n v="1870845"/>
    <n v="11701.996572300686"/>
    <n v="12016.156435428547"/>
    <n v="0.33209778933421569"/>
  </r>
  <r>
    <x v="0"/>
    <x v="0"/>
    <s v="Yes"/>
    <n v="586"/>
    <n v="41.6"/>
    <n v="4540259"/>
    <n v="4232894"/>
    <n v="17363.866828563925"/>
    <n v="13266.921665341999"/>
    <n v="0.48248263765603999"/>
  </r>
  <r>
    <x v="0"/>
    <x v="2"/>
    <s v="Yes"/>
    <n v="666"/>
    <n v="43.4"/>
    <n v="2099535"/>
    <n v="1526011"/>
    <n v="5279.5110778981752"/>
    <n v="5569.7084009804857"/>
    <n v="0.42090515469945766"/>
  </r>
  <r>
    <x v="1"/>
    <x v="0"/>
    <s v="Yes"/>
    <n v="234"/>
    <n v="33.299999999999997"/>
    <n v="1334442"/>
    <n v="895488"/>
    <n v="11492.107492107492"/>
    <n v="8549.8404643831927"/>
    <n v="0.4015767311081514"/>
  </r>
  <r>
    <x v="0"/>
    <x v="2"/>
    <s v="Yes"/>
    <n v="666"/>
    <n v="36.6"/>
    <n v="1786970"/>
    <n v="1177946"/>
    <n v="4832.4800210046105"/>
    <n v="4232.0790822368108"/>
    <n v="0.3972948980679385"/>
  </r>
  <r>
    <x v="1"/>
    <x v="1"/>
    <s v="Yes"/>
    <n v="438"/>
    <n v="47.3"/>
    <n v="15879881"/>
    <n v="8943725"/>
    <n v="43170.113045073231"/>
    <n v="68795.893876772971"/>
    <n v="0.36029112772737371"/>
  </r>
  <r>
    <x v="0"/>
    <x v="1"/>
    <s v="Yes"/>
    <n v="346"/>
    <n v="46.8"/>
    <n v="6027646"/>
    <n v="6564948"/>
    <n v="40542.389210019268"/>
    <n v="32746.131948368031"/>
    <n v="0.52133404761560642"/>
  </r>
  <r>
    <x v="0"/>
    <x v="2"/>
    <s v="Yes"/>
    <n v="495"/>
    <n v="32.299999999999997"/>
    <n v="713241"/>
    <n v="468270"/>
    <n v="2928.792569659443"/>
    <n v="2128.3469853632337"/>
    <n v="0.39633147723550605"/>
  </r>
  <r>
    <x v="1"/>
    <x v="1"/>
    <s v="Yes"/>
    <n v="417"/>
    <n v="40"/>
    <n v="58965235"/>
    <n v="16362280"/>
    <n v="98095.20383693045"/>
    <n v="235672.40207833733"/>
    <n v="0.21721518358862629"/>
  </r>
  <r>
    <x v="1"/>
    <x v="2"/>
    <s v="Yes"/>
    <n v="302"/>
    <n v="31.8"/>
    <n v="885892"/>
    <n v="509827"/>
    <n v="5308.7071514848594"/>
    <n v="4301.1982676584248"/>
    <n v="0.36527911420565312"/>
  </r>
  <r>
    <x v="0"/>
    <x v="0"/>
    <s v="Yes"/>
    <n v="302"/>
    <n v="32.5"/>
    <n v="1187748"/>
    <n v="1029494"/>
    <n v="10488.986245542535"/>
    <n v="5826.5783664459159"/>
    <n v="0.46431287157649009"/>
  </r>
  <r>
    <x v="0"/>
    <x v="1"/>
    <s v="Yes"/>
    <n v="1054"/>
    <n v="45.6"/>
    <n v="13170215"/>
    <n v="7068833"/>
    <n v="14707.615516495222"/>
    <n v="22969.59586728429"/>
    <n v="0.34926707026931308"/>
  </r>
  <r>
    <x v="0"/>
    <x v="2"/>
    <s v="Yes"/>
    <n v="330"/>
    <n v="46.7"/>
    <n v="604314"/>
    <n v="506542"/>
    <n v="3286.885990526247"/>
    <n v="3435.7496162374209"/>
    <n v="0.45599249587705337"/>
  </r>
  <r>
    <x v="1"/>
    <x v="0"/>
    <s v="Yes"/>
    <n v="261"/>
    <n v="37.5"/>
    <n v="1728568"/>
    <n v="1485651"/>
    <n v="15179.065134099617"/>
    <n v="10596.585440613027"/>
    <n v="0.46221212680280965"/>
  </r>
  <r>
    <x v="1"/>
    <x v="0"/>
    <s v="Yes"/>
    <n v="362"/>
    <n v="29"/>
    <n v="1666426"/>
    <n v="788418"/>
    <n v="7510.1733663554969"/>
    <n v="6483.6432962415383"/>
    <n v="0.32116826975563417"/>
  </r>
  <r>
    <x v="0"/>
    <x v="2"/>
    <s v="Yes"/>
    <n v="172"/>
    <n v="61"/>
    <n v="228699"/>
    <n v="312191"/>
    <n v="2975.5146778497901"/>
    <n v="3409.3470483005367"/>
    <n v="0.57718020299876127"/>
  </r>
  <r>
    <x v="1"/>
    <x v="1"/>
    <s v="Yes"/>
    <n v="746"/>
    <n v="50"/>
    <n v="52293616"/>
    <n v="20067047"/>
    <n v="53799.053619302947"/>
    <n v="140197.36193029489"/>
    <n v="0.27731983329119025"/>
  </r>
  <r>
    <x v="0"/>
    <x v="0"/>
    <s v="Yes"/>
    <n v="600"/>
    <n v="36.299999999999997"/>
    <n v="7598662"/>
    <n v="5223273"/>
    <n v="23981.9696969697"/>
    <n v="19881.376242804814"/>
    <n v="0.40737010443431509"/>
  </r>
  <r>
    <x v="0"/>
    <x v="2"/>
    <s v="Yes"/>
    <n v="400"/>
    <n v="42.3"/>
    <n v="3879362"/>
    <n v="3143753"/>
    <n v="18580.100472813239"/>
    <n v="16808.327556325821"/>
    <n v="0.44762943508685249"/>
  </r>
  <r>
    <x v="1"/>
    <x v="1"/>
    <s v="Yes"/>
    <n v="530"/>
    <n v="45.8"/>
    <n v="5051563"/>
    <n v="4176797"/>
    <n v="17206.875669440557"/>
    <n v="17585.333843904475"/>
    <n v="0.45260447143371085"/>
  </r>
  <r>
    <x v="1"/>
    <x v="2"/>
    <s v="Yes"/>
    <n v="402"/>
    <n v="38.799999999999997"/>
    <n v="1253257"/>
    <n v="1193606"/>
    <n v="7652.4978201774647"/>
    <n v="5094.0436705362081"/>
    <n v="0.487810719276069"/>
  </r>
  <r>
    <x v="0"/>
    <x v="1"/>
    <s v="Yes"/>
    <n v="812"/>
    <n v="44.3"/>
    <n v="22322541"/>
    <n v="10048402"/>
    <n v="27934.264808904802"/>
    <n v="49355.141901990777"/>
    <n v="0.31041425021198793"/>
  </r>
  <r>
    <x v="1"/>
    <x v="1"/>
    <s v="Yes"/>
    <n v="440"/>
    <n v="47.7"/>
    <n v="11691376"/>
    <n v="5532886"/>
    <n v="26362.140270630833"/>
    <n v="50805.562315313749"/>
    <n v="0.32122630275828362"/>
  </r>
  <r>
    <x v="0"/>
    <x v="2"/>
    <s v="Yes"/>
    <n v="426"/>
    <n v="31.2"/>
    <n v="1268166"/>
    <n v="802880"/>
    <n v="6040.6885758998433"/>
    <n v="4326.912053717655"/>
    <n v="0.3876688398036548"/>
  </r>
  <r>
    <x v="0"/>
    <x v="1"/>
    <s v="Yes"/>
    <n v="505"/>
    <n v="42.4"/>
    <n v="7118447"/>
    <n v="5190745"/>
    <n v="24242.223986549598"/>
    <n v="24472.108773377335"/>
    <n v="0.4216966475135005"/>
  </r>
  <r>
    <x v="0"/>
    <x v="2"/>
    <s v="Yes"/>
    <n v="491"/>
    <n v="36.5"/>
    <n v="916926"/>
    <n v="627606"/>
    <n v="3501.9724911419244"/>
    <n v="2940.8919608063247"/>
    <n v="0.40634056141277747"/>
  </r>
  <r>
    <x v="1"/>
    <x v="0"/>
    <s v="Yes"/>
    <n v="315"/>
    <n v="38.1"/>
    <n v="1541238"/>
    <n v="1108805"/>
    <n v="9238.8868058159405"/>
    <n v="7904.3926455881228"/>
    <n v="0.41841019183462308"/>
  </r>
  <r>
    <x v="1"/>
    <x v="0"/>
    <s v="Yes"/>
    <n v="357"/>
    <n v="47.6"/>
    <n v="1928676"/>
    <n v="1851959"/>
    <n v="10898.235764894192"/>
    <n v="10310.026300596573"/>
    <n v="0.48985395310576135"/>
  </r>
  <r>
    <x v="0"/>
    <x v="0"/>
    <s v="Yes"/>
    <n v="315"/>
    <n v="42.5"/>
    <n v="2035122"/>
    <n v="2089359"/>
    <n v="15606.789915966387"/>
    <n v="11236.008281573497"/>
    <n v="0.50657500907386888"/>
  </r>
  <r>
    <x v="1"/>
    <x v="0"/>
    <s v="Yes"/>
    <n v="537"/>
    <n v="35"/>
    <n v="2764084"/>
    <n v="1464382"/>
    <n v="7791.338121840914"/>
    <n v="7918.8769517261135"/>
    <n v="0.34631518853409249"/>
  </r>
  <r>
    <x v="0"/>
    <x v="2"/>
    <s v="Yes"/>
    <n v="263"/>
    <n v="47.5"/>
    <n v="591666"/>
    <n v="564709"/>
    <n v="4520.3842305383223"/>
    <n v="4285.1059206952741"/>
    <n v="0.48834417900767485"/>
  </r>
  <r>
    <x v="0"/>
    <x v="2"/>
    <s v="Yes"/>
    <n v="604"/>
    <n v="29.5"/>
    <n v="1559711"/>
    <n v="740377"/>
    <n v="4155.2194410147049"/>
    <n v="3662.8411065708515"/>
    <n v="0.32189072765911564"/>
  </r>
  <r>
    <x v="0"/>
    <x v="2"/>
    <s v="Yes"/>
    <n v="378"/>
    <n v="35.200000000000003"/>
    <n v="1260605"/>
    <n v="800492"/>
    <n v="6016.2037037037035"/>
    <n v="5146.5028741263304"/>
    <n v="0.3883815269247396"/>
  </r>
  <r>
    <x v="0"/>
    <x v="1"/>
    <s v="Yes"/>
    <n v="893"/>
    <n v="49.8"/>
    <n v="9162809"/>
    <n v="6391386"/>
    <n v="14371.901941472497"/>
    <n v="20439.6501340662"/>
    <n v="0.41091075430133156"/>
  </r>
  <r>
    <x v="1"/>
    <x v="2"/>
    <s v="Yes"/>
    <n v="187"/>
    <n v="42.2"/>
    <n v="185479"/>
    <n v="201445"/>
    <n v="2552.7156144663809"/>
    <n v="1716.0316784782488"/>
    <n v="0.52063195873091361"/>
  </r>
  <r>
    <x v="1"/>
    <x v="1"/>
    <s v="Yes"/>
    <n v="362"/>
    <n v="49.4"/>
    <n v="3249429"/>
    <n v="3289304"/>
    <n v="18393.6743686671"/>
    <n v="17739.769178695435"/>
    <n v="0.50304913811284235"/>
  </r>
  <r>
    <x v="1"/>
    <x v="1"/>
    <s v="Yes"/>
    <n v="516"/>
    <n v="51.2"/>
    <n v="49504143"/>
    <n v="17321777"/>
    <n v="65565.107951792641"/>
    <n v="196594.79841784216"/>
    <n v="0.2592074602190288"/>
  </r>
  <r>
    <x v="1"/>
    <x v="0"/>
    <s v="Yes"/>
    <n v="202"/>
    <n v="54"/>
    <n v="1531784"/>
    <n v="1327926"/>
    <n v="12173.872387238722"/>
    <n v="16484.976323719329"/>
    <n v="0.46435687534750025"/>
  </r>
  <r>
    <x v="0"/>
    <x v="2"/>
    <s v="Yes"/>
    <n v="440"/>
    <n v="32.299999999999997"/>
    <n v="1135603"/>
    <n v="606418"/>
    <n v="4266.94342808894"/>
    <n v="3812.2834698536326"/>
    <n v="0.34811176214293627"/>
  </r>
  <r>
    <x v="0"/>
    <x v="1"/>
    <s v="Yes"/>
    <n v="374"/>
    <n v="47.3"/>
    <n v="5540321"/>
    <n v="4481859"/>
    <n v="25335.264722840897"/>
    <n v="28109.473459903194"/>
    <n v="0.44719402365553201"/>
  </r>
  <r>
    <x v="1"/>
    <x v="1"/>
    <s v="Yes"/>
    <n v="693"/>
    <n v="44.2"/>
    <n v="20817082"/>
    <n v="10458827"/>
    <n v="34145.028174439933"/>
    <n v="53833.475564658365"/>
    <n v="0.33440521265105355"/>
  </r>
  <r>
    <x v="1"/>
    <x v="1"/>
    <s v="Yes"/>
    <n v="462"/>
    <n v="41.6"/>
    <n v="12210299"/>
    <n v="5363350"/>
    <n v="27906.208374958373"/>
    <n v="45255.511326572974"/>
    <n v="0.30519273487253556"/>
  </r>
  <r>
    <x v="1"/>
    <x v="1"/>
    <s v="Yes"/>
    <n v="527"/>
    <n v="50.1"/>
    <n v="12639792"/>
    <n v="7377831"/>
    <n v="27943.471690395301"/>
    <n v="48064.980054986634"/>
    <n v="0.36856678737530424"/>
  </r>
  <r>
    <x v="1"/>
    <x v="1"/>
    <s v="Yes"/>
    <n v="367"/>
    <n v="44.4"/>
    <n v="5321345"/>
    <n v="2680568"/>
    <n v="16450.450450450451"/>
    <n v="26078.377080352064"/>
    <n v="0.33499089530216086"/>
  </r>
  <r>
    <x v="0"/>
    <x v="1"/>
    <s v="Yes"/>
    <n v="311"/>
    <n v="53.4"/>
    <n v="9487389"/>
    <n v="8249409"/>
    <n v="49673.091513421721"/>
    <n v="65463.678014986952"/>
    <n v="0.46510136722535828"/>
  </r>
  <r>
    <x v="1"/>
    <x v="0"/>
    <s v="Yes"/>
    <n v="387"/>
    <n v="47"/>
    <n v="2051800"/>
    <n v="1937783"/>
    <n v="10653.598328660179"/>
    <n v="10003.412802886256"/>
    <n v="0.48571066199149132"/>
  </r>
  <r>
    <x v="0"/>
    <x v="2"/>
    <s v="Yes"/>
    <n v="358"/>
    <n v="49.7"/>
    <n v="978146"/>
    <n v="1189480"/>
    <n v="6685.2511718354817"/>
    <n v="5431.9113253440246"/>
    <n v="0.54874780058921602"/>
  </r>
  <r>
    <x v="0"/>
    <x v="1"/>
    <s v="Yes"/>
    <n v="913"/>
    <n v="50.7"/>
    <n v="13053359"/>
    <n v="12384684"/>
    <n v="26755.076249052152"/>
    <n v="29000.439893448034"/>
    <n v="0.48685679161718531"/>
  </r>
  <r>
    <x v="1"/>
    <x v="0"/>
    <s v="Yes"/>
    <n v="355"/>
    <n v="45.1"/>
    <n v="2804634"/>
    <n v="2101853"/>
    <n v="13127.966022297865"/>
    <n v="14390.487185407526"/>
    <n v="0.42838246590686985"/>
  </r>
  <r>
    <x v="1"/>
    <x v="0"/>
    <s v="Yes"/>
    <n v="310"/>
    <n v="52.9"/>
    <n v="2261796"/>
    <n v="1951640"/>
    <n v="11900.969571315323"/>
    <n v="15490.69241832751"/>
    <n v="0.463194409503312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83F2BE-58CE-45E5-904D-C132FB989368}"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9:B22" firstHeaderRow="1" firstDataRow="1" firstDataCol="1"/>
  <pivotFields count="1">
    <pivotField axis="axisRow" dataField="1" compact="0" outline="0" showAll="0" sortType="descending">
      <items count="3">
        <item x="0"/>
        <item x="1"/>
        <item t="default"/>
      </items>
      <autoSortScope>
        <pivotArea dataOnly="0" outline="0" fieldPosition="0">
          <references count="1">
            <reference field="4294967294" count="1" selected="0">
              <x v="0"/>
            </reference>
          </references>
        </pivotArea>
      </autoSortScope>
    </pivotField>
  </pivotFields>
  <rowFields count="1">
    <field x="0"/>
  </rowFields>
  <rowItems count="3">
    <i>
      <x v="1"/>
    </i>
    <i>
      <x/>
    </i>
    <i t="grand">
      <x/>
    </i>
  </rowItems>
  <colItems count="1">
    <i/>
  </colItems>
  <dataFields count="1">
    <dataField name="Count of Football"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CE2C9C-BCCF-4D23-A5E2-C7F0FCD0602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6" firstHeaderRow="1" firstDataRow="1" firstDataCol="1"/>
  <pivotFields count="1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0" outline="0" showAll="0"/>
  </pivotFields>
  <rowFields count="1">
    <field x="0"/>
  </rowFields>
  <rowItems count="3">
    <i>
      <x/>
    </i>
    <i>
      <x v="1"/>
    </i>
    <i t="grand">
      <x/>
    </i>
  </rowItems>
  <colItems count="1">
    <i/>
  </colItems>
  <dataFields count="1">
    <dataField name="Count of Sector"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election activeCell="C10" sqref="C10"/>
    </sheetView>
  </sheetViews>
  <sheetFormatPr defaultColWidth="8.81640625" defaultRowHeight="14.5" x14ac:dyDescent="0.35"/>
  <cols>
    <col min="1" max="1" width="33.81640625" bestFit="1" customWidth="1"/>
    <col min="2" max="2" width="14.453125" bestFit="1" customWidth="1"/>
    <col min="3" max="3" width="59.1796875" bestFit="1" customWidth="1"/>
    <col min="4" max="4" width="12" bestFit="1" customWidth="1"/>
  </cols>
  <sheetData>
    <row r="1" spans="1:4" x14ac:dyDescent="0.35">
      <c r="A1" t="s">
        <v>0</v>
      </c>
      <c r="B1" t="s">
        <v>1</v>
      </c>
      <c r="C1" t="s">
        <v>2</v>
      </c>
      <c r="D1" t="s">
        <v>3</v>
      </c>
    </row>
    <row r="2" spans="1:4" x14ac:dyDescent="0.35">
      <c r="A2" t="s">
        <v>4</v>
      </c>
      <c r="B2" t="s">
        <v>5</v>
      </c>
      <c r="C2" t="s">
        <v>6</v>
      </c>
      <c r="D2" s="4" t="s">
        <v>7</v>
      </c>
    </row>
    <row r="3" spans="1:4" x14ac:dyDescent="0.35">
      <c r="A3" t="s">
        <v>8</v>
      </c>
      <c r="B3" t="s">
        <v>5</v>
      </c>
      <c r="C3" t="s">
        <v>9</v>
      </c>
      <c r="D3" s="4" t="s">
        <v>7</v>
      </c>
    </row>
    <row r="4" spans="1:4" x14ac:dyDescent="0.35">
      <c r="A4" t="s">
        <v>10</v>
      </c>
      <c r="B4" t="s">
        <v>5</v>
      </c>
      <c r="C4" t="s">
        <v>11</v>
      </c>
      <c r="D4" s="4" t="s">
        <v>7</v>
      </c>
    </row>
    <row r="5" spans="1:4" x14ac:dyDescent="0.35">
      <c r="A5" t="s">
        <v>12</v>
      </c>
      <c r="B5" t="s">
        <v>13</v>
      </c>
      <c r="C5" t="s">
        <v>14</v>
      </c>
      <c r="D5" s="4" t="s">
        <v>7</v>
      </c>
    </row>
    <row r="6" spans="1:4" x14ac:dyDescent="0.35">
      <c r="A6" t="s">
        <v>15</v>
      </c>
      <c r="B6" t="s">
        <v>13</v>
      </c>
      <c r="C6" t="s">
        <v>16</v>
      </c>
      <c r="D6" t="s">
        <v>7</v>
      </c>
    </row>
    <row r="7" spans="1:4" x14ac:dyDescent="0.35">
      <c r="A7" t="s">
        <v>17</v>
      </c>
      <c r="B7" t="s">
        <v>13</v>
      </c>
      <c r="C7" t="s">
        <v>18</v>
      </c>
      <c r="D7" s="4" t="s">
        <v>7</v>
      </c>
    </row>
    <row r="8" spans="1:4" x14ac:dyDescent="0.35">
      <c r="A8" t="s">
        <v>19</v>
      </c>
      <c r="B8" t="s">
        <v>13</v>
      </c>
      <c r="C8" t="s">
        <v>20</v>
      </c>
      <c r="D8" s="4" t="s">
        <v>21</v>
      </c>
    </row>
    <row r="9" spans="1:4" x14ac:dyDescent="0.35">
      <c r="D9" s="4"/>
    </row>
    <row r="10" spans="1:4" x14ac:dyDescent="0.35">
      <c r="D10" s="4"/>
    </row>
    <row r="11" spans="1:4" x14ac:dyDescent="0.35">
      <c r="D11" s="4"/>
    </row>
    <row r="16" spans="1:4" x14ac:dyDescent="0.35">
      <c r="D16" s="4"/>
    </row>
    <row r="17" spans="4:4" x14ac:dyDescent="0.35">
      <c r="D17" s="4"/>
    </row>
    <row r="20" spans="4:4" x14ac:dyDescent="0.35">
      <c r="D20" s="4"/>
    </row>
    <row r="21" spans="4:4" x14ac:dyDescent="0.35">
      <c r="D21" s="4"/>
    </row>
    <row r="23" spans="4:4" x14ac:dyDescent="0.35">
      <c r="D23" s="4"/>
    </row>
    <row r="24" spans="4:4" x14ac:dyDescent="0.35">
      <c r="D24"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72"/>
  <sheetViews>
    <sheetView topLeftCell="H9" workbookViewId="0">
      <selection activeCell="H9" sqref="H9"/>
    </sheetView>
  </sheetViews>
  <sheetFormatPr defaultColWidth="8.81640625" defaultRowHeight="14.5" x14ac:dyDescent="0.35"/>
  <cols>
    <col min="1" max="1" width="7.453125" bestFit="1" customWidth="1"/>
    <col min="2" max="2" width="57.453125" bestFit="1" customWidth="1"/>
    <col min="3" max="3" width="17.453125" bestFit="1" customWidth="1"/>
    <col min="4" max="4" width="14.1796875" bestFit="1" customWidth="1"/>
    <col min="5" max="5" width="7.453125" bestFit="1" customWidth="1"/>
    <col min="6" max="6" width="6.81640625" bestFit="1" customWidth="1"/>
    <col min="12" max="12" width="15.453125" bestFit="1" customWidth="1"/>
    <col min="13" max="13" width="14.453125" bestFit="1" customWidth="1"/>
    <col min="14" max="14" width="16.453125" bestFit="1" customWidth="1"/>
    <col min="17" max="17" width="33.81640625" bestFit="1" customWidth="1"/>
    <col min="18" max="18" width="26.453125" bestFit="1" customWidth="1"/>
  </cols>
  <sheetData>
    <row r="1" spans="1:18" ht="16" x14ac:dyDescent="0.4">
      <c r="A1" s="1"/>
      <c r="B1" s="1" t="s">
        <v>22</v>
      </c>
      <c r="C1" s="1" t="s">
        <v>23</v>
      </c>
      <c r="D1" s="1" t="s">
        <v>24</v>
      </c>
      <c r="E1" s="1" t="s">
        <v>25</v>
      </c>
      <c r="F1" s="1" t="s">
        <v>4</v>
      </c>
      <c r="G1" s="1" t="s">
        <v>26</v>
      </c>
      <c r="H1" s="1" t="s">
        <v>8</v>
      </c>
      <c r="I1" s="1" t="s">
        <v>27</v>
      </c>
      <c r="J1" s="1" t="s">
        <v>10</v>
      </c>
      <c r="K1" s="1" t="s">
        <v>28</v>
      </c>
      <c r="L1" s="1" t="s">
        <v>29</v>
      </c>
      <c r="M1" s="1" t="s">
        <v>30</v>
      </c>
      <c r="N1" s="1" t="s">
        <v>31</v>
      </c>
      <c r="O1" s="2"/>
      <c r="P1" s="2"/>
      <c r="Q1" t="s">
        <v>32</v>
      </c>
      <c r="R1" t="s">
        <v>33</v>
      </c>
    </row>
    <row r="2" spans="1:18" ht="16" x14ac:dyDescent="0.4">
      <c r="A2" s="2">
        <v>100654</v>
      </c>
      <c r="B2" s="2" t="s">
        <v>34</v>
      </c>
      <c r="C2" s="2" t="s">
        <v>35</v>
      </c>
      <c r="D2" s="2">
        <v>4975</v>
      </c>
      <c r="E2" s="2">
        <v>60.8</v>
      </c>
      <c r="F2" s="2" t="s">
        <v>36</v>
      </c>
      <c r="G2" s="2" t="s">
        <v>37</v>
      </c>
      <c r="H2" s="2">
        <v>1</v>
      </c>
      <c r="I2" s="2">
        <v>12</v>
      </c>
      <c r="J2" s="2" t="s">
        <v>38</v>
      </c>
      <c r="K2" s="2">
        <v>367</v>
      </c>
      <c r="L2" s="2">
        <v>43.9</v>
      </c>
      <c r="M2" s="2">
        <v>7302839</v>
      </c>
      <c r="N2" s="2">
        <v>3933057</v>
      </c>
      <c r="O2" s="2"/>
      <c r="P2" s="2"/>
      <c r="Q2">
        <f>N2/(K2*(0.01*L2))</f>
        <v>24411.79172382117</v>
      </c>
      <c r="R2">
        <f>M2/(K2*(0.01*(100-L2)))</f>
        <v>35470.131674170778</v>
      </c>
    </row>
    <row r="3" spans="1:18" ht="16" x14ac:dyDescent="0.4">
      <c r="A3" s="2">
        <v>100663</v>
      </c>
      <c r="B3" s="2" t="s">
        <v>39</v>
      </c>
      <c r="C3" s="2" t="s">
        <v>35</v>
      </c>
      <c r="D3" s="2">
        <v>10272</v>
      </c>
      <c r="E3" s="2">
        <v>60.9</v>
      </c>
      <c r="F3" s="2" t="s">
        <v>36</v>
      </c>
      <c r="G3" s="2" t="s">
        <v>37</v>
      </c>
      <c r="H3" s="2">
        <v>1</v>
      </c>
      <c r="I3" s="2">
        <v>38</v>
      </c>
      <c r="J3" s="2" t="s">
        <v>38</v>
      </c>
      <c r="K3" s="2">
        <v>480</v>
      </c>
      <c r="L3" s="2">
        <v>50.6</v>
      </c>
      <c r="M3" s="2">
        <v>18487722</v>
      </c>
      <c r="N3" s="2">
        <v>7206531</v>
      </c>
      <c r="O3" s="2"/>
      <c r="P3" s="2"/>
      <c r="Q3">
        <f t="shared" ref="Q3:Q66" si="0">N3/(K3*(0.01*L3))</f>
        <v>29671.158596837944</v>
      </c>
      <c r="R3">
        <f t="shared" ref="R3:R66" si="1">M3/(K3*(0.01*(100-L3)))</f>
        <v>77967.788461538454</v>
      </c>
    </row>
    <row r="4" spans="1:18" ht="16" x14ac:dyDescent="0.4">
      <c r="A4" s="2">
        <v>100706</v>
      </c>
      <c r="B4" s="2" t="s">
        <v>40</v>
      </c>
      <c r="C4" s="2" t="s">
        <v>35</v>
      </c>
      <c r="D4" s="2">
        <v>6733</v>
      </c>
      <c r="E4" s="2">
        <v>41.9</v>
      </c>
      <c r="F4" s="2" t="s">
        <v>36</v>
      </c>
      <c r="G4" s="2" t="s">
        <v>37</v>
      </c>
      <c r="H4" s="2">
        <v>2</v>
      </c>
      <c r="I4" s="2">
        <v>38</v>
      </c>
      <c r="J4" s="2" t="s">
        <v>41</v>
      </c>
      <c r="K4" s="2">
        <v>489</v>
      </c>
      <c r="L4" s="2">
        <v>40.1</v>
      </c>
      <c r="M4" s="2">
        <v>3769952</v>
      </c>
      <c r="N4" s="2">
        <v>2629713</v>
      </c>
      <c r="O4" s="2"/>
      <c r="P4" s="2"/>
      <c r="Q4">
        <f t="shared" si="0"/>
        <v>13410.81345715466</v>
      </c>
      <c r="R4">
        <f t="shared" si="1"/>
        <v>12870.639887201232</v>
      </c>
    </row>
    <row r="5" spans="1:18" ht="16" x14ac:dyDescent="0.4">
      <c r="A5" s="2">
        <v>100724</v>
      </c>
      <c r="B5" s="2" t="s">
        <v>42</v>
      </c>
      <c r="C5" s="2" t="s">
        <v>35</v>
      </c>
      <c r="D5" s="2">
        <v>3446</v>
      </c>
      <c r="E5" s="2">
        <v>63.5</v>
      </c>
      <c r="F5" s="2" t="s">
        <v>36</v>
      </c>
      <c r="G5" s="2" t="s">
        <v>37</v>
      </c>
      <c r="H5" s="2">
        <v>1</v>
      </c>
      <c r="I5" s="2">
        <v>38</v>
      </c>
      <c r="J5" s="2" t="s">
        <v>38</v>
      </c>
      <c r="K5" s="2">
        <v>416</v>
      </c>
      <c r="L5" s="2">
        <v>38.9</v>
      </c>
      <c r="M5" s="2">
        <v>5736344</v>
      </c>
      <c r="N5" s="2">
        <v>3050309</v>
      </c>
      <c r="O5" s="2"/>
      <c r="P5" s="2"/>
      <c r="Q5">
        <f t="shared" si="0"/>
        <v>18849.546420802846</v>
      </c>
      <c r="R5">
        <f t="shared" si="1"/>
        <v>22568.393554072769</v>
      </c>
    </row>
    <row r="6" spans="1:18" ht="16" x14ac:dyDescent="0.4">
      <c r="A6" s="2">
        <v>100751</v>
      </c>
      <c r="B6" s="2" t="s">
        <v>43</v>
      </c>
      <c r="C6" s="2" t="s">
        <v>35</v>
      </c>
      <c r="D6" s="2">
        <v>29014</v>
      </c>
      <c r="E6" s="2">
        <v>54.8</v>
      </c>
      <c r="F6" s="2" t="s">
        <v>36</v>
      </c>
      <c r="G6" s="2" t="s">
        <v>37</v>
      </c>
      <c r="H6" s="2">
        <v>1</v>
      </c>
      <c r="I6" s="2">
        <v>38</v>
      </c>
      <c r="J6" s="2" t="s">
        <v>38</v>
      </c>
      <c r="K6" s="2">
        <v>786</v>
      </c>
      <c r="L6" s="2">
        <v>54.2</v>
      </c>
      <c r="M6" s="2">
        <v>76650859</v>
      </c>
      <c r="N6" s="2">
        <v>20560656</v>
      </c>
      <c r="O6" s="2"/>
      <c r="P6" s="2"/>
      <c r="Q6">
        <f t="shared" si="0"/>
        <v>48263.091180530122</v>
      </c>
      <c r="R6">
        <f t="shared" si="1"/>
        <v>212926.15031612167</v>
      </c>
    </row>
    <row r="7" spans="1:18" ht="16" x14ac:dyDescent="0.4">
      <c r="A7" s="2">
        <v>100830</v>
      </c>
      <c r="B7" s="2" t="s">
        <v>44</v>
      </c>
      <c r="C7" s="2" t="s">
        <v>35</v>
      </c>
      <c r="D7" s="2">
        <v>3488</v>
      </c>
      <c r="E7" s="2">
        <v>65.099999999999994</v>
      </c>
      <c r="F7" s="2" t="s">
        <v>36</v>
      </c>
      <c r="G7" s="2" t="s">
        <v>37</v>
      </c>
      <c r="H7" s="2">
        <v>2</v>
      </c>
      <c r="I7" s="2">
        <v>38</v>
      </c>
      <c r="J7" s="2" t="s">
        <v>41</v>
      </c>
      <c r="K7" s="2">
        <v>201</v>
      </c>
      <c r="L7" s="2">
        <v>46.3</v>
      </c>
      <c r="M7" s="2">
        <v>1622132</v>
      </c>
      <c r="N7" s="2">
        <v>1966910</v>
      </c>
      <c r="O7" s="2"/>
      <c r="P7" s="2"/>
      <c r="Q7">
        <f t="shared" si="0"/>
        <v>21135.252463385023</v>
      </c>
      <c r="R7">
        <f t="shared" si="1"/>
        <v>15028.50737003993</v>
      </c>
    </row>
    <row r="8" spans="1:18" ht="16" x14ac:dyDescent="0.4">
      <c r="A8" s="2">
        <v>100858</v>
      </c>
      <c r="B8" s="2" t="s">
        <v>45</v>
      </c>
      <c r="C8" s="2" t="s">
        <v>35</v>
      </c>
      <c r="D8" s="2">
        <v>22364</v>
      </c>
      <c r="E8" s="2">
        <v>49.1</v>
      </c>
      <c r="F8" s="2" t="s">
        <v>36</v>
      </c>
      <c r="G8" s="2" t="s">
        <v>37</v>
      </c>
      <c r="H8" s="2">
        <v>1</v>
      </c>
      <c r="I8" s="2">
        <v>38</v>
      </c>
      <c r="J8" s="2" t="s">
        <v>38</v>
      </c>
      <c r="K8" s="2">
        <v>598</v>
      </c>
      <c r="L8" s="2">
        <v>47.7</v>
      </c>
      <c r="M8" s="2">
        <v>67619549</v>
      </c>
      <c r="N8" s="2">
        <v>22213843</v>
      </c>
      <c r="O8" s="2"/>
      <c r="P8" s="2"/>
      <c r="Q8">
        <f t="shared" si="0"/>
        <v>77876.089410543878</v>
      </c>
      <c r="R8">
        <f t="shared" si="1"/>
        <v>216206.82389353932</v>
      </c>
    </row>
    <row r="9" spans="1:18" ht="16" x14ac:dyDescent="0.4">
      <c r="A9" s="2">
        <v>100937</v>
      </c>
      <c r="B9" s="2" t="s">
        <v>46</v>
      </c>
      <c r="C9" s="2" t="s">
        <v>35</v>
      </c>
      <c r="D9" s="2">
        <v>1199</v>
      </c>
      <c r="E9" s="2">
        <v>52.6</v>
      </c>
      <c r="F9" s="2" t="s">
        <v>47</v>
      </c>
      <c r="G9" s="2" t="s">
        <v>37</v>
      </c>
      <c r="H9" s="2">
        <v>3</v>
      </c>
      <c r="I9" s="2">
        <v>14</v>
      </c>
      <c r="J9" s="2" t="s">
        <v>38</v>
      </c>
      <c r="K9" s="2">
        <v>515</v>
      </c>
      <c r="L9" s="2">
        <v>38.299999999999997</v>
      </c>
      <c r="M9" s="2">
        <v>1788177</v>
      </c>
      <c r="N9" s="2">
        <v>1086901</v>
      </c>
      <c r="O9" s="2"/>
      <c r="P9" s="2"/>
      <c r="Q9">
        <f t="shared" si="0"/>
        <v>5510.4109102892344</v>
      </c>
      <c r="R9">
        <f t="shared" si="1"/>
        <v>5627.5337917578008</v>
      </c>
    </row>
    <row r="10" spans="1:18" ht="16" x14ac:dyDescent="0.4">
      <c r="A10" s="2">
        <v>101435</v>
      </c>
      <c r="B10" s="2" t="s">
        <v>48</v>
      </c>
      <c r="C10" s="2" t="s">
        <v>35</v>
      </c>
      <c r="D10" s="2">
        <v>830</v>
      </c>
      <c r="E10" s="2">
        <v>46.7</v>
      </c>
      <c r="F10" s="2" t="s">
        <v>47</v>
      </c>
      <c r="G10" s="2" t="s">
        <v>37</v>
      </c>
      <c r="H10" s="2">
        <v>3</v>
      </c>
      <c r="I10" s="2">
        <v>38</v>
      </c>
      <c r="J10" s="2" t="s">
        <v>38</v>
      </c>
      <c r="K10" s="2">
        <v>465</v>
      </c>
      <c r="L10" s="2">
        <v>35.700000000000003</v>
      </c>
      <c r="M10" s="2">
        <v>1809962</v>
      </c>
      <c r="N10" s="2">
        <v>912615</v>
      </c>
      <c r="O10" s="2"/>
      <c r="P10" s="2"/>
      <c r="Q10">
        <f t="shared" si="0"/>
        <v>5497.5151350862916</v>
      </c>
      <c r="R10">
        <f t="shared" si="1"/>
        <v>6053.4858442448867</v>
      </c>
    </row>
    <row r="11" spans="1:18" ht="16" x14ac:dyDescent="0.4">
      <c r="A11" s="2">
        <v>101480</v>
      </c>
      <c r="B11" s="2" t="s">
        <v>49</v>
      </c>
      <c r="C11" s="2" t="s">
        <v>35</v>
      </c>
      <c r="D11" s="2">
        <v>5759</v>
      </c>
      <c r="E11" s="2">
        <v>59.2</v>
      </c>
      <c r="F11" s="2" t="s">
        <v>36</v>
      </c>
      <c r="G11" s="2" t="s">
        <v>37</v>
      </c>
      <c r="H11" s="2">
        <v>1</v>
      </c>
      <c r="I11" s="2">
        <v>13</v>
      </c>
      <c r="J11" s="2" t="s">
        <v>38</v>
      </c>
      <c r="K11" s="2">
        <v>405</v>
      </c>
      <c r="L11" s="2">
        <v>46.9</v>
      </c>
      <c r="M11" s="2">
        <v>7783858</v>
      </c>
      <c r="N11" s="2">
        <v>4032218</v>
      </c>
      <c r="O11" s="2"/>
      <c r="P11" s="2"/>
      <c r="Q11">
        <f t="shared" si="0"/>
        <v>21228.345047250521</v>
      </c>
      <c r="R11">
        <f t="shared" si="1"/>
        <v>36194.73158029341</v>
      </c>
    </row>
    <row r="12" spans="1:18" ht="16" x14ac:dyDescent="0.4">
      <c r="A12" s="2">
        <v>101587</v>
      </c>
      <c r="B12" s="2" t="s">
        <v>50</v>
      </c>
      <c r="C12" s="2" t="s">
        <v>35</v>
      </c>
      <c r="D12" s="2">
        <v>1883</v>
      </c>
      <c r="E12" s="2">
        <v>61.7</v>
      </c>
      <c r="F12" s="2" t="s">
        <v>36</v>
      </c>
      <c r="G12" s="2" t="s">
        <v>37</v>
      </c>
      <c r="H12" s="2">
        <v>2</v>
      </c>
      <c r="I12" s="2">
        <v>38</v>
      </c>
      <c r="J12" s="2" t="s">
        <v>38</v>
      </c>
      <c r="K12" s="2">
        <v>364</v>
      </c>
      <c r="L12" s="2">
        <v>32.1</v>
      </c>
      <c r="M12" s="2">
        <v>3774499</v>
      </c>
      <c r="N12" s="2">
        <v>2064086</v>
      </c>
      <c r="O12" s="2"/>
      <c r="P12" s="2"/>
      <c r="Q12">
        <f t="shared" si="0"/>
        <v>17665.314436342473</v>
      </c>
      <c r="R12">
        <f t="shared" si="1"/>
        <v>15271.727168266196</v>
      </c>
    </row>
    <row r="13" spans="1:18" ht="16" x14ac:dyDescent="0.4">
      <c r="A13" s="2">
        <v>101675</v>
      </c>
      <c r="B13" s="2" t="s">
        <v>51</v>
      </c>
      <c r="C13" s="2" t="s">
        <v>35</v>
      </c>
      <c r="D13" s="2">
        <v>1388</v>
      </c>
      <c r="E13" s="2">
        <v>49.5</v>
      </c>
      <c r="F13" s="2" t="s">
        <v>47</v>
      </c>
      <c r="G13" s="2" t="s">
        <v>37</v>
      </c>
      <c r="H13" s="2">
        <v>2</v>
      </c>
      <c r="I13" s="2">
        <v>38</v>
      </c>
      <c r="J13" s="2" t="s">
        <v>38</v>
      </c>
      <c r="K13" s="2">
        <v>251</v>
      </c>
      <c r="L13" s="2">
        <v>31.5</v>
      </c>
      <c r="M13" s="2">
        <v>3275017</v>
      </c>
      <c r="N13" s="2">
        <v>1058520</v>
      </c>
      <c r="O13" s="2"/>
      <c r="P13" s="2"/>
      <c r="Q13">
        <f t="shared" si="0"/>
        <v>13387.971921836464</v>
      </c>
      <c r="R13">
        <f t="shared" si="1"/>
        <v>19047.994881786723</v>
      </c>
    </row>
    <row r="14" spans="1:18" ht="16" x14ac:dyDescent="0.4">
      <c r="A14" s="2">
        <v>101709</v>
      </c>
      <c r="B14" s="2" t="s">
        <v>52</v>
      </c>
      <c r="C14" s="2" t="s">
        <v>35</v>
      </c>
      <c r="D14" s="2">
        <v>1995</v>
      </c>
      <c r="E14" s="2">
        <v>65.599999999999994</v>
      </c>
      <c r="F14" s="2" t="s">
        <v>36</v>
      </c>
      <c r="G14" s="2" t="s">
        <v>37</v>
      </c>
      <c r="H14" s="2">
        <v>2</v>
      </c>
      <c r="I14" s="2">
        <v>38</v>
      </c>
      <c r="J14" s="2" t="s">
        <v>41</v>
      </c>
      <c r="K14" s="2">
        <v>518</v>
      </c>
      <c r="L14" s="2">
        <v>41.3</v>
      </c>
      <c r="M14" s="2">
        <v>2495904</v>
      </c>
      <c r="N14" s="2">
        <v>2794752</v>
      </c>
      <c r="O14" s="2"/>
      <c r="P14" s="2"/>
      <c r="Q14">
        <f t="shared" si="0"/>
        <v>13063.617751269083</v>
      </c>
      <c r="R14">
        <f t="shared" si="1"/>
        <v>8208.4284333006635</v>
      </c>
    </row>
    <row r="15" spans="1:18" ht="16" x14ac:dyDescent="0.4">
      <c r="A15" s="2">
        <v>101879</v>
      </c>
      <c r="B15" s="2" t="s">
        <v>53</v>
      </c>
      <c r="C15" s="2" t="s">
        <v>35</v>
      </c>
      <c r="D15" s="2">
        <v>4839</v>
      </c>
      <c r="E15" s="2">
        <v>62.8</v>
      </c>
      <c r="F15" s="2" t="s">
        <v>36</v>
      </c>
      <c r="G15" s="2" t="s">
        <v>37</v>
      </c>
      <c r="H15" s="2">
        <v>1</v>
      </c>
      <c r="I15" s="2">
        <v>38</v>
      </c>
      <c r="J15" s="2" t="s">
        <v>38</v>
      </c>
      <c r="K15" s="2">
        <v>300</v>
      </c>
      <c r="L15" s="2">
        <v>40</v>
      </c>
      <c r="M15" s="2">
        <v>4741261</v>
      </c>
      <c r="N15" s="2">
        <v>2953694</v>
      </c>
      <c r="O15" s="2"/>
      <c r="P15" s="2"/>
      <c r="Q15">
        <f t="shared" si="0"/>
        <v>24614.116666666665</v>
      </c>
      <c r="R15">
        <f t="shared" si="1"/>
        <v>26340.338888888888</v>
      </c>
    </row>
    <row r="16" spans="1:18" ht="16" x14ac:dyDescent="0.4">
      <c r="A16" s="2">
        <v>102049</v>
      </c>
      <c r="B16" s="2" t="s">
        <v>54</v>
      </c>
      <c r="C16" s="2" t="s">
        <v>35</v>
      </c>
      <c r="D16" s="2">
        <v>3508</v>
      </c>
      <c r="E16" s="2">
        <v>66.7</v>
      </c>
      <c r="F16" s="2" t="s">
        <v>47</v>
      </c>
      <c r="G16" s="2" t="s">
        <v>37</v>
      </c>
      <c r="H16" s="2">
        <v>1</v>
      </c>
      <c r="I16" s="2">
        <v>38</v>
      </c>
      <c r="J16" s="2" t="s">
        <v>38</v>
      </c>
      <c r="K16" s="2">
        <v>386</v>
      </c>
      <c r="L16" s="2">
        <v>37.299999999999997</v>
      </c>
      <c r="M16" s="2">
        <v>10299441</v>
      </c>
      <c r="N16" s="2">
        <v>5963657</v>
      </c>
      <c r="O16" s="2"/>
      <c r="P16" s="2"/>
      <c r="Q16">
        <f t="shared" si="0"/>
        <v>41420.612871410907</v>
      </c>
      <c r="R16">
        <f t="shared" si="1"/>
        <v>42555.804844187718</v>
      </c>
    </row>
    <row r="17" spans="1:18" ht="16" x14ac:dyDescent="0.4">
      <c r="A17" s="2">
        <v>102094</v>
      </c>
      <c r="B17" s="2" t="s">
        <v>55</v>
      </c>
      <c r="C17" s="2" t="s">
        <v>35</v>
      </c>
      <c r="D17" s="2">
        <v>8057</v>
      </c>
      <c r="E17" s="2">
        <v>60.3</v>
      </c>
      <c r="F17" s="2" t="s">
        <v>36</v>
      </c>
      <c r="G17" s="2" t="s">
        <v>37</v>
      </c>
      <c r="H17" s="2">
        <v>1</v>
      </c>
      <c r="I17" s="2">
        <v>38</v>
      </c>
      <c r="J17" s="2" t="s">
        <v>38</v>
      </c>
      <c r="K17" s="2">
        <v>468</v>
      </c>
      <c r="L17" s="2">
        <v>38.5</v>
      </c>
      <c r="M17" s="2">
        <v>13846680</v>
      </c>
      <c r="N17" s="2">
        <v>5547468</v>
      </c>
      <c r="O17" s="2"/>
      <c r="P17" s="2"/>
      <c r="Q17">
        <f t="shared" si="0"/>
        <v>30788.478188478188</v>
      </c>
      <c r="R17">
        <f t="shared" si="1"/>
        <v>48108.818011257034</v>
      </c>
    </row>
    <row r="18" spans="1:18" ht="16" x14ac:dyDescent="0.4">
      <c r="A18" s="2">
        <v>102234</v>
      </c>
      <c r="B18" s="2" t="s">
        <v>56</v>
      </c>
      <c r="C18" s="2" t="s">
        <v>35</v>
      </c>
      <c r="D18" s="2">
        <v>1143</v>
      </c>
      <c r="E18" s="2">
        <v>62.5</v>
      </c>
      <c r="F18" s="2" t="s">
        <v>47</v>
      </c>
      <c r="G18" s="2" t="s">
        <v>37</v>
      </c>
      <c r="H18" s="2">
        <v>2</v>
      </c>
      <c r="I18" s="2">
        <v>38</v>
      </c>
      <c r="J18" s="2" t="s">
        <v>41</v>
      </c>
      <c r="K18" s="2">
        <v>359</v>
      </c>
      <c r="L18" s="2">
        <v>55.4</v>
      </c>
      <c r="M18" s="2">
        <v>2382267</v>
      </c>
      <c r="N18" s="2">
        <v>2510032</v>
      </c>
      <c r="O18" s="2"/>
      <c r="P18" s="2"/>
      <c r="Q18">
        <f t="shared" si="0"/>
        <v>12620.455939583479</v>
      </c>
      <c r="R18">
        <f t="shared" si="1"/>
        <v>14878.567770463544</v>
      </c>
    </row>
    <row r="19" spans="1:18" ht="16" x14ac:dyDescent="0.4">
      <c r="A19" s="2">
        <v>102368</v>
      </c>
      <c r="B19" s="2" t="s">
        <v>57</v>
      </c>
      <c r="C19" s="2" t="s">
        <v>35</v>
      </c>
      <c r="D19" s="2">
        <v>8687</v>
      </c>
      <c r="E19" s="2">
        <v>62.2</v>
      </c>
      <c r="F19" s="2" t="s">
        <v>36</v>
      </c>
      <c r="G19" s="2" t="s">
        <v>37</v>
      </c>
      <c r="H19" s="2">
        <v>1</v>
      </c>
      <c r="I19" s="2">
        <v>38</v>
      </c>
      <c r="J19" s="2" t="s">
        <v>38</v>
      </c>
      <c r="K19" s="2">
        <v>462</v>
      </c>
      <c r="L19" s="2">
        <v>41.6</v>
      </c>
      <c r="M19" s="2">
        <v>12210299</v>
      </c>
      <c r="N19" s="2">
        <v>5363350</v>
      </c>
      <c r="O19" s="2"/>
      <c r="P19" s="2"/>
      <c r="Q19">
        <f t="shared" si="0"/>
        <v>27906.208374958373</v>
      </c>
      <c r="R19">
        <f t="shared" si="1"/>
        <v>45255.511326572974</v>
      </c>
    </row>
    <row r="20" spans="1:18" ht="16" x14ac:dyDescent="0.4">
      <c r="A20" s="2">
        <v>102377</v>
      </c>
      <c r="B20" s="2" t="s">
        <v>58</v>
      </c>
      <c r="C20" s="2" t="s">
        <v>35</v>
      </c>
      <c r="D20" s="2">
        <v>2254</v>
      </c>
      <c r="E20" s="2">
        <v>64</v>
      </c>
      <c r="F20" s="2" t="s">
        <v>47</v>
      </c>
      <c r="G20" s="2" t="s">
        <v>37</v>
      </c>
      <c r="H20" s="2">
        <v>2</v>
      </c>
      <c r="I20" s="2">
        <v>7</v>
      </c>
      <c r="J20" s="2" t="s">
        <v>38</v>
      </c>
      <c r="K20" s="2">
        <v>272</v>
      </c>
      <c r="L20" s="2">
        <v>36.4</v>
      </c>
      <c r="M20" s="2">
        <v>2897980</v>
      </c>
      <c r="N20" s="2">
        <v>991156</v>
      </c>
      <c r="O20" s="2"/>
      <c r="P20" s="2"/>
      <c r="Q20">
        <f t="shared" si="0"/>
        <v>10010.867808661927</v>
      </c>
      <c r="R20">
        <f t="shared" si="1"/>
        <v>16752.104143544209</v>
      </c>
    </row>
    <row r="21" spans="1:18" ht="16" x14ac:dyDescent="0.4">
      <c r="A21" s="2">
        <v>102553</v>
      </c>
      <c r="B21" s="2" t="s">
        <v>59</v>
      </c>
      <c r="C21" s="2" t="s">
        <v>60</v>
      </c>
      <c r="D21" s="2">
        <v>5070</v>
      </c>
      <c r="E21" s="2">
        <v>53.9</v>
      </c>
      <c r="F21" s="2" t="s">
        <v>36</v>
      </c>
      <c r="G21" s="2" t="s">
        <v>37</v>
      </c>
      <c r="H21" s="2">
        <v>2</v>
      </c>
      <c r="I21" s="2">
        <v>38</v>
      </c>
      <c r="J21" s="2" t="s">
        <v>41</v>
      </c>
      <c r="K21" s="2">
        <v>183</v>
      </c>
      <c r="L21" s="2">
        <v>54.6</v>
      </c>
      <c r="M21" s="2">
        <v>4014298</v>
      </c>
      <c r="N21" s="2">
        <v>3364765</v>
      </c>
      <c r="O21" s="2"/>
      <c r="P21" s="2"/>
      <c r="Q21">
        <f t="shared" si="0"/>
        <v>33675.263716247318</v>
      </c>
      <c r="R21">
        <f t="shared" si="1"/>
        <v>48317.300979754938</v>
      </c>
    </row>
    <row r="22" spans="1:18" ht="16" x14ac:dyDescent="0.4">
      <c r="A22" s="2">
        <v>102614</v>
      </c>
      <c r="B22" s="2" t="s">
        <v>61</v>
      </c>
      <c r="C22" s="2" t="s">
        <v>60</v>
      </c>
      <c r="D22" s="2">
        <v>2520</v>
      </c>
      <c r="E22" s="2">
        <v>51.6</v>
      </c>
      <c r="F22" s="2" t="s">
        <v>36</v>
      </c>
      <c r="G22" s="2" t="s">
        <v>37</v>
      </c>
      <c r="H22" s="2">
        <v>2</v>
      </c>
      <c r="I22" s="2">
        <v>38</v>
      </c>
      <c r="J22" s="2" t="s">
        <v>41</v>
      </c>
      <c r="K22" s="2">
        <v>132</v>
      </c>
      <c r="L22" s="2">
        <v>49.2</v>
      </c>
      <c r="M22" s="2">
        <v>3441952</v>
      </c>
      <c r="N22" s="2">
        <v>1911209</v>
      </c>
      <c r="O22" s="2"/>
      <c r="P22" s="2"/>
      <c r="Q22">
        <f t="shared" si="0"/>
        <v>29428.569228874105</v>
      </c>
      <c r="R22">
        <f t="shared" si="1"/>
        <v>51329.51562872823</v>
      </c>
    </row>
    <row r="23" spans="1:18" ht="16" x14ac:dyDescent="0.4">
      <c r="A23" s="2">
        <v>104151</v>
      </c>
      <c r="B23" s="2" t="s">
        <v>62</v>
      </c>
      <c r="C23" s="2" t="s">
        <v>63</v>
      </c>
      <c r="D23" s="2">
        <v>40958</v>
      </c>
      <c r="E23" s="2">
        <v>45.2</v>
      </c>
      <c r="F23" s="2" t="s">
        <v>36</v>
      </c>
      <c r="G23" s="2" t="s">
        <v>37</v>
      </c>
      <c r="H23" s="2">
        <v>1</v>
      </c>
      <c r="I23" s="2">
        <v>17</v>
      </c>
      <c r="J23" s="2" t="s">
        <v>38</v>
      </c>
      <c r="K23" s="2">
        <v>762</v>
      </c>
      <c r="L23" s="2">
        <v>49.5</v>
      </c>
      <c r="M23" s="2">
        <v>54215606</v>
      </c>
      <c r="N23" s="2">
        <v>20123803</v>
      </c>
      <c r="O23" s="2"/>
      <c r="P23" s="2"/>
      <c r="Q23">
        <f t="shared" si="0"/>
        <v>53351.899573159419</v>
      </c>
      <c r="R23">
        <f t="shared" si="1"/>
        <v>140889.28562147554</v>
      </c>
    </row>
    <row r="24" spans="1:18" ht="16" x14ac:dyDescent="0.4">
      <c r="A24" s="2">
        <v>104179</v>
      </c>
      <c r="B24" s="2" t="s">
        <v>64</v>
      </c>
      <c r="C24" s="2" t="s">
        <v>63</v>
      </c>
      <c r="D24" s="2">
        <v>28902</v>
      </c>
      <c r="E24" s="2">
        <v>53.9</v>
      </c>
      <c r="F24" s="2" t="s">
        <v>36</v>
      </c>
      <c r="G24" s="2" t="s">
        <v>37</v>
      </c>
      <c r="H24" s="2">
        <v>1</v>
      </c>
      <c r="I24" s="2">
        <v>38</v>
      </c>
      <c r="J24" s="2" t="s">
        <v>38</v>
      </c>
      <c r="K24" s="2">
        <v>559</v>
      </c>
      <c r="L24" s="2">
        <v>47.6</v>
      </c>
      <c r="M24" s="2">
        <v>39589852</v>
      </c>
      <c r="N24" s="2">
        <v>15985381</v>
      </c>
      <c r="O24" s="2"/>
      <c r="P24" s="2"/>
      <c r="Q24">
        <f t="shared" si="0"/>
        <v>60076.445784038122</v>
      </c>
      <c r="R24">
        <f t="shared" si="1"/>
        <v>135157.69708721954</v>
      </c>
    </row>
    <row r="25" spans="1:18" ht="16" x14ac:dyDescent="0.4">
      <c r="A25" s="2">
        <v>104717</v>
      </c>
      <c r="B25" s="2" t="s">
        <v>65</v>
      </c>
      <c r="C25" s="2" t="s">
        <v>63</v>
      </c>
      <c r="D25" s="2">
        <v>18370</v>
      </c>
      <c r="E25" s="2">
        <v>62</v>
      </c>
      <c r="F25" s="2" t="s">
        <v>47</v>
      </c>
      <c r="G25" s="2" t="s">
        <v>37</v>
      </c>
      <c r="H25" s="2">
        <v>1</v>
      </c>
      <c r="I25" s="2">
        <v>38</v>
      </c>
      <c r="J25" s="2" t="s">
        <v>41</v>
      </c>
      <c r="K25" s="2">
        <v>571</v>
      </c>
      <c r="L25" s="2">
        <v>48.5</v>
      </c>
      <c r="M25" s="2">
        <v>10431410</v>
      </c>
      <c r="N25" s="2">
        <v>7614284</v>
      </c>
      <c r="O25" s="2"/>
      <c r="P25" s="2"/>
      <c r="Q25">
        <f t="shared" si="0"/>
        <v>27494.841749869101</v>
      </c>
      <c r="R25">
        <f t="shared" si="1"/>
        <v>35473.143692720994</v>
      </c>
    </row>
    <row r="26" spans="1:18" ht="16" x14ac:dyDescent="0.4">
      <c r="A26" s="2">
        <v>105330</v>
      </c>
      <c r="B26" s="2" t="s">
        <v>66</v>
      </c>
      <c r="C26" s="2" t="s">
        <v>63</v>
      </c>
      <c r="D26" s="2">
        <v>21730</v>
      </c>
      <c r="E26" s="2">
        <v>61.9</v>
      </c>
      <c r="F26" s="2" t="s">
        <v>36</v>
      </c>
      <c r="G26" s="2" t="s">
        <v>37</v>
      </c>
      <c r="H26" s="2">
        <v>1</v>
      </c>
      <c r="I26" s="2">
        <v>10</v>
      </c>
      <c r="J26" s="2" t="s">
        <v>38</v>
      </c>
      <c r="K26" s="2">
        <v>409</v>
      </c>
      <c r="L26" s="2">
        <v>46.5</v>
      </c>
      <c r="M26" s="2">
        <v>7989215</v>
      </c>
      <c r="N26" s="2">
        <v>6699998</v>
      </c>
      <c r="O26" s="2"/>
      <c r="P26" s="2"/>
      <c r="Q26">
        <f t="shared" si="0"/>
        <v>35228.845597707492</v>
      </c>
      <c r="R26">
        <f t="shared" si="1"/>
        <v>36511.276649224223</v>
      </c>
    </row>
    <row r="27" spans="1:18" ht="16" x14ac:dyDescent="0.4">
      <c r="A27" s="2">
        <v>106245</v>
      </c>
      <c r="B27" s="2" t="s">
        <v>67</v>
      </c>
      <c r="C27" s="2" t="s">
        <v>68</v>
      </c>
      <c r="D27" s="2">
        <v>3652</v>
      </c>
      <c r="E27" s="2">
        <v>59.8</v>
      </c>
      <c r="F27" s="2" t="s">
        <v>36</v>
      </c>
      <c r="G27" s="2" t="s">
        <v>37</v>
      </c>
      <c r="H27" s="2">
        <v>1</v>
      </c>
      <c r="I27" s="2">
        <v>37</v>
      </c>
      <c r="J27" s="2" t="s">
        <v>41</v>
      </c>
      <c r="K27" s="2">
        <v>305</v>
      </c>
      <c r="L27" s="2">
        <v>50.2</v>
      </c>
      <c r="M27" s="2">
        <v>4729110</v>
      </c>
      <c r="N27" s="2">
        <v>4716829</v>
      </c>
      <c r="O27" s="2"/>
      <c r="P27" s="2"/>
      <c r="Q27">
        <f t="shared" si="0"/>
        <v>30806.799033374697</v>
      </c>
      <c r="R27">
        <f t="shared" si="1"/>
        <v>31135.097768121668</v>
      </c>
    </row>
    <row r="28" spans="1:18" ht="16" x14ac:dyDescent="0.4">
      <c r="A28" s="2">
        <v>106397</v>
      </c>
      <c r="B28" s="2" t="s">
        <v>69</v>
      </c>
      <c r="C28" s="2" t="s">
        <v>68</v>
      </c>
      <c r="D28" s="2">
        <v>20483</v>
      </c>
      <c r="E28" s="2">
        <v>54.2</v>
      </c>
      <c r="F28" s="2" t="s">
        <v>36</v>
      </c>
      <c r="G28" s="2" t="s">
        <v>37</v>
      </c>
      <c r="H28" s="2">
        <v>1</v>
      </c>
      <c r="I28" s="2">
        <v>36</v>
      </c>
      <c r="J28" s="2" t="s">
        <v>38</v>
      </c>
      <c r="K28" s="2">
        <v>495</v>
      </c>
      <c r="L28" s="2">
        <v>46.5</v>
      </c>
      <c r="M28" s="2">
        <v>64408042</v>
      </c>
      <c r="N28" s="2">
        <v>21039305</v>
      </c>
      <c r="O28" s="2"/>
      <c r="P28" s="2"/>
      <c r="Q28">
        <f t="shared" si="0"/>
        <v>91405.691321820355</v>
      </c>
      <c r="R28">
        <f t="shared" si="1"/>
        <v>243209.82535636742</v>
      </c>
    </row>
    <row r="29" spans="1:18" ht="16" x14ac:dyDescent="0.4">
      <c r="A29" s="2">
        <v>106412</v>
      </c>
      <c r="B29" s="2" t="s">
        <v>70</v>
      </c>
      <c r="C29" s="2" t="s">
        <v>68</v>
      </c>
      <c r="D29" s="2">
        <v>2161</v>
      </c>
      <c r="E29" s="2">
        <v>59</v>
      </c>
      <c r="F29" s="2" t="s">
        <v>36</v>
      </c>
      <c r="G29" s="2" t="s">
        <v>37</v>
      </c>
      <c r="H29" s="2">
        <v>1</v>
      </c>
      <c r="I29" s="2">
        <v>38</v>
      </c>
      <c r="J29" s="2" t="s">
        <v>38</v>
      </c>
      <c r="K29" s="2">
        <v>271</v>
      </c>
      <c r="L29" s="2">
        <v>39.9</v>
      </c>
      <c r="M29" s="2">
        <v>4016674</v>
      </c>
      <c r="N29" s="2">
        <v>1977422</v>
      </c>
      <c r="O29" s="2"/>
      <c r="P29" s="2"/>
      <c r="Q29">
        <f t="shared" si="0"/>
        <v>18287.619417547558</v>
      </c>
      <c r="R29">
        <f t="shared" si="1"/>
        <v>24661.689312400613</v>
      </c>
    </row>
    <row r="30" spans="1:18" ht="16" x14ac:dyDescent="0.4">
      <c r="A30" s="2">
        <v>106458</v>
      </c>
      <c r="B30" s="2" t="s">
        <v>71</v>
      </c>
      <c r="C30" s="2" t="s">
        <v>68</v>
      </c>
      <c r="D30" s="2">
        <v>6385</v>
      </c>
      <c r="E30" s="2">
        <v>57.6</v>
      </c>
      <c r="F30" s="2" t="s">
        <v>36</v>
      </c>
      <c r="G30" s="2" t="s">
        <v>37</v>
      </c>
      <c r="H30" s="2">
        <v>1</v>
      </c>
      <c r="I30" s="2">
        <v>9</v>
      </c>
      <c r="J30" s="2" t="s">
        <v>38</v>
      </c>
      <c r="K30" s="2">
        <v>468</v>
      </c>
      <c r="L30" s="2">
        <v>43.2</v>
      </c>
      <c r="M30" s="2">
        <v>10523132</v>
      </c>
      <c r="N30" s="2">
        <v>4825850</v>
      </c>
      <c r="O30" s="2"/>
      <c r="P30" s="2"/>
      <c r="Q30">
        <f t="shared" si="0"/>
        <v>23869.549303577078</v>
      </c>
      <c r="R30">
        <f t="shared" si="1"/>
        <v>39586.839412543646</v>
      </c>
    </row>
    <row r="31" spans="1:18" ht="16" x14ac:dyDescent="0.4">
      <c r="A31" s="2">
        <v>106467</v>
      </c>
      <c r="B31" s="2" t="s">
        <v>72</v>
      </c>
      <c r="C31" s="2" t="s">
        <v>68</v>
      </c>
      <c r="D31" s="2">
        <v>6548</v>
      </c>
      <c r="E31" s="2">
        <v>52.6</v>
      </c>
      <c r="F31" s="2" t="s">
        <v>36</v>
      </c>
      <c r="G31" s="2" t="s">
        <v>37</v>
      </c>
      <c r="H31" s="2">
        <v>2</v>
      </c>
      <c r="I31" s="2">
        <v>38</v>
      </c>
      <c r="J31" s="2" t="s">
        <v>38</v>
      </c>
      <c r="K31" s="2">
        <v>303</v>
      </c>
      <c r="L31" s="2">
        <v>29.4</v>
      </c>
      <c r="M31" s="2">
        <v>2437765</v>
      </c>
      <c r="N31" s="2">
        <v>1672822</v>
      </c>
      <c r="O31" s="2"/>
      <c r="P31" s="2"/>
      <c r="Q31">
        <f t="shared" si="0"/>
        <v>18778.451314519207</v>
      </c>
      <c r="R31">
        <f t="shared" si="1"/>
        <v>11395.791845473501</v>
      </c>
    </row>
    <row r="32" spans="1:18" ht="16" x14ac:dyDescent="0.4">
      <c r="A32" s="2">
        <v>106485</v>
      </c>
      <c r="B32" s="2" t="s">
        <v>73</v>
      </c>
      <c r="C32" s="2" t="s">
        <v>68</v>
      </c>
      <c r="D32" s="2">
        <v>1777</v>
      </c>
      <c r="E32" s="2">
        <v>54.2</v>
      </c>
      <c r="F32" s="2" t="s">
        <v>36</v>
      </c>
      <c r="G32" s="2" t="s">
        <v>37</v>
      </c>
      <c r="H32" s="2">
        <v>2</v>
      </c>
      <c r="I32" s="2">
        <v>38</v>
      </c>
      <c r="J32" s="2" t="s">
        <v>38</v>
      </c>
      <c r="K32" s="2">
        <v>247</v>
      </c>
      <c r="L32" s="2">
        <v>25.9</v>
      </c>
      <c r="M32" s="2">
        <v>2019965</v>
      </c>
      <c r="N32" s="2">
        <v>917644</v>
      </c>
      <c r="O32" s="2"/>
      <c r="P32" s="2"/>
      <c r="Q32">
        <f t="shared" si="0"/>
        <v>14344.238975817923</v>
      </c>
      <c r="R32">
        <f t="shared" si="1"/>
        <v>11036.431783288805</v>
      </c>
    </row>
    <row r="33" spans="1:18" ht="16" x14ac:dyDescent="0.4">
      <c r="A33" s="2">
        <v>106704</v>
      </c>
      <c r="B33" s="2" t="s">
        <v>74</v>
      </c>
      <c r="C33" s="2" t="s">
        <v>68</v>
      </c>
      <c r="D33" s="2">
        <v>7597</v>
      </c>
      <c r="E33" s="2">
        <v>61.7</v>
      </c>
      <c r="F33" s="2" t="s">
        <v>36</v>
      </c>
      <c r="G33" s="2" t="s">
        <v>37</v>
      </c>
      <c r="H33" s="2">
        <v>1</v>
      </c>
      <c r="I33" s="2">
        <v>38</v>
      </c>
      <c r="J33" s="2" t="s">
        <v>38</v>
      </c>
      <c r="K33" s="2">
        <v>522</v>
      </c>
      <c r="L33" s="2">
        <v>38.9</v>
      </c>
      <c r="M33" s="2">
        <v>6198614</v>
      </c>
      <c r="N33" s="2">
        <v>3648291</v>
      </c>
      <c r="O33" s="2"/>
      <c r="P33" s="2"/>
      <c r="Q33">
        <f t="shared" si="0"/>
        <v>17966.743492007212</v>
      </c>
      <c r="R33">
        <f t="shared" si="1"/>
        <v>19434.925472342933</v>
      </c>
    </row>
    <row r="34" spans="1:18" ht="16" x14ac:dyDescent="0.4">
      <c r="A34" s="2">
        <v>107044</v>
      </c>
      <c r="B34" s="2" t="s">
        <v>75</v>
      </c>
      <c r="C34" s="2" t="s">
        <v>68</v>
      </c>
      <c r="D34" s="2">
        <v>3532</v>
      </c>
      <c r="E34" s="2">
        <v>54.9</v>
      </c>
      <c r="F34" s="2" t="s">
        <v>47</v>
      </c>
      <c r="G34" s="2" t="s">
        <v>37</v>
      </c>
      <c r="H34" s="2">
        <v>2</v>
      </c>
      <c r="I34" s="2">
        <v>38</v>
      </c>
      <c r="J34" s="2" t="s">
        <v>38</v>
      </c>
      <c r="K34" s="2">
        <v>584</v>
      </c>
      <c r="L34" s="2">
        <v>36.299999999999997</v>
      </c>
      <c r="M34" s="2">
        <v>3611207</v>
      </c>
      <c r="N34" s="2">
        <v>2166300</v>
      </c>
      <c r="O34" s="2"/>
      <c r="P34" s="2"/>
      <c r="Q34">
        <f t="shared" si="0"/>
        <v>10218.781840824182</v>
      </c>
      <c r="R34">
        <f t="shared" si="1"/>
        <v>9707.3369389905602</v>
      </c>
    </row>
    <row r="35" spans="1:18" ht="16" x14ac:dyDescent="0.4">
      <c r="A35" s="2">
        <v>107071</v>
      </c>
      <c r="B35" s="2" t="s">
        <v>76</v>
      </c>
      <c r="C35" s="2" t="s">
        <v>68</v>
      </c>
      <c r="D35" s="2">
        <v>2695</v>
      </c>
      <c r="E35" s="2">
        <v>56.7</v>
      </c>
      <c r="F35" s="2" t="s">
        <v>36</v>
      </c>
      <c r="G35" s="2" t="s">
        <v>37</v>
      </c>
      <c r="H35" s="2">
        <v>2</v>
      </c>
      <c r="I35" s="2">
        <v>10</v>
      </c>
      <c r="J35" s="2" t="s">
        <v>38</v>
      </c>
      <c r="K35" s="2">
        <v>376</v>
      </c>
      <c r="L35" s="2">
        <v>31.6</v>
      </c>
      <c r="M35" s="2">
        <v>2392924</v>
      </c>
      <c r="N35" s="2">
        <v>1463722</v>
      </c>
      <c r="O35" s="2"/>
      <c r="P35" s="2"/>
      <c r="Q35">
        <f t="shared" si="0"/>
        <v>12319.233099919202</v>
      </c>
      <c r="R35">
        <f t="shared" si="1"/>
        <v>9304.3268632574327</v>
      </c>
    </row>
    <row r="36" spans="1:18" ht="16" x14ac:dyDescent="0.4">
      <c r="A36" s="2">
        <v>107080</v>
      </c>
      <c r="B36" s="2" t="s">
        <v>77</v>
      </c>
      <c r="C36" s="2" t="s">
        <v>68</v>
      </c>
      <c r="D36" s="2">
        <v>1101</v>
      </c>
      <c r="E36" s="2">
        <v>52.2</v>
      </c>
      <c r="F36" s="2" t="s">
        <v>47</v>
      </c>
      <c r="G36" s="2" t="s">
        <v>37</v>
      </c>
      <c r="H36" s="2">
        <v>3</v>
      </c>
      <c r="I36" s="2">
        <v>38</v>
      </c>
      <c r="J36" s="2" t="s">
        <v>38</v>
      </c>
      <c r="K36" s="2">
        <v>448</v>
      </c>
      <c r="L36" s="2">
        <v>40.6</v>
      </c>
      <c r="M36" s="2">
        <v>1109680</v>
      </c>
      <c r="N36" s="2">
        <v>717971</v>
      </c>
      <c r="O36" s="2"/>
      <c r="P36" s="2"/>
      <c r="Q36">
        <f t="shared" si="0"/>
        <v>3947.324727304715</v>
      </c>
      <c r="R36">
        <f t="shared" si="1"/>
        <v>4169.9735449735454</v>
      </c>
    </row>
    <row r="37" spans="1:18" ht="16" x14ac:dyDescent="0.4">
      <c r="A37" s="2">
        <v>107512</v>
      </c>
      <c r="B37" s="2" t="s">
        <v>78</v>
      </c>
      <c r="C37" s="2" t="s">
        <v>68</v>
      </c>
      <c r="D37" s="2">
        <v>1504</v>
      </c>
      <c r="E37" s="2">
        <v>57.6</v>
      </c>
      <c r="F37" s="2" t="s">
        <v>47</v>
      </c>
      <c r="G37" s="2" t="s">
        <v>37</v>
      </c>
      <c r="H37" s="2">
        <v>2</v>
      </c>
      <c r="I37" s="2">
        <v>38</v>
      </c>
      <c r="J37" s="2" t="s">
        <v>38</v>
      </c>
      <c r="K37" s="2">
        <v>395</v>
      </c>
      <c r="L37" s="2">
        <v>33.9</v>
      </c>
      <c r="M37" s="2">
        <v>4153964</v>
      </c>
      <c r="N37" s="2">
        <v>1689894</v>
      </c>
      <c r="O37" s="2"/>
      <c r="P37" s="2"/>
      <c r="Q37">
        <f t="shared" si="0"/>
        <v>12620.096336955305</v>
      </c>
      <c r="R37">
        <f t="shared" si="1"/>
        <v>15909.779965146787</v>
      </c>
    </row>
    <row r="38" spans="1:18" ht="16" x14ac:dyDescent="0.4">
      <c r="A38" s="2">
        <v>107558</v>
      </c>
      <c r="B38" s="2" t="s">
        <v>79</v>
      </c>
      <c r="C38" s="2" t="s">
        <v>68</v>
      </c>
      <c r="D38" s="2">
        <v>809</v>
      </c>
      <c r="E38" s="2">
        <v>50.9</v>
      </c>
      <c r="F38" s="2" t="s">
        <v>47</v>
      </c>
      <c r="G38" s="2" t="s">
        <v>37</v>
      </c>
      <c r="H38" s="2">
        <v>3</v>
      </c>
      <c r="I38" s="2">
        <v>9</v>
      </c>
      <c r="J38" s="2" t="s">
        <v>41</v>
      </c>
      <c r="K38" s="2">
        <v>300</v>
      </c>
      <c r="L38" s="2">
        <v>32.299999999999997</v>
      </c>
      <c r="M38" s="2">
        <v>655150</v>
      </c>
      <c r="N38" s="2">
        <v>443549</v>
      </c>
      <c r="O38" s="2"/>
      <c r="P38" s="2"/>
      <c r="Q38">
        <f t="shared" si="0"/>
        <v>4577.3890608875136</v>
      </c>
      <c r="R38">
        <f t="shared" si="1"/>
        <v>3225.7508616445098</v>
      </c>
    </row>
    <row r="39" spans="1:18" ht="16" x14ac:dyDescent="0.4">
      <c r="A39" s="2">
        <v>107983</v>
      </c>
      <c r="B39" s="2" t="s">
        <v>80</v>
      </c>
      <c r="C39" s="2" t="s">
        <v>68</v>
      </c>
      <c r="D39" s="2">
        <v>2988</v>
      </c>
      <c r="E39" s="2">
        <v>55</v>
      </c>
      <c r="F39" s="2" t="s">
        <v>36</v>
      </c>
      <c r="G39" s="2" t="s">
        <v>37</v>
      </c>
      <c r="H39" s="2">
        <v>2</v>
      </c>
      <c r="I39" s="2">
        <v>38</v>
      </c>
      <c r="J39" s="2" t="s">
        <v>38</v>
      </c>
      <c r="K39" s="2">
        <v>507</v>
      </c>
      <c r="L39" s="2">
        <v>37.299999999999997</v>
      </c>
      <c r="M39" s="2">
        <v>2188753</v>
      </c>
      <c r="N39" s="2">
        <v>1496767</v>
      </c>
      <c r="O39" s="2"/>
      <c r="P39" s="2"/>
      <c r="Q39">
        <f t="shared" si="0"/>
        <v>7914.7537689505107</v>
      </c>
      <c r="R39">
        <f t="shared" si="1"/>
        <v>6885.2744196873746</v>
      </c>
    </row>
    <row r="40" spans="1:18" ht="16" x14ac:dyDescent="0.4">
      <c r="A40" s="2">
        <v>108092</v>
      </c>
      <c r="B40" s="2" t="s">
        <v>81</v>
      </c>
      <c r="C40" s="2" t="s">
        <v>68</v>
      </c>
      <c r="D40" s="2">
        <v>3883</v>
      </c>
      <c r="E40" s="2">
        <v>60.7</v>
      </c>
      <c r="F40" s="2" t="s">
        <v>36</v>
      </c>
      <c r="G40" s="2" t="s">
        <v>37</v>
      </c>
      <c r="H40" s="2">
        <v>2</v>
      </c>
      <c r="I40" s="2">
        <v>6</v>
      </c>
      <c r="J40" s="2" t="s">
        <v>41</v>
      </c>
      <c r="K40" s="2">
        <v>137</v>
      </c>
      <c r="L40" s="2">
        <v>37.200000000000003</v>
      </c>
      <c r="M40" s="2">
        <v>1400208</v>
      </c>
      <c r="N40" s="2">
        <v>1196728</v>
      </c>
      <c r="O40" s="2"/>
      <c r="P40" s="2"/>
      <c r="Q40">
        <f t="shared" si="0"/>
        <v>23481.830311592494</v>
      </c>
      <c r="R40">
        <f t="shared" si="1"/>
        <v>16274.675717141661</v>
      </c>
    </row>
    <row r="41" spans="1:18" ht="16" x14ac:dyDescent="0.4">
      <c r="A41" s="2">
        <v>108232</v>
      </c>
      <c r="B41" s="2" t="s">
        <v>82</v>
      </c>
      <c r="C41" s="2" t="s">
        <v>60</v>
      </c>
      <c r="D41" s="2">
        <v>3748</v>
      </c>
      <c r="E41" s="2">
        <v>53.1</v>
      </c>
      <c r="F41" s="2" t="s">
        <v>47</v>
      </c>
      <c r="G41" s="2" t="s">
        <v>37</v>
      </c>
      <c r="H41" s="2">
        <v>2</v>
      </c>
      <c r="I41" s="2">
        <v>8</v>
      </c>
      <c r="J41" s="2" t="s">
        <v>41</v>
      </c>
      <c r="K41" s="2">
        <v>330</v>
      </c>
      <c r="L41" s="2">
        <v>49.1</v>
      </c>
      <c r="M41" s="2">
        <v>3311351</v>
      </c>
      <c r="N41" s="2">
        <v>3945926</v>
      </c>
      <c r="O41" s="2"/>
      <c r="P41" s="2"/>
      <c r="Q41">
        <f t="shared" si="0"/>
        <v>24353.058075664994</v>
      </c>
      <c r="R41">
        <f t="shared" si="1"/>
        <v>19713.942966005834</v>
      </c>
    </row>
    <row r="42" spans="1:18" ht="16" x14ac:dyDescent="0.4">
      <c r="A42" s="2">
        <v>109785</v>
      </c>
      <c r="B42" s="2" t="s">
        <v>83</v>
      </c>
      <c r="C42" s="2" t="s">
        <v>60</v>
      </c>
      <c r="D42" s="2">
        <v>4403</v>
      </c>
      <c r="E42" s="2">
        <v>65</v>
      </c>
      <c r="F42" s="2" t="s">
        <v>47</v>
      </c>
      <c r="G42" s="2" t="s">
        <v>37</v>
      </c>
      <c r="H42" s="2">
        <v>2</v>
      </c>
      <c r="I42" s="2">
        <v>38</v>
      </c>
      <c r="J42" s="2" t="s">
        <v>38</v>
      </c>
      <c r="K42" s="2">
        <v>556</v>
      </c>
      <c r="L42" s="2">
        <v>44.2</v>
      </c>
      <c r="M42" s="2">
        <v>5292561</v>
      </c>
      <c r="N42" s="2">
        <v>4206421</v>
      </c>
      <c r="O42" s="2"/>
      <c r="P42" s="2"/>
      <c r="Q42">
        <f t="shared" si="0"/>
        <v>17116.528044532697</v>
      </c>
      <c r="R42">
        <f t="shared" si="1"/>
        <v>17059.130115262629</v>
      </c>
    </row>
    <row r="43" spans="1:18" ht="16" x14ac:dyDescent="0.4">
      <c r="A43" s="2">
        <v>110097</v>
      </c>
      <c r="B43" s="2" t="s">
        <v>84</v>
      </c>
      <c r="C43" s="2" t="s">
        <v>60</v>
      </c>
      <c r="D43" s="2">
        <v>3769</v>
      </c>
      <c r="E43" s="2">
        <v>63.6</v>
      </c>
      <c r="F43" s="2" t="s">
        <v>47</v>
      </c>
      <c r="G43" s="2" t="s">
        <v>37</v>
      </c>
      <c r="H43" s="2">
        <v>2</v>
      </c>
      <c r="I43" s="2">
        <v>38</v>
      </c>
      <c r="J43" s="2" t="s">
        <v>41</v>
      </c>
      <c r="K43" s="2">
        <v>343</v>
      </c>
      <c r="L43" s="2">
        <v>56</v>
      </c>
      <c r="M43" s="2">
        <v>2579487</v>
      </c>
      <c r="N43" s="2">
        <v>3154310</v>
      </c>
      <c r="O43" s="2"/>
      <c r="P43" s="2"/>
      <c r="Q43">
        <f t="shared" si="0"/>
        <v>16421.85547688463</v>
      </c>
      <c r="R43">
        <f t="shared" si="1"/>
        <v>17091.750596342434</v>
      </c>
    </row>
    <row r="44" spans="1:18" ht="16" x14ac:dyDescent="0.4">
      <c r="A44" s="2">
        <v>110361</v>
      </c>
      <c r="B44" s="2" t="s">
        <v>85</v>
      </c>
      <c r="C44" s="2" t="s">
        <v>60</v>
      </c>
      <c r="D44" s="2">
        <v>7333</v>
      </c>
      <c r="E44" s="2">
        <v>62.2</v>
      </c>
      <c r="F44" s="2" t="s">
        <v>47</v>
      </c>
      <c r="G44" s="2" t="s">
        <v>37</v>
      </c>
      <c r="H44" s="2">
        <v>1</v>
      </c>
      <c r="I44" s="2">
        <v>38</v>
      </c>
      <c r="J44" s="2" t="s">
        <v>41</v>
      </c>
      <c r="K44" s="2">
        <v>402</v>
      </c>
      <c r="L44" s="2">
        <v>49</v>
      </c>
      <c r="M44" s="2">
        <v>8885420</v>
      </c>
      <c r="N44" s="2">
        <v>8159067</v>
      </c>
      <c r="O44" s="2"/>
      <c r="P44" s="2"/>
      <c r="Q44">
        <f t="shared" si="0"/>
        <v>41420.788912579963</v>
      </c>
      <c r="R44">
        <f t="shared" si="1"/>
        <v>43339.283972295387</v>
      </c>
    </row>
    <row r="45" spans="1:18" ht="16" x14ac:dyDescent="0.4">
      <c r="A45" s="2">
        <v>110404</v>
      </c>
      <c r="B45" s="2" t="s">
        <v>86</v>
      </c>
      <c r="C45" s="2" t="s">
        <v>60</v>
      </c>
      <c r="D45" s="2">
        <v>938</v>
      </c>
      <c r="E45" s="2">
        <v>45.3</v>
      </c>
      <c r="F45" s="2" t="s">
        <v>47</v>
      </c>
      <c r="G45" s="2" t="s">
        <v>37</v>
      </c>
      <c r="H45" s="2">
        <v>3</v>
      </c>
      <c r="I45" s="2">
        <v>9</v>
      </c>
      <c r="J45" s="2" t="s">
        <v>41</v>
      </c>
      <c r="K45" s="2">
        <v>259</v>
      </c>
      <c r="L45" s="2">
        <v>43.2</v>
      </c>
      <c r="M45" s="2">
        <v>752276</v>
      </c>
      <c r="N45" s="2">
        <v>671456</v>
      </c>
      <c r="O45" s="2"/>
      <c r="P45" s="2"/>
      <c r="Q45">
        <f t="shared" si="0"/>
        <v>6001.144001144</v>
      </c>
      <c r="R45">
        <f t="shared" si="1"/>
        <v>5113.6277122192614</v>
      </c>
    </row>
    <row r="46" spans="1:18" ht="16" x14ac:dyDescent="0.4">
      <c r="A46" s="2">
        <v>110413</v>
      </c>
      <c r="B46" s="2" t="s">
        <v>87</v>
      </c>
      <c r="C46" s="2" t="s">
        <v>60</v>
      </c>
      <c r="D46" s="2">
        <v>2971</v>
      </c>
      <c r="E46" s="2">
        <v>56.3</v>
      </c>
      <c r="F46" s="2" t="s">
        <v>47</v>
      </c>
      <c r="G46" s="2" t="s">
        <v>37</v>
      </c>
      <c r="H46" s="2">
        <v>3</v>
      </c>
      <c r="I46" s="2">
        <v>15</v>
      </c>
      <c r="J46" s="2" t="s">
        <v>38</v>
      </c>
      <c r="K46" s="2">
        <v>534</v>
      </c>
      <c r="L46" s="2">
        <v>39.9</v>
      </c>
      <c r="M46" s="2">
        <v>1931985</v>
      </c>
      <c r="N46" s="2">
        <v>1294040</v>
      </c>
      <c r="O46" s="2"/>
      <c r="P46" s="2"/>
      <c r="Q46">
        <f t="shared" si="0"/>
        <v>6073.4232585208338</v>
      </c>
      <c r="R46">
        <f t="shared" si="1"/>
        <v>6019.8825926826084</v>
      </c>
    </row>
    <row r="47" spans="1:18" ht="16" x14ac:dyDescent="0.4">
      <c r="A47" s="2">
        <v>110422</v>
      </c>
      <c r="B47" s="2" t="s">
        <v>88</v>
      </c>
      <c r="C47" s="2" t="s">
        <v>60</v>
      </c>
      <c r="D47" s="2">
        <v>19639</v>
      </c>
      <c r="E47" s="2">
        <v>48.7</v>
      </c>
      <c r="F47" s="2" t="s">
        <v>36</v>
      </c>
      <c r="G47" s="2" t="s">
        <v>37</v>
      </c>
      <c r="H47" s="2">
        <v>1</v>
      </c>
      <c r="I47" s="2">
        <v>38</v>
      </c>
      <c r="J47" s="2" t="s">
        <v>38</v>
      </c>
      <c r="K47" s="2">
        <v>684</v>
      </c>
      <c r="L47" s="2">
        <v>45.6</v>
      </c>
      <c r="M47" s="2">
        <v>12005956</v>
      </c>
      <c r="N47" s="2">
        <v>6937012</v>
      </c>
      <c r="O47" s="2"/>
      <c r="P47" s="2"/>
      <c r="Q47">
        <f t="shared" si="0"/>
        <v>22240.856160870011</v>
      </c>
      <c r="R47">
        <f t="shared" si="1"/>
        <v>32265.748624011008</v>
      </c>
    </row>
    <row r="48" spans="1:18" ht="16" x14ac:dyDescent="0.4">
      <c r="A48" s="2">
        <v>110486</v>
      </c>
      <c r="B48" s="2" t="s">
        <v>89</v>
      </c>
      <c r="C48" s="2" t="s">
        <v>60</v>
      </c>
      <c r="D48" s="2">
        <v>8449</v>
      </c>
      <c r="E48" s="2">
        <v>62.4</v>
      </c>
      <c r="F48" s="2" t="s">
        <v>36</v>
      </c>
      <c r="G48" s="2" t="s">
        <v>37</v>
      </c>
      <c r="H48" s="2">
        <v>1</v>
      </c>
      <c r="I48" s="2">
        <v>11</v>
      </c>
      <c r="J48" s="2" t="s">
        <v>41</v>
      </c>
      <c r="K48" s="2">
        <v>353</v>
      </c>
      <c r="L48" s="2">
        <v>58.6</v>
      </c>
      <c r="M48" s="2">
        <v>4942648</v>
      </c>
      <c r="N48" s="2">
        <v>4768610</v>
      </c>
      <c r="O48" s="2"/>
      <c r="P48" s="2"/>
      <c r="Q48">
        <f t="shared" si="0"/>
        <v>23052.577130205256</v>
      </c>
      <c r="R48">
        <f t="shared" si="1"/>
        <v>33820.859164374378</v>
      </c>
    </row>
    <row r="49" spans="1:18" ht="16" x14ac:dyDescent="0.4">
      <c r="A49" s="2">
        <v>110495</v>
      </c>
      <c r="B49" s="2" t="s">
        <v>90</v>
      </c>
      <c r="C49" s="2" t="s">
        <v>60</v>
      </c>
      <c r="D49" s="2">
        <v>8255</v>
      </c>
      <c r="E49" s="2">
        <v>65.7</v>
      </c>
      <c r="F49" s="2" t="s">
        <v>36</v>
      </c>
      <c r="G49" s="2" t="s">
        <v>37</v>
      </c>
      <c r="H49" s="2">
        <v>2</v>
      </c>
      <c r="I49" s="2">
        <v>38</v>
      </c>
      <c r="J49" s="2" t="s">
        <v>41</v>
      </c>
      <c r="K49" s="2">
        <v>330</v>
      </c>
      <c r="L49" s="2">
        <v>61.2</v>
      </c>
      <c r="M49" s="2">
        <v>1778251</v>
      </c>
      <c r="N49" s="2">
        <v>2069435</v>
      </c>
      <c r="O49" s="2"/>
      <c r="P49" s="2"/>
      <c r="Q49">
        <f t="shared" si="0"/>
        <v>10246.756783521489</v>
      </c>
      <c r="R49">
        <f t="shared" si="1"/>
        <v>13888.245860668541</v>
      </c>
    </row>
    <row r="50" spans="1:18" ht="16" x14ac:dyDescent="0.4">
      <c r="A50" s="2">
        <v>110510</v>
      </c>
      <c r="B50" s="2" t="s">
        <v>91</v>
      </c>
      <c r="C50" s="2" t="s">
        <v>60</v>
      </c>
      <c r="D50" s="2">
        <v>16509</v>
      </c>
      <c r="E50" s="2">
        <v>60.9</v>
      </c>
      <c r="F50" s="2" t="s">
        <v>36</v>
      </c>
      <c r="G50" s="2" t="s">
        <v>37</v>
      </c>
      <c r="H50" s="2">
        <v>2</v>
      </c>
      <c r="I50" s="2">
        <v>8</v>
      </c>
      <c r="J50" s="2" t="s">
        <v>41</v>
      </c>
      <c r="K50" s="2">
        <v>216</v>
      </c>
      <c r="L50" s="2">
        <v>59.7</v>
      </c>
      <c r="M50" s="2">
        <v>1788248</v>
      </c>
      <c r="N50" s="2">
        <v>2100474</v>
      </c>
      <c r="O50" s="2"/>
      <c r="P50" s="2"/>
      <c r="Q50">
        <f t="shared" si="0"/>
        <v>16288.805136795083</v>
      </c>
      <c r="R50">
        <f t="shared" si="1"/>
        <v>20543.24051098245</v>
      </c>
    </row>
    <row r="51" spans="1:18" ht="16" x14ac:dyDescent="0.4">
      <c r="A51" s="2">
        <v>110529</v>
      </c>
      <c r="B51" s="2" t="s">
        <v>92</v>
      </c>
      <c r="C51" s="2" t="s">
        <v>60</v>
      </c>
      <c r="D51" s="2">
        <v>23575</v>
      </c>
      <c r="E51" s="2">
        <v>47.7</v>
      </c>
      <c r="F51" s="2" t="s">
        <v>36</v>
      </c>
      <c r="G51" s="2" t="s">
        <v>37</v>
      </c>
      <c r="H51" s="2">
        <v>2</v>
      </c>
      <c r="I51" s="2">
        <v>38</v>
      </c>
      <c r="J51" s="2" t="s">
        <v>41</v>
      </c>
      <c r="K51" s="2">
        <v>310</v>
      </c>
      <c r="L51" s="2">
        <v>52.9</v>
      </c>
      <c r="M51" s="2">
        <v>2261796</v>
      </c>
      <c r="N51" s="2">
        <v>1951640</v>
      </c>
      <c r="O51" s="2"/>
      <c r="P51" s="2"/>
      <c r="Q51">
        <f t="shared" si="0"/>
        <v>11900.969571315323</v>
      </c>
      <c r="R51">
        <f t="shared" si="1"/>
        <v>15490.69241832751</v>
      </c>
    </row>
    <row r="52" spans="1:18" ht="16" x14ac:dyDescent="0.4">
      <c r="A52" s="2">
        <v>110538</v>
      </c>
      <c r="B52" s="2" t="s">
        <v>93</v>
      </c>
      <c r="C52" s="2" t="s">
        <v>60</v>
      </c>
      <c r="D52" s="2">
        <v>14949</v>
      </c>
      <c r="E52" s="2">
        <v>53.1</v>
      </c>
      <c r="F52" s="2" t="s">
        <v>36</v>
      </c>
      <c r="G52" s="2" t="s">
        <v>37</v>
      </c>
      <c r="H52" s="2">
        <v>2</v>
      </c>
      <c r="I52" s="2">
        <v>38</v>
      </c>
      <c r="J52" s="2" t="s">
        <v>41</v>
      </c>
      <c r="K52" s="2">
        <v>387</v>
      </c>
      <c r="L52" s="2">
        <v>47</v>
      </c>
      <c r="M52" s="2">
        <v>2051800</v>
      </c>
      <c r="N52" s="2">
        <v>1937783</v>
      </c>
      <c r="O52" s="2"/>
      <c r="P52" s="2"/>
      <c r="Q52">
        <f t="shared" si="0"/>
        <v>10653.598328660179</v>
      </c>
      <c r="R52">
        <f t="shared" si="1"/>
        <v>10003.412802886256</v>
      </c>
    </row>
    <row r="53" spans="1:18" ht="16" x14ac:dyDescent="0.4">
      <c r="A53" s="2">
        <v>110547</v>
      </c>
      <c r="B53" s="2" t="s">
        <v>94</v>
      </c>
      <c r="C53" s="2" t="s">
        <v>60</v>
      </c>
      <c r="D53" s="2">
        <v>12101</v>
      </c>
      <c r="E53" s="2">
        <v>62.1</v>
      </c>
      <c r="F53" s="2" t="s">
        <v>36</v>
      </c>
      <c r="G53" s="2" t="s">
        <v>37</v>
      </c>
      <c r="H53" s="2">
        <v>2</v>
      </c>
      <c r="I53" s="2">
        <v>38</v>
      </c>
      <c r="J53" s="2" t="s">
        <v>41</v>
      </c>
      <c r="K53" s="2">
        <v>237</v>
      </c>
      <c r="L53" s="2">
        <v>55.7</v>
      </c>
      <c r="M53" s="2">
        <v>1580905</v>
      </c>
      <c r="N53" s="2">
        <v>2064323</v>
      </c>
      <c r="O53" s="2"/>
      <c r="P53" s="2"/>
      <c r="Q53">
        <f t="shared" si="0"/>
        <v>15637.744396215408</v>
      </c>
      <c r="R53">
        <f t="shared" si="1"/>
        <v>15057.528740558715</v>
      </c>
    </row>
    <row r="54" spans="1:18" ht="16" x14ac:dyDescent="0.4">
      <c r="A54" s="2">
        <v>110556</v>
      </c>
      <c r="B54" s="2" t="s">
        <v>95</v>
      </c>
      <c r="C54" s="2" t="s">
        <v>60</v>
      </c>
      <c r="D54" s="2">
        <v>18878</v>
      </c>
      <c r="E54" s="2">
        <v>59.6</v>
      </c>
      <c r="F54" s="2" t="s">
        <v>36</v>
      </c>
      <c r="G54" s="2" t="s">
        <v>37</v>
      </c>
      <c r="H54" s="2">
        <v>1</v>
      </c>
      <c r="I54" s="2">
        <v>35</v>
      </c>
      <c r="J54" s="2" t="s">
        <v>38</v>
      </c>
      <c r="K54" s="2">
        <v>583</v>
      </c>
      <c r="L54" s="2">
        <v>56.9</v>
      </c>
      <c r="M54" s="2">
        <v>20815188</v>
      </c>
      <c r="N54" s="2">
        <v>12685604</v>
      </c>
      <c r="O54" s="2"/>
      <c r="P54" s="2"/>
      <c r="Q54">
        <f t="shared" si="0"/>
        <v>38241.095840857095</v>
      </c>
      <c r="R54">
        <f t="shared" si="1"/>
        <v>82838.936137189419</v>
      </c>
    </row>
    <row r="55" spans="1:18" ht="16" x14ac:dyDescent="0.4">
      <c r="A55" s="2">
        <v>110565</v>
      </c>
      <c r="B55" s="2" t="s">
        <v>96</v>
      </c>
      <c r="C55" s="2" t="s">
        <v>60</v>
      </c>
      <c r="D55" s="2">
        <v>28774</v>
      </c>
      <c r="E55" s="2">
        <v>57.4</v>
      </c>
      <c r="F55" s="2" t="s">
        <v>36</v>
      </c>
      <c r="G55" s="2" t="s">
        <v>37</v>
      </c>
      <c r="H55" s="2">
        <v>1</v>
      </c>
      <c r="I55" s="2">
        <v>38</v>
      </c>
      <c r="J55" s="2" t="s">
        <v>41</v>
      </c>
      <c r="K55" s="2">
        <v>449</v>
      </c>
      <c r="L55" s="2">
        <v>57.9</v>
      </c>
      <c r="M55" s="2">
        <v>6350604</v>
      </c>
      <c r="N55" s="2">
        <v>6948173</v>
      </c>
      <c r="O55" s="2"/>
      <c r="P55" s="2"/>
      <c r="Q55">
        <f t="shared" si="0"/>
        <v>26726.723365298436</v>
      </c>
      <c r="R55">
        <f t="shared" si="1"/>
        <v>33595.924434875065</v>
      </c>
    </row>
    <row r="56" spans="1:18" ht="16" x14ac:dyDescent="0.4">
      <c r="A56" s="2">
        <v>110574</v>
      </c>
      <c r="B56" s="2" t="s">
        <v>97</v>
      </c>
      <c r="C56" s="2" t="s">
        <v>60</v>
      </c>
      <c r="D56" s="2">
        <v>10605</v>
      </c>
      <c r="E56" s="2">
        <v>60.8</v>
      </c>
      <c r="F56" s="2" t="s">
        <v>36</v>
      </c>
      <c r="G56" s="2" t="s">
        <v>37</v>
      </c>
      <c r="H56" s="2">
        <v>2</v>
      </c>
      <c r="I56" s="2">
        <v>38</v>
      </c>
      <c r="J56" s="2" t="s">
        <v>41</v>
      </c>
      <c r="K56" s="2">
        <v>290</v>
      </c>
      <c r="L56" s="2">
        <v>56.2</v>
      </c>
      <c r="M56" s="2">
        <v>1800052</v>
      </c>
      <c r="N56" s="2">
        <v>2736892</v>
      </c>
      <c r="O56" s="2"/>
      <c r="P56" s="2"/>
      <c r="Q56">
        <f t="shared" si="0"/>
        <v>16792.808933611483</v>
      </c>
      <c r="R56">
        <f t="shared" si="1"/>
        <v>14171.406077783027</v>
      </c>
    </row>
    <row r="57" spans="1:18" ht="16" x14ac:dyDescent="0.4">
      <c r="A57" s="2">
        <v>110583</v>
      </c>
      <c r="B57" s="2" t="s">
        <v>98</v>
      </c>
      <c r="C57" s="2" t="s">
        <v>60</v>
      </c>
      <c r="D57" s="2">
        <v>28612</v>
      </c>
      <c r="E57" s="2">
        <v>56.8</v>
      </c>
      <c r="F57" s="2" t="s">
        <v>36</v>
      </c>
      <c r="G57" s="2" t="s">
        <v>37</v>
      </c>
      <c r="H57" s="2">
        <v>1</v>
      </c>
      <c r="I57" s="2">
        <v>38</v>
      </c>
      <c r="J57" s="2" t="s">
        <v>41</v>
      </c>
      <c r="K57" s="2">
        <v>467</v>
      </c>
      <c r="L57" s="2">
        <v>55.7</v>
      </c>
      <c r="M57" s="2">
        <v>6376927</v>
      </c>
      <c r="N57" s="2">
        <v>6145776</v>
      </c>
      <c r="O57" s="2"/>
      <c r="P57" s="2"/>
      <c r="Q57">
        <f t="shared" si="0"/>
        <v>23626.78620169999</v>
      </c>
      <c r="R57">
        <f t="shared" si="1"/>
        <v>30824.130780497002</v>
      </c>
    </row>
    <row r="58" spans="1:18" ht="16" x14ac:dyDescent="0.4">
      <c r="A58" s="2">
        <v>110592</v>
      </c>
      <c r="B58" s="2" t="s">
        <v>99</v>
      </c>
      <c r="C58" s="2" t="s">
        <v>60</v>
      </c>
      <c r="D58" s="2">
        <v>19682</v>
      </c>
      <c r="E58" s="2">
        <v>58.4</v>
      </c>
      <c r="F58" s="2" t="s">
        <v>36</v>
      </c>
      <c r="G58" s="2" t="s">
        <v>37</v>
      </c>
      <c r="H58" s="2">
        <v>2</v>
      </c>
      <c r="I58" s="2">
        <v>38</v>
      </c>
      <c r="J58" s="2" t="s">
        <v>41</v>
      </c>
      <c r="K58" s="2">
        <v>341</v>
      </c>
      <c r="L58" s="2">
        <v>59.2</v>
      </c>
      <c r="M58" s="2">
        <v>1980150</v>
      </c>
      <c r="N58" s="2">
        <v>2436504</v>
      </c>
      <c r="O58" s="2"/>
      <c r="P58" s="2"/>
      <c r="Q58">
        <f t="shared" si="0"/>
        <v>12069.549021161924</v>
      </c>
      <c r="R58">
        <f t="shared" si="1"/>
        <v>14232.577195100916</v>
      </c>
    </row>
    <row r="59" spans="1:18" ht="16" x14ac:dyDescent="0.4">
      <c r="A59" s="2">
        <v>110608</v>
      </c>
      <c r="B59" s="2" t="s">
        <v>100</v>
      </c>
      <c r="C59" s="2" t="s">
        <v>60</v>
      </c>
      <c r="D59" s="2">
        <v>29285</v>
      </c>
      <c r="E59" s="2">
        <v>55.7</v>
      </c>
      <c r="F59" s="2" t="s">
        <v>36</v>
      </c>
      <c r="G59" s="2" t="s">
        <v>37</v>
      </c>
      <c r="H59" s="2">
        <v>1</v>
      </c>
      <c r="I59" s="2">
        <v>38</v>
      </c>
      <c r="J59" s="2" t="s">
        <v>41</v>
      </c>
      <c r="K59" s="2">
        <v>449</v>
      </c>
      <c r="L59" s="2">
        <v>54.3</v>
      </c>
      <c r="M59" s="2">
        <v>6514508</v>
      </c>
      <c r="N59" s="2">
        <v>5605937</v>
      </c>
      <c r="O59" s="2"/>
      <c r="P59" s="2"/>
      <c r="Q59">
        <f t="shared" si="0"/>
        <v>22993.338993548175</v>
      </c>
      <c r="R59">
        <f t="shared" si="1"/>
        <v>31748.198037944763</v>
      </c>
    </row>
    <row r="60" spans="1:18" ht="16" x14ac:dyDescent="0.4">
      <c r="A60" s="2">
        <v>110617</v>
      </c>
      <c r="B60" s="2" t="s">
        <v>101</v>
      </c>
      <c r="C60" s="2" t="s">
        <v>60</v>
      </c>
      <c r="D60" s="2">
        <v>24074</v>
      </c>
      <c r="E60" s="2">
        <v>56.2</v>
      </c>
      <c r="F60" s="2" t="s">
        <v>36</v>
      </c>
      <c r="G60" s="2" t="s">
        <v>37</v>
      </c>
      <c r="H60" s="2">
        <v>1</v>
      </c>
      <c r="I60" s="2">
        <v>38</v>
      </c>
      <c r="J60" s="2" t="s">
        <v>38</v>
      </c>
      <c r="K60" s="2">
        <v>611</v>
      </c>
      <c r="L60" s="2">
        <v>49.8</v>
      </c>
      <c r="M60" s="2">
        <v>10339277</v>
      </c>
      <c r="N60" s="2">
        <v>7007632</v>
      </c>
      <c r="O60" s="2"/>
      <c r="P60" s="2"/>
      <c r="Q60">
        <f t="shared" si="0"/>
        <v>23030.360394113275</v>
      </c>
      <c r="R60">
        <f t="shared" si="1"/>
        <v>33708.951428329237</v>
      </c>
    </row>
    <row r="61" spans="1:18" ht="16" x14ac:dyDescent="0.4">
      <c r="A61" s="2">
        <v>110635</v>
      </c>
      <c r="B61" s="2" t="s">
        <v>102</v>
      </c>
      <c r="C61" s="2" t="s">
        <v>60</v>
      </c>
      <c r="D61" s="2">
        <v>29988</v>
      </c>
      <c r="E61" s="2">
        <v>53.9</v>
      </c>
      <c r="F61" s="2" t="s">
        <v>36</v>
      </c>
      <c r="G61" s="2" t="s">
        <v>37</v>
      </c>
      <c r="H61" s="2">
        <v>1</v>
      </c>
      <c r="I61" s="2">
        <v>38</v>
      </c>
      <c r="J61" s="2" t="s">
        <v>38</v>
      </c>
      <c r="K61" s="2">
        <v>946</v>
      </c>
      <c r="L61" s="2">
        <v>48.3</v>
      </c>
      <c r="M61" s="2">
        <v>47881422</v>
      </c>
      <c r="N61" s="2">
        <v>16972524</v>
      </c>
      <c r="O61" s="2"/>
      <c r="P61" s="2"/>
      <c r="Q61">
        <f t="shared" si="0"/>
        <v>37145.667275090935</v>
      </c>
      <c r="R61">
        <f t="shared" si="1"/>
        <v>97900.601535120906</v>
      </c>
    </row>
    <row r="62" spans="1:18" ht="16" x14ac:dyDescent="0.4">
      <c r="A62" s="2">
        <v>110644</v>
      </c>
      <c r="B62" s="2" t="s">
        <v>103</v>
      </c>
      <c r="C62" s="2" t="s">
        <v>60</v>
      </c>
      <c r="D62" s="2">
        <v>30151</v>
      </c>
      <c r="E62" s="2">
        <v>60.9</v>
      </c>
      <c r="F62" s="2" t="s">
        <v>36</v>
      </c>
      <c r="G62" s="2" t="s">
        <v>37</v>
      </c>
      <c r="H62" s="2">
        <v>1</v>
      </c>
      <c r="I62" s="2">
        <v>38</v>
      </c>
      <c r="J62" s="2" t="s">
        <v>38</v>
      </c>
      <c r="K62" s="2">
        <v>706</v>
      </c>
      <c r="L62" s="2">
        <v>59.3</v>
      </c>
      <c r="M62" s="2">
        <v>11295780</v>
      </c>
      <c r="N62" s="2">
        <v>10450108</v>
      </c>
      <c r="O62" s="2"/>
      <c r="P62" s="2"/>
      <c r="Q62">
        <f t="shared" si="0"/>
        <v>24960.965752475771</v>
      </c>
      <c r="R62">
        <f t="shared" si="1"/>
        <v>39311.273673879899</v>
      </c>
    </row>
    <row r="63" spans="1:18" ht="16" x14ac:dyDescent="0.4">
      <c r="A63" s="2">
        <v>110653</v>
      </c>
      <c r="B63" s="2" t="s">
        <v>104</v>
      </c>
      <c r="C63" s="2" t="s">
        <v>60</v>
      </c>
      <c r="D63" s="2">
        <v>29786</v>
      </c>
      <c r="E63" s="2">
        <v>52.3</v>
      </c>
      <c r="F63" s="2" t="s">
        <v>36</v>
      </c>
      <c r="G63" s="2" t="s">
        <v>37</v>
      </c>
      <c r="H63" s="2">
        <v>1</v>
      </c>
      <c r="I63" s="2">
        <v>11</v>
      </c>
      <c r="J63" s="2" t="s">
        <v>41</v>
      </c>
      <c r="K63" s="2">
        <v>381</v>
      </c>
      <c r="L63" s="2">
        <v>54.6</v>
      </c>
      <c r="M63" s="2">
        <v>7303827</v>
      </c>
      <c r="N63" s="2">
        <v>5748008</v>
      </c>
      <c r="O63" s="2"/>
      <c r="P63" s="2"/>
      <c r="Q63">
        <f t="shared" si="0"/>
        <v>27631.199946160574</v>
      </c>
      <c r="R63">
        <f t="shared" si="1"/>
        <v>42224.999132817647</v>
      </c>
    </row>
    <row r="64" spans="1:18" ht="16" x14ac:dyDescent="0.4">
      <c r="A64" s="2">
        <v>110662</v>
      </c>
      <c r="B64" s="2" t="s">
        <v>105</v>
      </c>
      <c r="C64" s="2" t="s">
        <v>60</v>
      </c>
      <c r="D64" s="2">
        <v>30963</v>
      </c>
      <c r="E64" s="2">
        <v>58.6</v>
      </c>
      <c r="F64" s="2" t="s">
        <v>36</v>
      </c>
      <c r="G64" s="2" t="s">
        <v>37</v>
      </c>
      <c r="H64" s="2">
        <v>1</v>
      </c>
      <c r="I64" s="2">
        <v>14</v>
      </c>
      <c r="J64" s="2" t="s">
        <v>38</v>
      </c>
      <c r="K64" s="2">
        <v>881</v>
      </c>
      <c r="L64" s="2">
        <v>54.4</v>
      </c>
      <c r="M64" s="2">
        <v>55013127</v>
      </c>
      <c r="N64" s="2">
        <v>24136200</v>
      </c>
      <c r="O64" s="2"/>
      <c r="P64" s="2"/>
      <c r="Q64">
        <f t="shared" si="0"/>
        <v>50360.970154236493</v>
      </c>
      <c r="R64">
        <f t="shared" si="1"/>
        <v>136938.5043909433</v>
      </c>
    </row>
    <row r="65" spans="1:18" ht="16" x14ac:dyDescent="0.4">
      <c r="A65" s="2">
        <v>110671</v>
      </c>
      <c r="B65" s="2" t="s">
        <v>106</v>
      </c>
      <c r="C65" s="2" t="s">
        <v>60</v>
      </c>
      <c r="D65" s="2">
        <v>21636</v>
      </c>
      <c r="E65" s="2">
        <v>54.1</v>
      </c>
      <c r="F65" s="2" t="s">
        <v>36</v>
      </c>
      <c r="G65" s="2" t="s">
        <v>37</v>
      </c>
      <c r="H65" s="2">
        <v>1</v>
      </c>
      <c r="I65" s="2">
        <v>38</v>
      </c>
      <c r="J65" s="2" t="s">
        <v>41</v>
      </c>
      <c r="K65" s="2">
        <v>398</v>
      </c>
      <c r="L65" s="2">
        <v>52.3</v>
      </c>
      <c r="M65" s="2">
        <v>5187352</v>
      </c>
      <c r="N65" s="2">
        <v>5613382</v>
      </c>
      <c r="O65" s="2"/>
      <c r="P65" s="2"/>
      <c r="Q65">
        <f t="shared" si="0"/>
        <v>26967.447178531282</v>
      </c>
      <c r="R65">
        <f t="shared" si="1"/>
        <v>27323.999452187563</v>
      </c>
    </row>
    <row r="66" spans="1:18" ht="16" x14ac:dyDescent="0.4">
      <c r="A66" s="2">
        <v>110680</v>
      </c>
      <c r="B66" s="2" t="s">
        <v>107</v>
      </c>
      <c r="C66" s="2" t="s">
        <v>60</v>
      </c>
      <c r="D66" s="2">
        <v>29966</v>
      </c>
      <c r="E66" s="2">
        <v>50.2</v>
      </c>
      <c r="F66" s="2" t="s">
        <v>36</v>
      </c>
      <c r="G66" s="2" t="s">
        <v>37</v>
      </c>
      <c r="H66" s="2">
        <v>2</v>
      </c>
      <c r="I66" s="2">
        <v>37</v>
      </c>
      <c r="J66" s="2" t="s">
        <v>41</v>
      </c>
      <c r="K66" s="2">
        <v>583</v>
      </c>
      <c r="L66" s="2">
        <v>46.5</v>
      </c>
      <c r="M66" s="2">
        <v>6195787</v>
      </c>
      <c r="N66" s="2">
        <v>5415375</v>
      </c>
      <c r="O66" s="2"/>
      <c r="P66" s="2"/>
      <c r="Q66">
        <f t="shared" si="0"/>
        <v>19975.930946716093</v>
      </c>
      <c r="R66">
        <f t="shared" si="1"/>
        <v>19864.34010355717</v>
      </c>
    </row>
    <row r="67" spans="1:18" ht="16" x14ac:dyDescent="0.4">
      <c r="A67" s="2">
        <v>110705</v>
      </c>
      <c r="B67" s="2" t="s">
        <v>108</v>
      </c>
      <c r="C67" s="2" t="s">
        <v>60</v>
      </c>
      <c r="D67" s="2">
        <v>22846</v>
      </c>
      <c r="E67" s="2">
        <v>54.8</v>
      </c>
      <c r="F67" s="2" t="s">
        <v>36</v>
      </c>
      <c r="G67" s="2" t="s">
        <v>37</v>
      </c>
      <c r="H67" s="2">
        <v>1</v>
      </c>
      <c r="I67" s="2">
        <v>38</v>
      </c>
      <c r="J67" s="2" t="s">
        <v>41</v>
      </c>
      <c r="K67" s="2">
        <v>572</v>
      </c>
      <c r="L67" s="2">
        <v>52.1</v>
      </c>
      <c r="M67" s="2">
        <v>9353366</v>
      </c>
      <c r="N67" s="2">
        <v>6612945</v>
      </c>
      <c r="O67" s="2"/>
      <c r="P67" s="2"/>
      <c r="Q67">
        <f t="shared" ref="Q67:Q130" si="2">N67/(K67*(0.01*L67))</f>
        <v>22190.197039045408</v>
      </c>
      <c r="R67">
        <f t="shared" ref="R67:R130" si="3">M67/(K67*(0.01*(100-L67)))</f>
        <v>34137.867351854824</v>
      </c>
    </row>
    <row r="68" spans="1:18" ht="16" x14ac:dyDescent="0.4">
      <c r="A68" s="2">
        <v>110714</v>
      </c>
      <c r="B68" s="2" t="s">
        <v>109</v>
      </c>
      <c r="C68" s="2" t="s">
        <v>60</v>
      </c>
      <c r="D68" s="2">
        <v>16994</v>
      </c>
      <c r="E68" s="2">
        <v>48</v>
      </c>
      <c r="F68" s="2" t="s">
        <v>36</v>
      </c>
      <c r="G68" s="2" t="s">
        <v>37</v>
      </c>
      <c r="H68" s="2">
        <v>3</v>
      </c>
      <c r="I68" s="2">
        <v>38</v>
      </c>
      <c r="J68" s="2" t="s">
        <v>41</v>
      </c>
      <c r="K68" s="2">
        <v>287</v>
      </c>
      <c r="L68" s="2">
        <v>48.8</v>
      </c>
      <c r="M68" s="2">
        <v>1122565</v>
      </c>
      <c r="N68" s="2">
        <v>1221574</v>
      </c>
      <c r="O68" s="2"/>
      <c r="P68" s="2"/>
      <c r="Q68">
        <f t="shared" si="2"/>
        <v>8722.0397555263626</v>
      </c>
      <c r="R68">
        <f t="shared" si="3"/>
        <v>7639.4068488675948</v>
      </c>
    </row>
    <row r="69" spans="1:18" ht="16" x14ac:dyDescent="0.4">
      <c r="A69" s="2">
        <v>111948</v>
      </c>
      <c r="B69" s="2" t="s">
        <v>110</v>
      </c>
      <c r="C69" s="2" t="s">
        <v>60</v>
      </c>
      <c r="D69" s="2">
        <v>7035</v>
      </c>
      <c r="E69" s="2">
        <v>61.1</v>
      </c>
      <c r="F69" s="2" t="s">
        <v>47</v>
      </c>
      <c r="G69" s="2" t="s">
        <v>37</v>
      </c>
      <c r="H69" s="2">
        <v>3</v>
      </c>
      <c r="I69" s="2">
        <v>14</v>
      </c>
      <c r="J69" s="2" t="s">
        <v>38</v>
      </c>
      <c r="K69" s="2">
        <v>482</v>
      </c>
      <c r="L69" s="2">
        <v>46.1</v>
      </c>
      <c r="M69" s="2">
        <v>1584619</v>
      </c>
      <c r="N69" s="2">
        <v>1064513</v>
      </c>
      <c r="O69" s="2"/>
      <c r="P69" s="2"/>
      <c r="Q69">
        <f t="shared" si="2"/>
        <v>4790.7444577456545</v>
      </c>
      <c r="R69">
        <f t="shared" si="3"/>
        <v>6099.4272473229203</v>
      </c>
    </row>
    <row r="70" spans="1:18" ht="16" x14ac:dyDescent="0.4">
      <c r="A70" s="2">
        <v>112075</v>
      </c>
      <c r="B70" s="2" t="s">
        <v>111</v>
      </c>
      <c r="C70" s="2" t="s">
        <v>60</v>
      </c>
      <c r="D70" s="2">
        <v>1590</v>
      </c>
      <c r="E70" s="2">
        <v>60.2</v>
      </c>
      <c r="F70" s="2" t="s">
        <v>47</v>
      </c>
      <c r="G70" s="2" t="s">
        <v>37</v>
      </c>
      <c r="H70" s="2">
        <v>2</v>
      </c>
      <c r="I70" s="2">
        <v>11</v>
      </c>
      <c r="J70" s="2" t="s">
        <v>41</v>
      </c>
      <c r="K70" s="2">
        <v>546</v>
      </c>
      <c r="L70" s="2">
        <v>56.6</v>
      </c>
      <c r="M70" s="2">
        <v>3213843</v>
      </c>
      <c r="N70" s="2">
        <v>3725894</v>
      </c>
      <c r="O70" s="2"/>
      <c r="P70" s="2"/>
      <c r="Q70">
        <f t="shared" si="2"/>
        <v>12056.504743783893</v>
      </c>
      <c r="R70">
        <f t="shared" si="3"/>
        <v>13562.579125943181</v>
      </c>
    </row>
    <row r="71" spans="1:18" ht="16" x14ac:dyDescent="0.4">
      <c r="A71" s="2">
        <v>112260</v>
      </c>
      <c r="B71" s="2" t="s">
        <v>112</v>
      </c>
      <c r="C71" s="2" t="s">
        <v>60</v>
      </c>
      <c r="D71" s="2">
        <v>1333</v>
      </c>
      <c r="E71" s="2">
        <v>49.5</v>
      </c>
      <c r="F71" s="2" t="s">
        <v>47</v>
      </c>
      <c r="G71" s="2" t="s">
        <v>37</v>
      </c>
      <c r="H71" s="2">
        <v>3</v>
      </c>
      <c r="I71" s="2">
        <v>13</v>
      </c>
      <c r="J71" s="2" t="s">
        <v>38</v>
      </c>
      <c r="K71" s="2">
        <v>602</v>
      </c>
      <c r="L71" s="2">
        <v>46.8</v>
      </c>
      <c r="M71" s="2">
        <v>1971525</v>
      </c>
      <c r="N71" s="2">
        <v>1664702</v>
      </c>
      <c r="O71" s="2"/>
      <c r="P71" s="2"/>
      <c r="Q71">
        <f t="shared" si="2"/>
        <v>5908.730158730159</v>
      </c>
      <c r="R71">
        <f t="shared" si="3"/>
        <v>6155.9369769939794</v>
      </c>
    </row>
    <row r="72" spans="1:18" ht="16" x14ac:dyDescent="0.4">
      <c r="A72" s="2">
        <v>113698</v>
      </c>
      <c r="B72" s="2" t="s">
        <v>113</v>
      </c>
      <c r="C72" s="2" t="s">
        <v>60</v>
      </c>
      <c r="D72" s="2">
        <v>1237</v>
      </c>
      <c r="E72" s="2">
        <v>70.099999999999994</v>
      </c>
      <c r="F72" s="2" t="s">
        <v>47</v>
      </c>
      <c r="G72" s="2" t="s">
        <v>37</v>
      </c>
      <c r="H72" s="2">
        <v>2</v>
      </c>
      <c r="I72" s="2">
        <v>38</v>
      </c>
      <c r="J72" s="2" t="s">
        <v>41</v>
      </c>
      <c r="K72" s="2">
        <v>170</v>
      </c>
      <c r="L72" s="2">
        <v>63.5</v>
      </c>
      <c r="M72" s="2">
        <v>1010941</v>
      </c>
      <c r="N72" s="2">
        <v>1670135</v>
      </c>
      <c r="O72" s="2"/>
      <c r="P72" s="2"/>
      <c r="Q72">
        <f t="shared" si="2"/>
        <v>15471.375636868921</v>
      </c>
      <c r="R72">
        <f t="shared" si="3"/>
        <v>16292.360999194199</v>
      </c>
    </row>
    <row r="73" spans="1:18" ht="16" x14ac:dyDescent="0.4">
      <c r="A73" s="2">
        <v>114813</v>
      </c>
      <c r="B73" s="2" t="s">
        <v>114</v>
      </c>
      <c r="C73" s="2" t="s">
        <v>60</v>
      </c>
      <c r="D73" s="2">
        <v>2433</v>
      </c>
      <c r="E73" s="2">
        <v>74.400000000000006</v>
      </c>
      <c r="F73" s="2" t="s">
        <v>47</v>
      </c>
      <c r="G73" s="2" t="s">
        <v>37</v>
      </c>
      <c r="H73" s="2">
        <v>2</v>
      </c>
      <c r="I73" s="2">
        <v>38</v>
      </c>
      <c r="J73" s="2" t="s">
        <v>41</v>
      </c>
      <c r="K73" s="2">
        <v>295</v>
      </c>
      <c r="L73" s="2">
        <v>46.1</v>
      </c>
      <c r="M73" s="2">
        <v>3853716</v>
      </c>
      <c r="N73" s="2">
        <v>3516392</v>
      </c>
      <c r="O73" s="2"/>
      <c r="P73" s="2"/>
      <c r="Q73">
        <f t="shared" si="2"/>
        <v>25856.774146108313</v>
      </c>
      <c r="R73">
        <f t="shared" si="3"/>
        <v>24236.445394798902</v>
      </c>
    </row>
    <row r="74" spans="1:18" ht="16" x14ac:dyDescent="0.4">
      <c r="A74" s="2">
        <v>115728</v>
      </c>
      <c r="B74" s="2" t="s">
        <v>115</v>
      </c>
      <c r="C74" s="2" t="s">
        <v>60</v>
      </c>
      <c r="D74" s="2">
        <v>589</v>
      </c>
      <c r="E74" s="2">
        <v>63.7</v>
      </c>
      <c r="F74" s="2" t="s">
        <v>47</v>
      </c>
      <c r="G74" s="2" t="s">
        <v>37</v>
      </c>
      <c r="H74" s="2">
        <v>2</v>
      </c>
      <c r="I74" s="2">
        <v>9</v>
      </c>
      <c r="J74" s="2" t="s">
        <v>41</v>
      </c>
      <c r="K74" s="2">
        <v>241</v>
      </c>
      <c r="L74" s="2">
        <v>44.8</v>
      </c>
      <c r="M74" s="2">
        <v>1662343</v>
      </c>
      <c r="N74" s="2">
        <v>1671349</v>
      </c>
      <c r="O74" s="2"/>
      <c r="P74" s="2"/>
      <c r="Q74">
        <f t="shared" si="2"/>
        <v>15480.040382335508</v>
      </c>
      <c r="R74">
        <f t="shared" si="3"/>
        <v>12495.81303746467</v>
      </c>
    </row>
    <row r="75" spans="1:18" ht="16" x14ac:dyDescent="0.4">
      <c r="A75" s="2">
        <v>115755</v>
      </c>
      <c r="B75" s="2" t="s">
        <v>116</v>
      </c>
      <c r="C75" s="2" t="s">
        <v>60</v>
      </c>
      <c r="D75" s="2">
        <v>6075</v>
      </c>
      <c r="E75" s="2">
        <v>57.9</v>
      </c>
      <c r="F75" s="2" t="s">
        <v>36</v>
      </c>
      <c r="G75" s="2" t="s">
        <v>37</v>
      </c>
      <c r="H75" s="2">
        <v>2</v>
      </c>
      <c r="I75" s="2">
        <v>38</v>
      </c>
      <c r="J75" s="2" t="s">
        <v>41</v>
      </c>
      <c r="K75" s="2">
        <v>270</v>
      </c>
      <c r="L75" s="2">
        <v>57.8</v>
      </c>
      <c r="M75" s="2">
        <v>1038051</v>
      </c>
      <c r="N75" s="2">
        <v>1948886</v>
      </c>
      <c r="O75" s="2"/>
      <c r="P75" s="2"/>
      <c r="Q75">
        <f t="shared" si="2"/>
        <v>12488.055875945149</v>
      </c>
      <c r="R75">
        <f t="shared" si="3"/>
        <v>9110.5055292259076</v>
      </c>
    </row>
    <row r="76" spans="1:18" ht="16" x14ac:dyDescent="0.4">
      <c r="A76" s="2">
        <v>117140</v>
      </c>
      <c r="B76" s="2" t="s">
        <v>117</v>
      </c>
      <c r="C76" s="2" t="s">
        <v>60</v>
      </c>
      <c r="D76" s="2">
        <v>3353</v>
      </c>
      <c r="E76" s="2">
        <v>58.2</v>
      </c>
      <c r="F76" s="2" t="s">
        <v>47</v>
      </c>
      <c r="G76" s="2" t="s">
        <v>37</v>
      </c>
      <c r="H76" s="2">
        <v>3</v>
      </c>
      <c r="I76" s="2">
        <v>38</v>
      </c>
      <c r="J76" s="2" t="s">
        <v>38</v>
      </c>
      <c r="K76" s="2">
        <v>441</v>
      </c>
      <c r="L76" s="2">
        <v>39.200000000000003</v>
      </c>
      <c r="M76" s="2">
        <v>1351370</v>
      </c>
      <c r="N76" s="2">
        <v>956762</v>
      </c>
      <c r="O76" s="2"/>
      <c r="P76" s="2"/>
      <c r="Q76">
        <f t="shared" si="2"/>
        <v>5534.5110833449025</v>
      </c>
      <c r="R76">
        <f t="shared" si="3"/>
        <v>5040.0182002625615</v>
      </c>
    </row>
    <row r="77" spans="1:18" ht="16" x14ac:dyDescent="0.4">
      <c r="A77" s="2">
        <v>117946</v>
      </c>
      <c r="B77" s="2" t="s">
        <v>118</v>
      </c>
      <c r="C77" s="2" t="s">
        <v>60</v>
      </c>
      <c r="D77" s="2">
        <v>6476</v>
      </c>
      <c r="E77" s="2">
        <v>54.9</v>
      </c>
      <c r="F77" s="2" t="s">
        <v>47</v>
      </c>
      <c r="G77" s="2" t="s">
        <v>37</v>
      </c>
      <c r="H77" s="2">
        <v>1</v>
      </c>
      <c r="I77" s="2">
        <v>13</v>
      </c>
      <c r="J77" s="2" t="s">
        <v>41</v>
      </c>
      <c r="K77" s="2">
        <v>435</v>
      </c>
      <c r="L77" s="2">
        <v>54.3</v>
      </c>
      <c r="M77" s="2">
        <v>11125911</v>
      </c>
      <c r="N77" s="2">
        <v>10833078</v>
      </c>
      <c r="O77" s="2"/>
      <c r="P77" s="2"/>
      <c r="Q77">
        <f t="shared" si="2"/>
        <v>45863.034228741977</v>
      </c>
      <c r="R77">
        <f t="shared" si="3"/>
        <v>55966.754697049721</v>
      </c>
    </row>
    <row r="78" spans="1:18" ht="16" x14ac:dyDescent="0.4">
      <c r="A78" s="2">
        <v>120184</v>
      </c>
      <c r="B78" s="2" t="s">
        <v>119</v>
      </c>
      <c r="C78" s="2" t="s">
        <v>60</v>
      </c>
      <c r="D78" s="2">
        <v>590</v>
      </c>
      <c r="E78" s="2">
        <v>62</v>
      </c>
      <c r="F78" s="2" t="s">
        <v>47</v>
      </c>
      <c r="G78" s="2" t="s">
        <v>37</v>
      </c>
      <c r="H78" s="2">
        <v>2</v>
      </c>
      <c r="I78" s="2">
        <v>37</v>
      </c>
      <c r="J78" s="2" t="s">
        <v>41</v>
      </c>
      <c r="K78" s="2">
        <v>216</v>
      </c>
      <c r="L78" s="2">
        <v>51.4</v>
      </c>
      <c r="M78" s="2">
        <v>1624777</v>
      </c>
      <c r="N78" s="2">
        <v>1718836</v>
      </c>
      <c r="O78" s="2"/>
      <c r="P78" s="2"/>
      <c r="Q78">
        <f t="shared" si="2"/>
        <v>15481.661622712207</v>
      </c>
      <c r="R78">
        <f t="shared" si="3"/>
        <v>15477.604404816337</v>
      </c>
    </row>
    <row r="79" spans="1:18" ht="16" x14ac:dyDescent="0.4">
      <c r="A79" s="2">
        <v>120254</v>
      </c>
      <c r="B79" s="2" t="s">
        <v>120</v>
      </c>
      <c r="C79" s="2" t="s">
        <v>60</v>
      </c>
      <c r="D79" s="2">
        <v>1952</v>
      </c>
      <c r="E79" s="2">
        <v>57</v>
      </c>
      <c r="F79" s="2" t="s">
        <v>47</v>
      </c>
      <c r="G79" s="2" t="s">
        <v>37</v>
      </c>
      <c r="H79" s="2">
        <v>3</v>
      </c>
      <c r="I79" s="2">
        <v>38</v>
      </c>
      <c r="J79" s="2" t="s">
        <v>38</v>
      </c>
      <c r="K79" s="2">
        <v>473</v>
      </c>
      <c r="L79" s="2">
        <v>41.9</v>
      </c>
      <c r="M79" s="2">
        <v>1383626</v>
      </c>
      <c r="N79" s="2">
        <v>1125381</v>
      </c>
      <c r="O79" s="2"/>
      <c r="P79" s="2"/>
      <c r="Q79">
        <f t="shared" si="2"/>
        <v>5678.3795102605118</v>
      </c>
      <c r="R79">
        <f t="shared" si="3"/>
        <v>5034.7909305600524</v>
      </c>
    </row>
    <row r="80" spans="1:18" ht="16" x14ac:dyDescent="0.4">
      <c r="A80" s="2">
        <v>120883</v>
      </c>
      <c r="B80" s="2" t="s">
        <v>121</v>
      </c>
      <c r="C80" s="2" t="s">
        <v>60</v>
      </c>
      <c r="D80" s="2">
        <v>3481</v>
      </c>
      <c r="E80" s="2">
        <v>52.2</v>
      </c>
      <c r="F80" s="2" t="s">
        <v>47</v>
      </c>
      <c r="G80" s="2" t="s">
        <v>37</v>
      </c>
      <c r="H80" s="2">
        <v>1</v>
      </c>
      <c r="I80" s="2">
        <v>13</v>
      </c>
      <c r="J80" s="2" t="s">
        <v>41</v>
      </c>
      <c r="K80" s="2">
        <v>322</v>
      </c>
      <c r="L80" s="2">
        <v>53.7</v>
      </c>
      <c r="M80" s="2">
        <v>7499725</v>
      </c>
      <c r="N80" s="2">
        <v>7816804</v>
      </c>
      <c r="O80" s="2"/>
      <c r="P80" s="2"/>
      <c r="Q80">
        <f t="shared" si="2"/>
        <v>45206.310651537751</v>
      </c>
      <c r="R80">
        <f t="shared" si="3"/>
        <v>50304.689910521447</v>
      </c>
    </row>
    <row r="81" spans="1:18" ht="16" x14ac:dyDescent="0.4">
      <c r="A81" s="2">
        <v>121150</v>
      </c>
      <c r="B81" s="2" t="s">
        <v>122</v>
      </c>
      <c r="C81" s="2" t="s">
        <v>60</v>
      </c>
      <c r="D81" s="2">
        <v>3320</v>
      </c>
      <c r="E81" s="2">
        <v>58.8</v>
      </c>
      <c r="F81" s="2" t="s">
        <v>47</v>
      </c>
      <c r="G81" s="2" t="s">
        <v>37</v>
      </c>
      <c r="H81" s="2">
        <v>1</v>
      </c>
      <c r="I81" s="2">
        <v>38</v>
      </c>
      <c r="J81" s="2" t="s">
        <v>41</v>
      </c>
      <c r="K81" s="2">
        <v>329</v>
      </c>
      <c r="L81" s="2">
        <v>55.6</v>
      </c>
      <c r="M81" s="2">
        <v>10109940</v>
      </c>
      <c r="N81" s="2">
        <v>9575378</v>
      </c>
      <c r="O81" s="2"/>
      <c r="P81" s="2"/>
      <c r="Q81">
        <f t="shared" si="2"/>
        <v>52346.209354704682</v>
      </c>
      <c r="R81">
        <f t="shared" si="3"/>
        <v>69210.137188860594</v>
      </c>
    </row>
    <row r="82" spans="1:18" ht="16" x14ac:dyDescent="0.4">
      <c r="A82" s="2">
        <v>121309</v>
      </c>
      <c r="B82" s="2" t="s">
        <v>123</v>
      </c>
      <c r="C82" s="2" t="s">
        <v>60</v>
      </c>
      <c r="D82" s="2">
        <v>2611</v>
      </c>
      <c r="E82" s="2">
        <v>64.599999999999994</v>
      </c>
      <c r="F82" s="2" t="s">
        <v>47</v>
      </c>
      <c r="G82" s="2" t="s">
        <v>37</v>
      </c>
      <c r="H82" s="2">
        <v>2</v>
      </c>
      <c r="I82" s="2">
        <v>38</v>
      </c>
      <c r="J82" s="2" t="s">
        <v>41</v>
      </c>
      <c r="K82" s="2">
        <v>196</v>
      </c>
      <c r="L82" s="2">
        <v>59.7</v>
      </c>
      <c r="M82" s="2">
        <v>2020227</v>
      </c>
      <c r="N82" s="2">
        <v>2747660</v>
      </c>
      <c r="O82" s="2"/>
      <c r="P82" s="2"/>
      <c r="Q82">
        <f t="shared" si="2"/>
        <v>23481.865107852183</v>
      </c>
      <c r="R82">
        <f t="shared" si="3"/>
        <v>25576.37869043399</v>
      </c>
    </row>
    <row r="83" spans="1:18" ht="16" x14ac:dyDescent="0.4">
      <c r="A83" s="2">
        <v>121345</v>
      </c>
      <c r="B83" s="2" t="s">
        <v>124</v>
      </c>
      <c r="C83" s="2" t="s">
        <v>60</v>
      </c>
      <c r="D83" s="2">
        <v>1610</v>
      </c>
      <c r="E83" s="2">
        <v>52.3</v>
      </c>
      <c r="F83" s="2" t="s">
        <v>47</v>
      </c>
      <c r="G83" s="2" t="s">
        <v>37</v>
      </c>
      <c r="H83" s="2">
        <v>3</v>
      </c>
      <c r="I83" s="2">
        <v>38</v>
      </c>
      <c r="J83" s="2" t="s">
        <v>38</v>
      </c>
      <c r="K83" s="2">
        <v>530</v>
      </c>
      <c r="L83" s="2">
        <v>43.8</v>
      </c>
      <c r="M83" s="2">
        <v>1805052</v>
      </c>
      <c r="N83" s="2">
        <v>1569541</v>
      </c>
      <c r="O83" s="2"/>
      <c r="P83" s="2"/>
      <c r="Q83">
        <f t="shared" si="2"/>
        <v>6761.1829068665465</v>
      </c>
      <c r="R83">
        <f t="shared" si="3"/>
        <v>6060.0684885516685</v>
      </c>
    </row>
    <row r="84" spans="1:18" ht="16" x14ac:dyDescent="0.4">
      <c r="A84" s="2">
        <v>121691</v>
      </c>
      <c r="B84" s="2" t="s">
        <v>125</v>
      </c>
      <c r="C84" s="2" t="s">
        <v>60</v>
      </c>
      <c r="D84" s="2">
        <v>2642</v>
      </c>
      <c r="E84" s="2">
        <v>60.4</v>
      </c>
      <c r="F84" s="2" t="s">
        <v>47</v>
      </c>
      <c r="G84" s="2" t="s">
        <v>37</v>
      </c>
      <c r="H84" s="2">
        <v>3</v>
      </c>
      <c r="I84" s="2">
        <v>38</v>
      </c>
      <c r="J84" s="2" t="s">
        <v>38</v>
      </c>
      <c r="K84" s="2">
        <v>514</v>
      </c>
      <c r="L84" s="2">
        <v>39.5</v>
      </c>
      <c r="M84" s="2">
        <v>1913586</v>
      </c>
      <c r="N84" s="2">
        <v>1158628</v>
      </c>
      <c r="O84" s="2"/>
      <c r="P84" s="2"/>
      <c r="Q84">
        <f t="shared" si="2"/>
        <v>5706.6837413190169</v>
      </c>
      <c r="R84">
        <f t="shared" si="3"/>
        <v>6153.6032414702386</v>
      </c>
    </row>
    <row r="85" spans="1:18" ht="16" x14ac:dyDescent="0.4">
      <c r="A85" s="2">
        <v>122409</v>
      </c>
      <c r="B85" s="2" t="s">
        <v>126</v>
      </c>
      <c r="C85" s="2" t="s">
        <v>60</v>
      </c>
      <c r="D85" s="2">
        <v>27369</v>
      </c>
      <c r="E85" s="2">
        <v>55.7</v>
      </c>
      <c r="F85" s="2" t="s">
        <v>36</v>
      </c>
      <c r="G85" s="2" t="s">
        <v>37</v>
      </c>
      <c r="H85" s="2">
        <v>1</v>
      </c>
      <c r="I85" s="2">
        <v>38</v>
      </c>
      <c r="J85" s="2" t="s">
        <v>38</v>
      </c>
      <c r="K85" s="2">
        <v>615</v>
      </c>
      <c r="L85" s="2">
        <v>63.1</v>
      </c>
      <c r="M85" s="2">
        <v>26377300</v>
      </c>
      <c r="N85" s="2">
        <v>12604759</v>
      </c>
      <c r="O85" s="2"/>
      <c r="P85" s="2"/>
      <c r="Q85">
        <f t="shared" si="2"/>
        <v>32481.05085488256</v>
      </c>
      <c r="R85">
        <f t="shared" si="3"/>
        <v>116232.84200321678</v>
      </c>
    </row>
    <row r="86" spans="1:18" ht="16" x14ac:dyDescent="0.4">
      <c r="A86" s="2">
        <v>122436</v>
      </c>
      <c r="B86" s="2" t="s">
        <v>127</v>
      </c>
      <c r="C86" s="2" t="s">
        <v>60</v>
      </c>
      <c r="D86" s="2">
        <v>5691</v>
      </c>
      <c r="E86" s="2">
        <v>55.8</v>
      </c>
      <c r="F86" s="2" t="s">
        <v>47</v>
      </c>
      <c r="G86" s="2" t="s">
        <v>37</v>
      </c>
      <c r="H86" s="2">
        <v>1</v>
      </c>
      <c r="I86" s="2">
        <v>37</v>
      </c>
      <c r="J86" s="2" t="s">
        <v>38</v>
      </c>
      <c r="K86" s="2">
        <v>473</v>
      </c>
      <c r="L86" s="2">
        <v>51.8</v>
      </c>
      <c r="M86" s="2">
        <v>8622389</v>
      </c>
      <c r="N86" s="2">
        <v>8318053</v>
      </c>
      <c r="O86" s="2"/>
      <c r="P86" s="2"/>
      <c r="Q86">
        <f t="shared" si="2"/>
        <v>33949.296774878167</v>
      </c>
      <c r="R86">
        <f t="shared" si="3"/>
        <v>37819.817883554249</v>
      </c>
    </row>
    <row r="87" spans="1:18" ht="16" x14ac:dyDescent="0.4">
      <c r="A87" s="2">
        <v>122597</v>
      </c>
      <c r="B87" s="2" t="s">
        <v>128</v>
      </c>
      <c r="C87" s="2" t="s">
        <v>60</v>
      </c>
      <c r="D87" s="2">
        <v>21444</v>
      </c>
      <c r="E87" s="2">
        <v>56.2</v>
      </c>
      <c r="F87" s="2" t="s">
        <v>36</v>
      </c>
      <c r="G87" s="2" t="s">
        <v>37</v>
      </c>
      <c r="H87" s="2">
        <v>2</v>
      </c>
      <c r="I87" s="2">
        <v>38</v>
      </c>
      <c r="J87" s="2" t="s">
        <v>41</v>
      </c>
      <c r="K87" s="2">
        <v>280</v>
      </c>
      <c r="L87" s="2">
        <v>49.3</v>
      </c>
      <c r="M87" s="2">
        <v>1829792</v>
      </c>
      <c r="N87" s="2">
        <v>1950393</v>
      </c>
      <c r="O87" s="2"/>
      <c r="P87" s="2"/>
      <c r="Q87">
        <f t="shared" si="2"/>
        <v>14129.187192118228</v>
      </c>
      <c r="R87">
        <f t="shared" si="3"/>
        <v>12889.489997182303</v>
      </c>
    </row>
    <row r="88" spans="1:18" ht="16" x14ac:dyDescent="0.4">
      <c r="A88" s="2">
        <v>122612</v>
      </c>
      <c r="B88" s="2" t="s">
        <v>129</v>
      </c>
      <c r="C88" s="2" t="s">
        <v>60</v>
      </c>
      <c r="D88" s="2">
        <v>6311</v>
      </c>
      <c r="E88" s="2">
        <v>63.1</v>
      </c>
      <c r="F88" s="2" t="s">
        <v>47</v>
      </c>
      <c r="G88" s="2" t="s">
        <v>37</v>
      </c>
      <c r="H88" s="2">
        <v>1</v>
      </c>
      <c r="I88" s="2">
        <v>12</v>
      </c>
      <c r="J88" s="2" t="s">
        <v>41</v>
      </c>
      <c r="K88" s="2">
        <v>273</v>
      </c>
      <c r="L88" s="2">
        <v>63</v>
      </c>
      <c r="M88" s="2">
        <v>8604053</v>
      </c>
      <c r="N88" s="2">
        <v>8727627</v>
      </c>
      <c r="O88" s="2"/>
      <c r="P88" s="2"/>
      <c r="Q88">
        <f t="shared" si="2"/>
        <v>50744.967730682016</v>
      </c>
      <c r="R88">
        <f t="shared" si="3"/>
        <v>85180.209880209877</v>
      </c>
    </row>
    <row r="89" spans="1:18" ht="16" x14ac:dyDescent="0.4">
      <c r="A89" s="2">
        <v>122755</v>
      </c>
      <c r="B89" s="2" t="s">
        <v>130</v>
      </c>
      <c r="C89" s="2" t="s">
        <v>60</v>
      </c>
      <c r="D89" s="2">
        <v>23516</v>
      </c>
      <c r="E89" s="2">
        <v>50.4</v>
      </c>
      <c r="F89" s="2" t="s">
        <v>36</v>
      </c>
      <c r="G89" s="2" t="s">
        <v>37</v>
      </c>
      <c r="H89" s="2">
        <v>1</v>
      </c>
      <c r="I89" s="2">
        <v>38</v>
      </c>
      <c r="J89" s="2" t="s">
        <v>38</v>
      </c>
      <c r="K89" s="2">
        <v>438</v>
      </c>
      <c r="L89" s="2">
        <v>47.3</v>
      </c>
      <c r="M89" s="2">
        <v>15879881</v>
      </c>
      <c r="N89" s="2">
        <v>8943725</v>
      </c>
      <c r="O89" s="2"/>
      <c r="P89" s="2"/>
      <c r="Q89">
        <f t="shared" si="2"/>
        <v>43170.113045073231</v>
      </c>
      <c r="R89">
        <f t="shared" si="3"/>
        <v>68795.893876772971</v>
      </c>
    </row>
    <row r="90" spans="1:18" ht="16" x14ac:dyDescent="0.4">
      <c r="A90" s="2">
        <v>122931</v>
      </c>
      <c r="B90" s="2" t="s">
        <v>131</v>
      </c>
      <c r="C90" s="2" t="s">
        <v>60</v>
      </c>
      <c r="D90" s="2">
        <v>5570</v>
      </c>
      <c r="E90" s="2">
        <v>50.2</v>
      </c>
      <c r="F90" s="2" t="s">
        <v>47</v>
      </c>
      <c r="G90" s="2" t="s">
        <v>37</v>
      </c>
      <c r="H90" s="2">
        <v>1</v>
      </c>
      <c r="I90" s="2">
        <v>38</v>
      </c>
      <c r="J90" s="2" t="s">
        <v>41</v>
      </c>
      <c r="K90" s="2">
        <v>455</v>
      </c>
      <c r="L90" s="2">
        <v>53.6</v>
      </c>
      <c r="M90" s="2">
        <v>10134145</v>
      </c>
      <c r="N90" s="2">
        <v>7757159</v>
      </c>
      <c r="O90" s="2"/>
      <c r="P90" s="2"/>
      <c r="Q90">
        <f t="shared" si="2"/>
        <v>31807.278169591598</v>
      </c>
      <c r="R90">
        <f t="shared" si="3"/>
        <v>48001.823607427061</v>
      </c>
    </row>
    <row r="91" spans="1:18" ht="16" x14ac:dyDescent="0.4">
      <c r="A91" s="2">
        <v>123554</v>
      </c>
      <c r="B91" s="2" t="s">
        <v>132</v>
      </c>
      <c r="C91" s="2" t="s">
        <v>60</v>
      </c>
      <c r="D91" s="2">
        <v>2486</v>
      </c>
      <c r="E91" s="2">
        <v>56</v>
      </c>
      <c r="F91" s="2" t="s">
        <v>47</v>
      </c>
      <c r="G91" s="2" t="s">
        <v>37</v>
      </c>
      <c r="H91" s="2">
        <v>1</v>
      </c>
      <c r="I91" s="2">
        <v>38</v>
      </c>
      <c r="J91" s="2" t="s">
        <v>41</v>
      </c>
      <c r="K91" s="2">
        <v>323</v>
      </c>
      <c r="L91" s="2">
        <v>58.5</v>
      </c>
      <c r="M91" s="2">
        <v>8403790</v>
      </c>
      <c r="N91" s="2">
        <v>6390447</v>
      </c>
      <c r="O91" s="2"/>
      <c r="P91" s="2"/>
      <c r="Q91">
        <f t="shared" si="2"/>
        <v>33819.941255854574</v>
      </c>
      <c r="R91">
        <f t="shared" si="3"/>
        <v>62693.796859263675</v>
      </c>
    </row>
    <row r="92" spans="1:18" ht="16" x14ac:dyDescent="0.4">
      <c r="A92" s="2">
        <v>123572</v>
      </c>
      <c r="B92" s="2" t="s">
        <v>133</v>
      </c>
      <c r="C92" s="2" t="s">
        <v>60</v>
      </c>
      <c r="D92" s="2">
        <v>7408</v>
      </c>
      <c r="E92" s="2">
        <v>62.7</v>
      </c>
      <c r="F92" s="2" t="s">
        <v>36</v>
      </c>
      <c r="G92" s="2" t="s">
        <v>37</v>
      </c>
      <c r="H92" s="2">
        <v>2</v>
      </c>
      <c r="I92" s="2">
        <v>38</v>
      </c>
      <c r="J92" s="2" t="s">
        <v>41</v>
      </c>
      <c r="K92" s="2">
        <v>288</v>
      </c>
      <c r="L92" s="2">
        <v>56.6</v>
      </c>
      <c r="M92" s="2">
        <v>1993770</v>
      </c>
      <c r="N92" s="2">
        <v>2427959</v>
      </c>
      <c r="O92" s="2"/>
      <c r="P92" s="2"/>
      <c r="Q92">
        <f t="shared" si="2"/>
        <v>14894.72295838241</v>
      </c>
      <c r="R92">
        <f t="shared" si="3"/>
        <v>15951.180875576036</v>
      </c>
    </row>
    <row r="93" spans="1:18" ht="16" x14ac:dyDescent="0.4">
      <c r="A93" s="2">
        <v>123961</v>
      </c>
      <c r="B93" s="2" t="s">
        <v>134</v>
      </c>
      <c r="C93" s="2" t="s">
        <v>60</v>
      </c>
      <c r="D93" s="2">
        <v>19449</v>
      </c>
      <c r="E93" s="2">
        <v>52</v>
      </c>
      <c r="F93" s="2" t="s">
        <v>47</v>
      </c>
      <c r="G93" s="2" t="s">
        <v>37</v>
      </c>
      <c r="H93" s="2">
        <v>1</v>
      </c>
      <c r="I93" s="2">
        <v>38</v>
      </c>
      <c r="J93" s="2" t="s">
        <v>38</v>
      </c>
      <c r="K93" s="2">
        <v>667</v>
      </c>
      <c r="L93" s="2">
        <v>47.1</v>
      </c>
      <c r="M93" s="2">
        <v>52698949</v>
      </c>
      <c r="N93" s="2">
        <v>18383243</v>
      </c>
      <c r="O93" s="2"/>
      <c r="P93" s="2"/>
      <c r="Q93">
        <f t="shared" si="2"/>
        <v>58516.101821700606</v>
      </c>
      <c r="R93">
        <f t="shared" si="3"/>
        <v>149355.23448105814</v>
      </c>
    </row>
    <row r="94" spans="1:18" ht="16" x14ac:dyDescent="0.4">
      <c r="A94" s="2">
        <v>125763</v>
      </c>
      <c r="B94" s="2" t="s">
        <v>135</v>
      </c>
      <c r="C94" s="2" t="s">
        <v>60</v>
      </c>
      <c r="D94" s="2">
        <v>1746</v>
      </c>
      <c r="E94" s="2">
        <v>56.5</v>
      </c>
      <c r="F94" s="2" t="s">
        <v>47</v>
      </c>
      <c r="G94" s="2" t="s">
        <v>37</v>
      </c>
      <c r="H94" s="2">
        <v>3</v>
      </c>
      <c r="I94" s="2">
        <v>38</v>
      </c>
      <c r="J94" s="2" t="s">
        <v>38</v>
      </c>
      <c r="K94" s="2">
        <v>460</v>
      </c>
      <c r="L94" s="2">
        <v>38.299999999999997</v>
      </c>
      <c r="M94" s="2">
        <v>1303314</v>
      </c>
      <c r="N94" s="2">
        <v>784704</v>
      </c>
      <c r="O94" s="2"/>
      <c r="P94" s="2"/>
      <c r="Q94">
        <f t="shared" si="2"/>
        <v>4453.9902372573506</v>
      </c>
      <c r="R94">
        <f t="shared" si="3"/>
        <v>4592.0442534000422</v>
      </c>
    </row>
    <row r="95" spans="1:18" ht="16" x14ac:dyDescent="0.4">
      <c r="A95" s="2">
        <v>126182</v>
      </c>
      <c r="B95" s="2" t="s">
        <v>136</v>
      </c>
      <c r="C95" s="2" t="s">
        <v>63</v>
      </c>
      <c r="D95" s="2">
        <v>1352</v>
      </c>
      <c r="E95" s="2">
        <v>48.3</v>
      </c>
      <c r="F95" s="2" t="s">
        <v>36</v>
      </c>
      <c r="G95" s="2" t="s">
        <v>37</v>
      </c>
      <c r="H95" s="2">
        <v>2</v>
      </c>
      <c r="I95" s="2">
        <v>38</v>
      </c>
      <c r="J95" s="2" t="s">
        <v>38</v>
      </c>
      <c r="K95" s="2">
        <v>769</v>
      </c>
      <c r="L95" s="2">
        <v>33.799999999999997</v>
      </c>
      <c r="M95" s="2">
        <v>2813769</v>
      </c>
      <c r="N95" s="2">
        <v>2040509</v>
      </c>
      <c r="O95" s="2"/>
      <c r="P95" s="2"/>
      <c r="Q95">
        <f t="shared" si="2"/>
        <v>7850.466678465079</v>
      </c>
      <c r="R95">
        <f t="shared" si="3"/>
        <v>5527.1864036552352</v>
      </c>
    </row>
    <row r="96" spans="1:18" ht="16" x14ac:dyDescent="0.4">
      <c r="A96" s="2">
        <v>126580</v>
      </c>
      <c r="B96" s="2" t="s">
        <v>137</v>
      </c>
      <c r="C96" s="2" t="s">
        <v>63</v>
      </c>
      <c r="D96" s="2">
        <v>8146</v>
      </c>
      <c r="E96" s="2">
        <v>51.2</v>
      </c>
      <c r="F96" s="2" t="s">
        <v>36</v>
      </c>
      <c r="G96" s="2" t="s">
        <v>37</v>
      </c>
      <c r="H96" s="2">
        <v>2</v>
      </c>
      <c r="I96" s="2">
        <v>38</v>
      </c>
      <c r="J96" s="2" t="s">
        <v>41</v>
      </c>
      <c r="K96" s="2">
        <v>450</v>
      </c>
      <c r="L96" s="2">
        <v>50.4</v>
      </c>
      <c r="M96" s="2">
        <v>2074337</v>
      </c>
      <c r="N96" s="2">
        <v>2508246</v>
      </c>
      <c r="O96" s="2"/>
      <c r="P96" s="2"/>
      <c r="Q96">
        <f t="shared" si="2"/>
        <v>11059.285714285714</v>
      </c>
      <c r="R96">
        <f t="shared" si="3"/>
        <v>9293.6245519713248</v>
      </c>
    </row>
    <row r="97" spans="1:18" ht="16" x14ac:dyDescent="0.4">
      <c r="A97" s="2">
        <v>126614</v>
      </c>
      <c r="B97" s="2" t="s">
        <v>138</v>
      </c>
      <c r="C97" s="2" t="s">
        <v>63</v>
      </c>
      <c r="D97" s="2">
        <v>28791</v>
      </c>
      <c r="E97" s="2">
        <v>45.9</v>
      </c>
      <c r="F97" s="2" t="s">
        <v>36</v>
      </c>
      <c r="G97" s="2" t="s">
        <v>37</v>
      </c>
      <c r="H97" s="2">
        <v>1</v>
      </c>
      <c r="I97" s="2">
        <v>38</v>
      </c>
      <c r="J97" s="2" t="s">
        <v>38</v>
      </c>
      <c r="K97" s="2">
        <v>478</v>
      </c>
      <c r="L97" s="2">
        <v>47.1</v>
      </c>
      <c r="M97" s="2">
        <v>31958919</v>
      </c>
      <c r="N97" s="2">
        <v>12528067</v>
      </c>
      <c r="O97" s="2"/>
      <c r="P97" s="2"/>
      <c r="Q97">
        <f t="shared" si="2"/>
        <v>55646.168127992605</v>
      </c>
      <c r="R97">
        <f t="shared" si="3"/>
        <v>126388.7772777246</v>
      </c>
    </row>
    <row r="98" spans="1:18" ht="16" x14ac:dyDescent="0.4">
      <c r="A98" s="2">
        <v>126669</v>
      </c>
      <c r="B98" s="2" t="s">
        <v>139</v>
      </c>
      <c r="C98" s="2" t="s">
        <v>63</v>
      </c>
      <c r="D98" s="2">
        <v>1631</v>
      </c>
      <c r="E98" s="2">
        <v>63.1</v>
      </c>
      <c r="F98" s="2" t="s">
        <v>47</v>
      </c>
      <c r="G98" s="2" t="s">
        <v>37</v>
      </c>
      <c r="H98" s="2">
        <v>2</v>
      </c>
      <c r="I98" s="2">
        <v>37</v>
      </c>
      <c r="J98" s="2" t="s">
        <v>41</v>
      </c>
      <c r="K98" s="2">
        <v>186</v>
      </c>
      <c r="L98" s="2">
        <v>50</v>
      </c>
      <c r="M98" s="2">
        <v>1328229</v>
      </c>
      <c r="N98" s="2">
        <v>1845336</v>
      </c>
      <c r="O98" s="2"/>
      <c r="P98" s="2"/>
      <c r="Q98">
        <f t="shared" si="2"/>
        <v>19842.322580645163</v>
      </c>
      <c r="R98">
        <f t="shared" si="3"/>
        <v>14282.032258064517</v>
      </c>
    </row>
    <row r="99" spans="1:18" ht="16" x14ac:dyDescent="0.4">
      <c r="A99" s="2">
        <v>126678</v>
      </c>
      <c r="B99" s="2" t="s">
        <v>140</v>
      </c>
      <c r="C99" s="2" t="s">
        <v>63</v>
      </c>
      <c r="D99" s="2">
        <v>2089</v>
      </c>
      <c r="E99" s="2">
        <v>54.6</v>
      </c>
      <c r="F99" s="2" t="s">
        <v>47</v>
      </c>
      <c r="G99" s="2" t="s">
        <v>37</v>
      </c>
      <c r="H99" s="2">
        <v>3</v>
      </c>
      <c r="I99" s="2">
        <v>38</v>
      </c>
      <c r="J99" s="2" t="s">
        <v>41</v>
      </c>
      <c r="K99" s="2">
        <v>389</v>
      </c>
      <c r="L99" s="2">
        <v>48.3</v>
      </c>
      <c r="M99" s="2">
        <v>4979066</v>
      </c>
      <c r="N99" s="2">
        <v>2617222</v>
      </c>
      <c r="O99" s="2"/>
      <c r="P99" s="2"/>
      <c r="Q99">
        <f t="shared" si="2"/>
        <v>13929.76629569901</v>
      </c>
      <c r="R99">
        <f t="shared" si="3"/>
        <v>24757.554210816805</v>
      </c>
    </row>
    <row r="100" spans="1:18" ht="16" x14ac:dyDescent="0.4">
      <c r="A100" s="2">
        <v>126775</v>
      </c>
      <c r="B100" s="2" t="s">
        <v>141</v>
      </c>
      <c r="C100" s="2" t="s">
        <v>63</v>
      </c>
      <c r="D100" s="2">
        <v>4884</v>
      </c>
      <c r="E100" s="2">
        <v>31.4</v>
      </c>
      <c r="F100" s="2" t="s">
        <v>36</v>
      </c>
      <c r="G100" s="2" t="s">
        <v>37</v>
      </c>
      <c r="H100" s="2">
        <v>2</v>
      </c>
      <c r="I100" s="2">
        <v>38</v>
      </c>
      <c r="J100" s="2" t="s">
        <v>38</v>
      </c>
      <c r="K100" s="2">
        <v>611</v>
      </c>
      <c r="L100" s="2">
        <v>31.3</v>
      </c>
      <c r="M100" s="2">
        <v>5445610</v>
      </c>
      <c r="N100" s="2">
        <v>2696843</v>
      </c>
      <c r="O100" s="2"/>
      <c r="P100" s="2"/>
      <c r="Q100">
        <f t="shared" si="2"/>
        <v>14101.656008324488</v>
      </c>
      <c r="R100">
        <f t="shared" si="3"/>
        <v>12973.244043577592</v>
      </c>
    </row>
    <row r="101" spans="1:18" ht="16" x14ac:dyDescent="0.4">
      <c r="A101" s="2">
        <v>126818</v>
      </c>
      <c r="B101" s="2" t="s">
        <v>142</v>
      </c>
      <c r="C101" s="2" t="s">
        <v>63</v>
      </c>
      <c r="D101" s="2">
        <v>21930</v>
      </c>
      <c r="E101" s="2">
        <v>53</v>
      </c>
      <c r="F101" s="2" t="s">
        <v>36</v>
      </c>
      <c r="G101" s="2" t="s">
        <v>37</v>
      </c>
      <c r="H101" s="2">
        <v>1</v>
      </c>
      <c r="I101" s="2">
        <v>38</v>
      </c>
      <c r="J101" s="2" t="s">
        <v>38</v>
      </c>
      <c r="K101" s="2">
        <v>415</v>
      </c>
      <c r="L101" s="2">
        <v>47</v>
      </c>
      <c r="M101" s="2">
        <v>32581925</v>
      </c>
      <c r="N101" s="2">
        <v>10570904</v>
      </c>
      <c r="O101" s="2"/>
      <c r="P101" s="2"/>
      <c r="Q101">
        <f t="shared" si="2"/>
        <v>54195.867726224045</v>
      </c>
      <c r="R101">
        <f t="shared" si="3"/>
        <v>148133.32575585358</v>
      </c>
    </row>
    <row r="102" spans="1:18" ht="16" x14ac:dyDescent="0.4">
      <c r="A102" s="2">
        <v>127060</v>
      </c>
      <c r="B102" s="2" t="s">
        <v>143</v>
      </c>
      <c r="C102" s="2" t="s">
        <v>63</v>
      </c>
      <c r="D102" s="2">
        <v>5467</v>
      </c>
      <c r="E102" s="2">
        <v>54.5</v>
      </c>
      <c r="F102" s="2" t="s">
        <v>47</v>
      </c>
      <c r="G102" s="2" t="s">
        <v>37</v>
      </c>
      <c r="H102" s="2">
        <v>1</v>
      </c>
      <c r="I102" s="2">
        <v>38</v>
      </c>
      <c r="J102" s="2" t="s">
        <v>41</v>
      </c>
      <c r="K102" s="2">
        <v>351</v>
      </c>
      <c r="L102" s="2">
        <v>47.9</v>
      </c>
      <c r="M102" s="2">
        <v>13013351</v>
      </c>
      <c r="N102" s="2">
        <v>12283342</v>
      </c>
      <c r="O102" s="2"/>
      <c r="P102" s="2"/>
      <c r="Q102">
        <f t="shared" si="2"/>
        <v>73059.032052769006</v>
      </c>
      <c r="R102">
        <f t="shared" si="3"/>
        <v>71161.370583635449</v>
      </c>
    </row>
    <row r="103" spans="1:18" ht="16" x14ac:dyDescent="0.4">
      <c r="A103" s="2">
        <v>127185</v>
      </c>
      <c r="B103" s="2" t="s">
        <v>144</v>
      </c>
      <c r="C103" s="2" t="s">
        <v>63</v>
      </c>
      <c r="D103" s="2">
        <v>2838</v>
      </c>
      <c r="E103" s="2">
        <v>53.5</v>
      </c>
      <c r="F103" s="2" t="s">
        <v>36</v>
      </c>
      <c r="G103" s="2" t="s">
        <v>37</v>
      </c>
      <c r="H103" s="2">
        <v>2</v>
      </c>
      <c r="I103" s="2">
        <v>36</v>
      </c>
      <c r="J103" s="2" t="s">
        <v>38</v>
      </c>
      <c r="K103" s="2">
        <v>353</v>
      </c>
      <c r="L103" s="2">
        <v>44.8</v>
      </c>
      <c r="M103" s="2">
        <v>2560841</v>
      </c>
      <c r="N103" s="2">
        <v>1701582</v>
      </c>
      <c r="O103" s="2"/>
      <c r="P103" s="2"/>
      <c r="Q103">
        <f t="shared" si="2"/>
        <v>10759.700020234724</v>
      </c>
      <c r="R103">
        <f t="shared" si="3"/>
        <v>13142.222974914808</v>
      </c>
    </row>
    <row r="104" spans="1:18" ht="16" x14ac:dyDescent="0.4">
      <c r="A104" s="2">
        <v>127556</v>
      </c>
      <c r="B104" s="2" t="s">
        <v>145</v>
      </c>
      <c r="C104" s="2" t="s">
        <v>63</v>
      </c>
      <c r="D104" s="2">
        <v>6932</v>
      </c>
      <c r="E104" s="2">
        <v>53.8</v>
      </c>
      <c r="F104" s="2" t="s">
        <v>36</v>
      </c>
      <c r="G104" s="2" t="s">
        <v>37</v>
      </c>
      <c r="H104" s="2">
        <v>2</v>
      </c>
      <c r="I104" s="2">
        <v>38</v>
      </c>
      <c r="J104" s="2" t="s">
        <v>38</v>
      </c>
      <c r="K104" s="2">
        <v>834</v>
      </c>
      <c r="L104" s="2">
        <v>38.799999999999997</v>
      </c>
      <c r="M104" s="2">
        <v>4514092</v>
      </c>
      <c r="N104" s="2">
        <v>3085443</v>
      </c>
      <c r="O104" s="2"/>
      <c r="P104" s="2"/>
      <c r="Q104">
        <f t="shared" si="2"/>
        <v>9534.979233108359</v>
      </c>
      <c r="R104">
        <f t="shared" si="3"/>
        <v>8844.0855159010043</v>
      </c>
    </row>
    <row r="105" spans="1:18" ht="16" x14ac:dyDescent="0.4">
      <c r="A105" s="2">
        <v>127565</v>
      </c>
      <c r="B105" s="2" t="s">
        <v>146</v>
      </c>
      <c r="C105" s="2" t="s">
        <v>63</v>
      </c>
      <c r="D105" s="2">
        <v>12068</v>
      </c>
      <c r="E105" s="2">
        <v>53</v>
      </c>
      <c r="F105" s="2" t="s">
        <v>36</v>
      </c>
      <c r="G105" s="2" t="s">
        <v>37</v>
      </c>
      <c r="H105" s="2">
        <v>2</v>
      </c>
      <c r="I105" s="2">
        <v>8</v>
      </c>
      <c r="J105" s="2" t="s">
        <v>41</v>
      </c>
      <c r="K105" s="2">
        <v>284</v>
      </c>
      <c r="L105" s="2">
        <v>51.1</v>
      </c>
      <c r="M105" s="2">
        <v>1876226</v>
      </c>
      <c r="N105" s="2">
        <v>2531538</v>
      </c>
      <c r="O105" s="2"/>
      <c r="P105" s="2"/>
      <c r="Q105">
        <f t="shared" si="2"/>
        <v>17443.965160827982</v>
      </c>
      <c r="R105">
        <f t="shared" si="3"/>
        <v>13510.080935510816</v>
      </c>
    </row>
    <row r="106" spans="1:18" ht="16" x14ac:dyDescent="0.4">
      <c r="A106" s="2">
        <v>127741</v>
      </c>
      <c r="B106" s="2" t="s">
        <v>147</v>
      </c>
      <c r="C106" s="2" t="s">
        <v>63</v>
      </c>
      <c r="D106" s="2">
        <v>7676</v>
      </c>
      <c r="E106" s="2">
        <v>65.8</v>
      </c>
      <c r="F106" s="2" t="s">
        <v>36</v>
      </c>
      <c r="G106" s="2" t="s">
        <v>37</v>
      </c>
      <c r="H106" s="2">
        <v>1</v>
      </c>
      <c r="I106" s="2">
        <v>14</v>
      </c>
      <c r="J106" s="2" t="s">
        <v>38</v>
      </c>
      <c r="K106" s="2">
        <v>452</v>
      </c>
      <c r="L106" s="2">
        <v>41.6</v>
      </c>
      <c r="M106" s="2">
        <v>7692549</v>
      </c>
      <c r="N106" s="2">
        <v>5072826</v>
      </c>
      <c r="O106" s="2"/>
      <c r="P106" s="2"/>
      <c r="Q106">
        <f t="shared" si="2"/>
        <v>26978.52493192648</v>
      </c>
      <c r="R106">
        <f t="shared" si="3"/>
        <v>29141.975542490003</v>
      </c>
    </row>
    <row r="107" spans="1:18" ht="16" x14ac:dyDescent="0.4">
      <c r="A107" s="2">
        <v>127918</v>
      </c>
      <c r="B107" s="2" t="s">
        <v>148</v>
      </c>
      <c r="C107" s="2" t="s">
        <v>63</v>
      </c>
      <c r="D107" s="2">
        <v>2190</v>
      </c>
      <c r="E107" s="2">
        <v>65.7</v>
      </c>
      <c r="F107" s="2" t="s">
        <v>47</v>
      </c>
      <c r="G107" s="2" t="s">
        <v>37</v>
      </c>
      <c r="H107" s="2">
        <v>2</v>
      </c>
      <c r="I107" s="2">
        <v>38</v>
      </c>
      <c r="J107" s="2" t="s">
        <v>41</v>
      </c>
      <c r="K107" s="2">
        <v>215</v>
      </c>
      <c r="L107" s="2">
        <v>53</v>
      </c>
      <c r="M107" s="2">
        <v>1930993</v>
      </c>
      <c r="N107" s="2">
        <v>2711912</v>
      </c>
      <c r="O107" s="2"/>
      <c r="P107" s="2"/>
      <c r="Q107">
        <f t="shared" si="2"/>
        <v>23799.139973672663</v>
      </c>
      <c r="R107">
        <f t="shared" si="3"/>
        <v>19109.282533399306</v>
      </c>
    </row>
    <row r="108" spans="1:18" ht="16" x14ac:dyDescent="0.4">
      <c r="A108" s="2">
        <v>128106</v>
      </c>
      <c r="B108" s="2" t="s">
        <v>149</v>
      </c>
      <c r="C108" s="2" t="s">
        <v>63</v>
      </c>
      <c r="D108" s="2">
        <v>2909</v>
      </c>
      <c r="E108" s="2">
        <v>52.1</v>
      </c>
      <c r="F108" s="2" t="s">
        <v>36</v>
      </c>
      <c r="G108" s="2" t="s">
        <v>37</v>
      </c>
      <c r="H108" s="2">
        <v>2</v>
      </c>
      <c r="I108" s="2">
        <v>13</v>
      </c>
      <c r="J108" s="2" t="s">
        <v>38</v>
      </c>
      <c r="K108" s="2">
        <v>614</v>
      </c>
      <c r="L108" s="2">
        <v>35.299999999999997</v>
      </c>
      <c r="M108" s="2">
        <v>4805335</v>
      </c>
      <c r="N108" s="2">
        <v>2435990</v>
      </c>
      <c r="O108" s="2"/>
      <c r="P108" s="2"/>
      <c r="Q108">
        <f t="shared" si="2"/>
        <v>11239.123012614076</v>
      </c>
      <c r="R108">
        <f t="shared" si="3"/>
        <v>12096.257344093761</v>
      </c>
    </row>
    <row r="109" spans="1:18" ht="16" x14ac:dyDescent="0.4">
      <c r="A109" s="2">
        <v>128391</v>
      </c>
      <c r="B109" s="2" t="s">
        <v>150</v>
      </c>
      <c r="C109" s="2" t="s">
        <v>63</v>
      </c>
      <c r="D109" s="2">
        <v>1731</v>
      </c>
      <c r="E109" s="2">
        <v>42.1</v>
      </c>
      <c r="F109" s="2" t="s">
        <v>36</v>
      </c>
      <c r="G109" s="2" t="s">
        <v>37</v>
      </c>
      <c r="H109" s="2">
        <v>2</v>
      </c>
      <c r="I109" s="2">
        <v>38</v>
      </c>
      <c r="J109" s="2" t="s">
        <v>38</v>
      </c>
      <c r="K109" s="2">
        <v>574</v>
      </c>
      <c r="L109" s="2">
        <v>43.4</v>
      </c>
      <c r="M109" s="2">
        <v>2401278</v>
      </c>
      <c r="N109" s="2">
        <v>1355914</v>
      </c>
      <c r="O109" s="2"/>
      <c r="P109" s="2"/>
      <c r="Q109">
        <f t="shared" si="2"/>
        <v>5442.9021018320782</v>
      </c>
      <c r="R109">
        <f t="shared" si="3"/>
        <v>7391.1857770773568</v>
      </c>
    </row>
    <row r="110" spans="1:18" ht="16" x14ac:dyDescent="0.4">
      <c r="A110" s="2">
        <v>128498</v>
      </c>
      <c r="B110" s="2" t="s">
        <v>151</v>
      </c>
      <c r="C110" s="2" t="s">
        <v>152</v>
      </c>
      <c r="D110" s="2">
        <v>984</v>
      </c>
      <c r="E110" s="2">
        <v>61.6</v>
      </c>
      <c r="F110" s="2" t="s">
        <v>47</v>
      </c>
      <c r="G110" s="2" t="s">
        <v>37</v>
      </c>
      <c r="H110" s="2">
        <v>3</v>
      </c>
      <c r="I110" s="2">
        <v>12</v>
      </c>
      <c r="J110" s="2" t="s">
        <v>41</v>
      </c>
      <c r="K110" s="2">
        <v>275</v>
      </c>
      <c r="L110" s="2">
        <v>43.6</v>
      </c>
      <c r="M110" s="2">
        <v>516819</v>
      </c>
      <c r="N110" s="2">
        <v>321240</v>
      </c>
      <c r="O110" s="2"/>
      <c r="P110" s="2"/>
      <c r="Q110">
        <f t="shared" si="2"/>
        <v>2679.2326939115928</v>
      </c>
      <c r="R110">
        <f t="shared" si="3"/>
        <v>3332.1663442940039</v>
      </c>
    </row>
    <row r="111" spans="1:18" ht="16" x14ac:dyDescent="0.4">
      <c r="A111" s="2">
        <v>128744</v>
      </c>
      <c r="B111" s="2" t="s">
        <v>153</v>
      </c>
      <c r="C111" s="2" t="s">
        <v>152</v>
      </c>
      <c r="D111" s="2">
        <v>2132</v>
      </c>
      <c r="E111" s="2">
        <v>64.2</v>
      </c>
      <c r="F111" s="2" t="s">
        <v>47</v>
      </c>
      <c r="G111" s="2" t="s">
        <v>37</v>
      </c>
      <c r="H111" s="2">
        <v>2</v>
      </c>
      <c r="I111" s="2">
        <v>38</v>
      </c>
      <c r="J111" s="2" t="s">
        <v>41</v>
      </c>
      <c r="K111" s="2">
        <v>219</v>
      </c>
      <c r="L111" s="2">
        <v>59.4</v>
      </c>
      <c r="M111" s="2">
        <v>1631146</v>
      </c>
      <c r="N111" s="2">
        <v>2706642</v>
      </c>
      <c r="O111" s="2"/>
      <c r="P111" s="2"/>
      <c r="Q111">
        <f t="shared" si="2"/>
        <v>20806.558738065589</v>
      </c>
      <c r="R111">
        <f t="shared" si="3"/>
        <v>18345.209978181163</v>
      </c>
    </row>
    <row r="112" spans="1:18" ht="16" x14ac:dyDescent="0.4">
      <c r="A112" s="2">
        <v>128771</v>
      </c>
      <c r="B112" s="2" t="s">
        <v>154</v>
      </c>
      <c r="C112" s="2" t="s">
        <v>152</v>
      </c>
      <c r="D112" s="2">
        <v>7243</v>
      </c>
      <c r="E112" s="2">
        <v>47.9</v>
      </c>
      <c r="F112" s="2" t="s">
        <v>36</v>
      </c>
      <c r="G112" s="2" t="s">
        <v>37</v>
      </c>
      <c r="H112" s="2">
        <v>1</v>
      </c>
      <c r="I112" s="2">
        <v>10</v>
      </c>
      <c r="J112" s="2" t="s">
        <v>38</v>
      </c>
      <c r="K112" s="2">
        <v>448</v>
      </c>
      <c r="L112" s="2">
        <v>42.9</v>
      </c>
      <c r="M112" s="2">
        <v>6055205</v>
      </c>
      <c r="N112" s="2">
        <v>5079384</v>
      </c>
      <c r="O112" s="2"/>
      <c r="P112" s="2"/>
      <c r="Q112">
        <f t="shared" si="2"/>
        <v>26428.696303696302</v>
      </c>
      <c r="R112">
        <f t="shared" si="3"/>
        <v>23670.897704528394</v>
      </c>
    </row>
    <row r="113" spans="1:18" ht="16" x14ac:dyDescent="0.4">
      <c r="A113" s="2">
        <v>128902</v>
      </c>
      <c r="B113" s="2" t="s">
        <v>155</v>
      </c>
      <c r="C113" s="2" t="s">
        <v>152</v>
      </c>
      <c r="D113" s="2">
        <v>1817</v>
      </c>
      <c r="E113" s="2">
        <v>62.1</v>
      </c>
      <c r="F113" s="2" t="s">
        <v>47</v>
      </c>
      <c r="G113" s="2" t="s">
        <v>37</v>
      </c>
      <c r="H113" s="2">
        <v>3</v>
      </c>
      <c r="I113" s="2">
        <v>38</v>
      </c>
      <c r="J113" s="2" t="s">
        <v>41</v>
      </c>
      <c r="K113" s="2">
        <v>653</v>
      </c>
      <c r="L113" s="2">
        <v>55.9</v>
      </c>
      <c r="M113" s="2">
        <v>1558069</v>
      </c>
      <c r="N113" s="2">
        <v>1826185</v>
      </c>
      <c r="O113" s="2"/>
      <c r="P113" s="2"/>
      <c r="Q113">
        <f t="shared" si="2"/>
        <v>5002.8764995466081</v>
      </c>
      <c r="R113">
        <f t="shared" si="3"/>
        <v>5410.4690370277767</v>
      </c>
    </row>
    <row r="114" spans="1:18" ht="16" x14ac:dyDescent="0.4">
      <c r="A114" s="2">
        <v>129020</v>
      </c>
      <c r="B114" s="2" t="s">
        <v>156</v>
      </c>
      <c r="C114" s="2" t="s">
        <v>152</v>
      </c>
      <c r="D114" s="2">
        <v>18151</v>
      </c>
      <c r="E114" s="2">
        <v>51</v>
      </c>
      <c r="F114" s="2" t="s">
        <v>36</v>
      </c>
      <c r="G114" s="2" t="s">
        <v>37</v>
      </c>
      <c r="H114" s="2">
        <v>1</v>
      </c>
      <c r="I114" s="2">
        <v>38</v>
      </c>
      <c r="J114" s="2" t="s">
        <v>38</v>
      </c>
      <c r="K114" s="2">
        <v>777</v>
      </c>
      <c r="L114" s="2">
        <v>49.7</v>
      </c>
      <c r="M114" s="2">
        <v>37686811</v>
      </c>
      <c r="N114" s="2">
        <v>21279602</v>
      </c>
      <c r="O114" s="2"/>
      <c r="P114" s="2"/>
      <c r="Q114">
        <f t="shared" si="2"/>
        <v>55104.376581237746</v>
      </c>
      <c r="R114">
        <f t="shared" si="3"/>
        <v>96427.384214660546</v>
      </c>
    </row>
    <row r="115" spans="1:18" ht="16" x14ac:dyDescent="0.4">
      <c r="A115" s="2">
        <v>129215</v>
      </c>
      <c r="B115" s="2" t="s">
        <v>157</v>
      </c>
      <c r="C115" s="2" t="s">
        <v>152</v>
      </c>
      <c r="D115" s="2">
        <v>4057</v>
      </c>
      <c r="E115" s="2">
        <v>57.3</v>
      </c>
      <c r="F115" s="2" t="s">
        <v>36</v>
      </c>
      <c r="G115" s="2" t="s">
        <v>37</v>
      </c>
      <c r="H115" s="2">
        <v>3</v>
      </c>
      <c r="I115" s="2">
        <v>9</v>
      </c>
      <c r="J115" s="2" t="s">
        <v>41</v>
      </c>
      <c r="K115" s="2">
        <v>402</v>
      </c>
      <c r="L115" s="2">
        <v>52.5</v>
      </c>
      <c r="M115" s="2">
        <v>1103781</v>
      </c>
      <c r="N115" s="2">
        <v>1459148</v>
      </c>
      <c r="O115" s="2"/>
      <c r="P115" s="2"/>
      <c r="Q115">
        <f t="shared" si="2"/>
        <v>6913.7550343520488</v>
      </c>
      <c r="R115">
        <f t="shared" si="3"/>
        <v>5780.4713275726626</v>
      </c>
    </row>
    <row r="116" spans="1:18" ht="16" x14ac:dyDescent="0.4">
      <c r="A116" s="2">
        <v>129242</v>
      </c>
      <c r="B116" s="2" t="s">
        <v>158</v>
      </c>
      <c r="C116" s="2" t="s">
        <v>152</v>
      </c>
      <c r="D116" s="2">
        <v>4159</v>
      </c>
      <c r="E116" s="2">
        <v>59.6</v>
      </c>
      <c r="F116" s="2" t="s">
        <v>47</v>
      </c>
      <c r="G116" s="2" t="s">
        <v>37</v>
      </c>
      <c r="H116" s="2">
        <v>1</v>
      </c>
      <c r="I116" s="2">
        <v>38</v>
      </c>
      <c r="J116" s="2" t="s">
        <v>41</v>
      </c>
      <c r="K116" s="2">
        <v>479</v>
      </c>
      <c r="L116" s="2">
        <v>52</v>
      </c>
      <c r="M116" s="2">
        <v>6951236</v>
      </c>
      <c r="N116" s="2">
        <v>6943478</v>
      </c>
      <c r="O116" s="2"/>
      <c r="P116" s="2"/>
      <c r="Q116">
        <f t="shared" si="2"/>
        <v>27876.49751083989</v>
      </c>
      <c r="R116">
        <f t="shared" si="3"/>
        <v>30233.281141266529</v>
      </c>
    </row>
    <row r="117" spans="1:18" ht="16" x14ac:dyDescent="0.4">
      <c r="A117" s="2">
        <v>129525</v>
      </c>
      <c r="B117" s="2" t="s">
        <v>159</v>
      </c>
      <c r="C117" s="2" t="s">
        <v>152</v>
      </c>
      <c r="D117" s="2">
        <v>4247</v>
      </c>
      <c r="E117" s="2">
        <v>52.1</v>
      </c>
      <c r="F117" s="2" t="s">
        <v>47</v>
      </c>
      <c r="G117" s="2" t="s">
        <v>37</v>
      </c>
      <c r="H117" s="2">
        <v>1</v>
      </c>
      <c r="I117" s="2">
        <v>8</v>
      </c>
      <c r="J117" s="2" t="s">
        <v>41</v>
      </c>
      <c r="K117" s="2">
        <v>316</v>
      </c>
      <c r="L117" s="2">
        <v>47.2</v>
      </c>
      <c r="M117" s="2">
        <v>6592257</v>
      </c>
      <c r="N117" s="2">
        <v>6224269</v>
      </c>
      <c r="O117" s="2"/>
      <c r="P117" s="2"/>
      <c r="Q117">
        <f t="shared" si="2"/>
        <v>41731.046181077021</v>
      </c>
      <c r="R117">
        <f t="shared" si="3"/>
        <v>39510.554516685843</v>
      </c>
    </row>
    <row r="118" spans="1:18" ht="16" x14ac:dyDescent="0.4">
      <c r="A118" s="2">
        <v>129774</v>
      </c>
      <c r="B118" s="2" t="s">
        <v>160</v>
      </c>
      <c r="C118" s="2" t="s">
        <v>152</v>
      </c>
      <c r="D118" s="2">
        <v>578</v>
      </c>
      <c r="E118" s="2">
        <v>42.7</v>
      </c>
      <c r="F118" s="2" t="s">
        <v>47</v>
      </c>
      <c r="G118" s="2" t="s">
        <v>37</v>
      </c>
      <c r="H118" s="2">
        <v>3</v>
      </c>
      <c r="I118" s="2">
        <v>38</v>
      </c>
      <c r="J118" s="2" t="s">
        <v>41</v>
      </c>
      <c r="K118" s="2">
        <v>216</v>
      </c>
      <c r="L118" s="2">
        <v>42.1</v>
      </c>
      <c r="M118" s="2">
        <v>437538</v>
      </c>
      <c r="N118" s="2">
        <v>332809</v>
      </c>
      <c r="O118" s="2"/>
      <c r="P118" s="2"/>
      <c r="Q118">
        <f t="shared" si="2"/>
        <v>3659.8156945544115</v>
      </c>
      <c r="R118">
        <f t="shared" si="3"/>
        <v>3498.5127614661296</v>
      </c>
    </row>
    <row r="119" spans="1:18" ht="16" x14ac:dyDescent="0.4">
      <c r="A119" s="2">
        <v>129941</v>
      </c>
      <c r="B119" s="2" t="s">
        <v>161</v>
      </c>
      <c r="C119" s="2" t="s">
        <v>152</v>
      </c>
      <c r="D119" s="2">
        <v>4625</v>
      </c>
      <c r="E119" s="2">
        <v>56</v>
      </c>
      <c r="F119" s="2" t="s">
        <v>47</v>
      </c>
      <c r="G119" s="2" t="s">
        <v>37</v>
      </c>
      <c r="H119" s="2">
        <v>2</v>
      </c>
      <c r="I119" s="2">
        <v>10</v>
      </c>
      <c r="J119" s="2" t="s">
        <v>38</v>
      </c>
      <c r="K119" s="2">
        <v>388</v>
      </c>
      <c r="L119" s="2">
        <v>45.1</v>
      </c>
      <c r="M119" s="2">
        <v>3384443</v>
      </c>
      <c r="N119" s="2">
        <v>2883984</v>
      </c>
      <c r="O119" s="2"/>
      <c r="P119" s="2"/>
      <c r="Q119">
        <f t="shared" si="2"/>
        <v>16481.038699796558</v>
      </c>
      <c r="R119">
        <f t="shared" si="3"/>
        <v>15888.508628621859</v>
      </c>
    </row>
    <row r="120" spans="1:18" ht="16" x14ac:dyDescent="0.4">
      <c r="A120" s="2">
        <v>130183</v>
      </c>
      <c r="B120" s="2" t="s">
        <v>162</v>
      </c>
      <c r="C120" s="2" t="s">
        <v>152</v>
      </c>
      <c r="D120" s="2">
        <v>2289</v>
      </c>
      <c r="E120" s="2">
        <v>64.599999999999994</v>
      </c>
      <c r="F120" s="2" t="s">
        <v>47</v>
      </c>
      <c r="G120" s="2" t="s">
        <v>37</v>
      </c>
      <c r="H120" s="2">
        <v>2</v>
      </c>
      <c r="I120" s="2">
        <v>11</v>
      </c>
      <c r="J120" s="2" t="s">
        <v>41</v>
      </c>
      <c r="K120" s="2">
        <v>417</v>
      </c>
      <c r="L120" s="2">
        <v>41.2</v>
      </c>
      <c r="M120" s="2">
        <v>2497829</v>
      </c>
      <c r="N120" s="2">
        <v>2051627</v>
      </c>
      <c r="O120" s="2"/>
      <c r="P120" s="2"/>
      <c r="Q120">
        <f t="shared" si="2"/>
        <v>11941.671905194291</v>
      </c>
      <c r="R120">
        <f t="shared" si="3"/>
        <v>10187.070751562016</v>
      </c>
    </row>
    <row r="121" spans="1:18" ht="16" x14ac:dyDescent="0.4">
      <c r="A121" s="2">
        <v>130226</v>
      </c>
      <c r="B121" s="2" t="s">
        <v>163</v>
      </c>
      <c r="C121" s="2" t="s">
        <v>152</v>
      </c>
      <c r="D121" s="2">
        <v>6543</v>
      </c>
      <c r="E121" s="2">
        <v>60.7</v>
      </c>
      <c r="F121" s="2" t="s">
        <v>47</v>
      </c>
      <c r="G121" s="2" t="s">
        <v>37</v>
      </c>
      <c r="H121" s="2">
        <v>1</v>
      </c>
      <c r="I121" s="2">
        <v>38</v>
      </c>
      <c r="J121" s="2" t="s">
        <v>41</v>
      </c>
      <c r="K121" s="2">
        <v>511</v>
      </c>
      <c r="L121" s="2">
        <v>67.900000000000006</v>
      </c>
      <c r="M121" s="2">
        <v>9450244</v>
      </c>
      <c r="N121" s="2">
        <v>13998855</v>
      </c>
      <c r="O121" s="2"/>
      <c r="P121" s="2"/>
      <c r="Q121">
        <f t="shared" si="2"/>
        <v>40346.126022785895</v>
      </c>
      <c r="R121">
        <f t="shared" si="3"/>
        <v>57612.548847473961</v>
      </c>
    </row>
    <row r="122" spans="1:18" ht="16" x14ac:dyDescent="0.4">
      <c r="A122" s="2">
        <v>130253</v>
      </c>
      <c r="B122" s="2" t="s">
        <v>164</v>
      </c>
      <c r="C122" s="2" t="s">
        <v>152</v>
      </c>
      <c r="D122" s="2">
        <v>5348</v>
      </c>
      <c r="E122" s="2">
        <v>64.599999999999994</v>
      </c>
      <c r="F122" s="2" t="s">
        <v>47</v>
      </c>
      <c r="G122" s="2" t="s">
        <v>37</v>
      </c>
      <c r="H122" s="2">
        <v>1</v>
      </c>
      <c r="I122" s="2">
        <v>19</v>
      </c>
      <c r="J122" s="2" t="s">
        <v>38</v>
      </c>
      <c r="K122" s="2">
        <v>1021</v>
      </c>
      <c r="L122" s="2">
        <v>51.8</v>
      </c>
      <c r="M122" s="2">
        <v>10571171</v>
      </c>
      <c r="N122" s="2">
        <v>9560056</v>
      </c>
      <c r="O122" s="2"/>
      <c r="P122" s="2"/>
      <c r="Q122">
        <f t="shared" si="2"/>
        <v>18076.108289624448</v>
      </c>
      <c r="R122">
        <f t="shared" si="3"/>
        <v>21480.793380503208</v>
      </c>
    </row>
    <row r="123" spans="1:18" ht="16" x14ac:dyDescent="0.4">
      <c r="A123" s="2">
        <v>130314</v>
      </c>
      <c r="B123" s="2" t="s">
        <v>165</v>
      </c>
      <c r="C123" s="2" t="s">
        <v>152</v>
      </c>
      <c r="D123" s="2">
        <v>794</v>
      </c>
      <c r="E123" s="2">
        <v>79.7</v>
      </c>
      <c r="F123" s="2" t="s">
        <v>47</v>
      </c>
      <c r="G123" s="2" t="s">
        <v>37</v>
      </c>
      <c r="H123" s="2">
        <v>3</v>
      </c>
      <c r="I123" s="2">
        <v>38</v>
      </c>
      <c r="J123" s="2" t="s">
        <v>41</v>
      </c>
      <c r="K123" s="2">
        <v>208</v>
      </c>
      <c r="L123" s="2">
        <v>59.6</v>
      </c>
      <c r="M123" s="2">
        <v>696677</v>
      </c>
      <c r="N123" s="2">
        <v>622932</v>
      </c>
      <c r="O123" s="2"/>
      <c r="P123" s="2"/>
      <c r="Q123">
        <f t="shared" si="2"/>
        <v>5024.9419204956121</v>
      </c>
      <c r="R123">
        <f t="shared" si="3"/>
        <v>8290.615479817212</v>
      </c>
    </row>
    <row r="124" spans="1:18" ht="16" x14ac:dyDescent="0.4">
      <c r="A124" s="2">
        <v>130493</v>
      </c>
      <c r="B124" s="2" t="s">
        <v>166</v>
      </c>
      <c r="C124" s="2" t="s">
        <v>152</v>
      </c>
      <c r="D124" s="2">
        <v>6790</v>
      </c>
      <c r="E124" s="2">
        <v>61.3</v>
      </c>
      <c r="F124" s="2" t="s">
        <v>36</v>
      </c>
      <c r="G124" s="2" t="s">
        <v>37</v>
      </c>
      <c r="H124" s="2">
        <v>2</v>
      </c>
      <c r="I124" s="2">
        <v>13</v>
      </c>
      <c r="J124" s="2" t="s">
        <v>38</v>
      </c>
      <c r="K124" s="2">
        <v>594</v>
      </c>
      <c r="L124" s="2">
        <v>40.200000000000003</v>
      </c>
      <c r="M124" s="2">
        <v>2997529</v>
      </c>
      <c r="N124" s="2">
        <v>3311183</v>
      </c>
      <c r="O124" s="2"/>
      <c r="P124" s="2"/>
      <c r="Q124">
        <f t="shared" si="2"/>
        <v>13866.622275826256</v>
      </c>
      <c r="R124">
        <f t="shared" si="3"/>
        <v>8438.7042104433403</v>
      </c>
    </row>
    <row r="125" spans="1:18" ht="16" x14ac:dyDescent="0.4">
      <c r="A125" s="2">
        <v>130590</v>
      </c>
      <c r="B125" s="2" t="s">
        <v>167</v>
      </c>
      <c r="C125" s="2" t="s">
        <v>152</v>
      </c>
      <c r="D125" s="2">
        <v>2109</v>
      </c>
      <c r="E125" s="2">
        <v>49.9</v>
      </c>
      <c r="F125" s="2" t="s">
        <v>47</v>
      </c>
      <c r="G125" s="2" t="s">
        <v>37</v>
      </c>
      <c r="H125" s="2">
        <v>3</v>
      </c>
      <c r="I125" s="2">
        <v>38</v>
      </c>
      <c r="J125" s="2" t="s">
        <v>38</v>
      </c>
      <c r="K125" s="2">
        <v>661</v>
      </c>
      <c r="L125" s="2">
        <v>40.4</v>
      </c>
      <c r="M125" s="2">
        <v>3086424</v>
      </c>
      <c r="N125" s="2">
        <v>2062934</v>
      </c>
      <c r="O125" s="2"/>
      <c r="P125" s="2"/>
      <c r="Q125">
        <f t="shared" si="2"/>
        <v>7725.0715237938321</v>
      </c>
      <c r="R125">
        <f t="shared" si="3"/>
        <v>7834.4383636751318</v>
      </c>
    </row>
    <row r="126" spans="1:18" ht="16" x14ac:dyDescent="0.4">
      <c r="A126" s="2">
        <v>130697</v>
      </c>
      <c r="B126" s="2" t="s">
        <v>168</v>
      </c>
      <c r="C126" s="2" t="s">
        <v>152</v>
      </c>
      <c r="D126" s="2">
        <v>2930</v>
      </c>
      <c r="E126" s="2">
        <v>54.5</v>
      </c>
      <c r="F126" s="2" t="s">
        <v>47</v>
      </c>
      <c r="G126" s="2" t="s">
        <v>37</v>
      </c>
      <c r="H126" s="2">
        <v>3</v>
      </c>
      <c r="I126" s="2">
        <v>38</v>
      </c>
      <c r="J126" s="2" t="s">
        <v>38</v>
      </c>
      <c r="K126" s="2">
        <v>759</v>
      </c>
      <c r="L126" s="2">
        <v>44.7</v>
      </c>
      <c r="M126" s="2">
        <v>2977087</v>
      </c>
      <c r="N126" s="2">
        <v>2153787</v>
      </c>
      <c r="O126" s="2"/>
      <c r="P126" s="2"/>
      <c r="Q126">
        <f t="shared" si="2"/>
        <v>6348.241681477748</v>
      </c>
      <c r="R126">
        <f t="shared" si="3"/>
        <v>7092.9127742556475</v>
      </c>
    </row>
    <row r="127" spans="1:18" ht="16" x14ac:dyDescent="0.4">
      <c r="A127" s="2">
        <v>130776</v>
      </c>
      <c r="B127" s="2" t="s">
        <v>169</v>
      </c>
      <c r="C127" s="2" t="s">
        <v>152</v>
      </c>
      <c r="D127" s="2">
        <v>4072</v>
      </c>
      <c r="E127" s="2">
        <v>51.5</v>
      </c>
      <c r="F127" s="2" t="s">
        <v>36</v>
      </c>
      <c r="G127" s="2" t="s">
        <v>37</v>
      </c>
      <c r="H127" s="2">
        <v>3</v>
      </c>
      <c r="I127" s="2">
        <v>10</v>
      </c>
      <c r="J127" s="2" t="s">
        <v>38</v>
      </c>
      <c r="K127" s="2">
        <v>386</v>
      </c>
      <c r="L127" s="2">
        <v>38.1</v>
      </c>
      <c r="M127" s="2">
        <v>1381961</v>
      </c>
      <c r="N127" s="2">
        <v>1124533</v>
      </c>
      <c r="O127" s="2"/>
      <c r="P127" s="2"/>
      <c r="Q127">
        <f t="shared" si="2"/>
        <v>7646.451253178845</v>
      </c>
      <c r="R127">
        <f t="shared" si="3"/>
        <v>5783.8608151204935</v>
      </c>
    </row>
    <row r="128" spans="1:18" ht="16" x14ac:dyDescent="0.4">
      <c r="A128" s="2">
        <v>130794</v>
      </c>
      <c r="B128" s="2" t="s">
        <v>170</v>
      </c>
      <c r="C128" s="2" t="s">
        <v>152</v>
      </c>
      <c r="D128" s="2">
        <v>6088</v>
      </c>
      <c r="E128" s="2">
        <v>50.8</v>
      </c>
      <c r="F128" s="2" t="s">
        <v>47</v>
      </c>
      <c r="G128" s="2" t="s">
        <v>37</v>
      </c>
      <c r="H128" s="2">
        <v>1</v>
      </c>
      <c r="I128" s="2">
        <v>19</v>
      </c>
      <c r="J128" s="2" t="s">
        <v>38</v>
      </c>
      <c r="K128" s="2">
        <v>1054</v>
      </c>
      <c r="L128" s="2">
        <v>45.6</v>
      </c>
      <c r="M128" s="2">
        <v>13170215</v>
      </c>
      <c r="N128" s="2">
        <v>7068833</v>
      </c>
      <c r="O128" s="2"/>
      <c r="P128" s="2"/>
      <c r="Q128">
        <f t="shared" si="2"/>
        <v>14707.615516495222</v>
      </c>
      <c r="R128">
        <f t="shared" si="3"/>
        <v>22969.59586728429</v>
      </c>
    </row>
    <row r="129" spans="1:18" ht="16" x14ac:dyDescent="0.4">
      <c r="A129" s="2">
        <v>130934</v>
      </c>
      <c r="B129" s="2" t="s">
        <v>171</v>
      </c>
      <c r="C129" s="2" t="s">
        <v>172</v>
      </c>
      <c r="D129" s="2">
        <v>3719</v>
      </c>
      <c r="E129" s="2">
        <v>65.900000000000006</v>
      </c>
      <c r="F129" s="2" t="s">
        <v>36</v>
      </c>
      <c r="G129" s="2" t="s">
        <v>37</v>
      </c>
      <c r="H129" s="2">
        <v>1</v>
      </c>
      <c r="I129" s="2">
        <v>38</v>
      </c>
      <c r="J129" s="2" t="s">
        <v>38</v>
      </c>
      <c r="K129" s="2">
        <v>434</v>
      </c>
      <c r="L129" s="2">
        <v>50.5</v>
      </c>
      <c r="M129" s="2">
        <v>4256781</v>
      </c>
      <c r="N129" s="2">
        <v>4749300</v>
      </c>
      <c r="O129" s="2"/>
      <c r="P129" s="2"/>
      <c r="Q129">
        <f t="shared" si="2"/>
        <v>21669.480312086507</v>
      </c>
      <c r="R129">
        <f t="shared" si="3"/>
        <v>19814.648792068147</v>
      </c>
    </row>
    <row r="130" spans="1:18" ht="16" x14ac:dyDescent="0.4">
      <c r="A130" s="2">
        <v>130943</v>
      </c>
      <c r="B130" s="2" t="s">
        <v>173</v>
      </c>
      <c r="C130" s="2" t="s">
        <v>172</v>
      </c>
      <c r="D130" s="2">
        <v>18352</v>
      </c>
      <c r="E130" s="2">
        <v>57.8</v>
      </c>
      <c r="F130" s="2" t="s">
        <v>36</v>
      </c>
      <c r="G130" s="2" t="s">
        <v>37</v>
      </c>
      <c r="H130" s="2">
        <v>1</v>
      </c>
      <c r="I130" s="2">
        <v>16</v>
      </c>
      <c r="J130" s="2" t="s">
        <v>38</v>
      </c>
      <c r="K130" s="2">
        <v>698</v>
      </c>
      <c r="L130" s="2">
        <v>59.9</v>
      </c>
      <c r="M130" s="2">
        <v>15074508</v>
      </c>
      <c r="N130" s="2">
        <v>12713275</v>
      </c>
      <c r="O130" s="2"/>
      <c r="P130" s="2"/>
      <c r="Q130">
        <f t="shared" si="2"/>
        <v>30407.113575156305</v>
      </c>
      <c r="R130">
        <f t="shared" si="3"/>
        <v>53857.147961042945</v>
      </c>
    </row>
    <row r="131" spans="1:18" ht="16" x14ac:dyDescent="0.4">
      <c r="A131" s="2">
        <v>130989</v>
      </c>
      <c r="B131" s="2" t="s">
        <v>174</v>
      </c>
      <c r="C131" s="2" t="s">
        <v>172</v>
      </c>
      <c r="D131" s="2">
        <v>666</v>
      </c>
      <c r="E131" s="2">
        <v>53.3</v>
      </c>
      <c r="F131" s="2" t="s">
        <v>47</v>
      </c>
      <c r="G131" s="2" t="s">
        <v>37</v>
      </c>
      <c r="H131" s="2">
        <v>2</v>
      </c>
      <c r="I131" s="2">
        <v>38</v>
      </c>
      <c r="J131" s="2" t="s">
        <v>41</v>
      </c>
      <c r="K131" s="2">
        <v>227</v>
      </c>
      <c r="L131" s="2">
        <v>49.3</v>
      </c>
      <c r="M131" s="2">
        <v>757474</v>
      </c>
      <c r="N131" s="2">
        <v>861832</v>
      </c>
      <c r="O131" s="2"/>
      <c r="P131" s="2"/>
      <c r="Q131">
        <f t="shared" ref="Q131:Q194" si="4">N131/(K131*(0.01*L131))</f>
        <v>7701.0481543369287</v>
      </c>
      <c r="R131">
        <f t="shared" ref="R131:R194" si="5">M131/(K131*(0.01*(100-L131)))</f>
        <v>6581.6368202000194</v>
      </c>
    </row>
    <row r="132" spans="1:18" ht="16" x14ac:dyDescent="0.4">
      <c r="A132" s="2">
        <v>131098</v>
      </c>
      <c r="B132" s="2" t="s">
        <v>175</v>
      </c>
      <c r="C132" s="2" t="s">
        <v>172</v>
      </c>
      <c r="D132" s="2">
        <v>976</v>
      </c>
      <c r="E132" s="2">
        <v>53.2</v>
      </c>
      <c r="F132" s="2" t="s">
        <v>47</v>
      </c>
      <c r="G132" s="2" t="s">
        <v>37</v>
      </c>
      <c r="H132" s="2">
        <v>3</v>
      </c>
      <c r="I132" s="2">
        <v>12</v>
      </c>
      <c r="J132" s="2" t="s">
        <v>38</v>
      </c>
      <c r="K132" s="2">
        <v>372</v>
      </c>
      <c r="L132" s="2">
        <v>35.799999999999997</v>
      </c>
      <c r="M132" s="2">
        <v>762550</v>
      </c>
      <c r="N132" s="2">
        <v>375288</v>
      </c>
      <c r="O132" s="2"/>
      <c r="P132" s="2"/>
      <c r="Q132">
        <f t="shared" si="4"/>
        <v>2817.9852225626241</v>
      </c>
      <c r="R132">
        <f t="shared" si="5"/>
        <v>3192.9370582521019</v>
      </c>
    </row>
    <row r="133" spans="1:18" ht="16" x14ac:dyDescent="0.4">
      <c r="A133" s="2">
        <v>131113</v>
      </c>
      <c r="B133" s="2" t="s">
        <v>176</v>
      </c>
      <c r="C133" s="2" t="s">
        <v>172</v>
      </c>
      <c r="D133" s="2">
        <v>3025</v>
      </c>
      <c r="E133" s="2">
        <v>57.8</v>
      </c>
      <c r="F133" s="2" t="s">
        <v>47</v>
      </c>
      <c r="G133" s="2" t="s">
        <v>37</v>
      </c>
      <c r="H133" s="2">
        <v>2</v>
      </c>
      <c r="I133" s="2">
        <v>10</v>
      </c>
      <c r="J133" s="2" t="s">
        <v>41</v>
      </c>
      <c r="K133" s="2">
        <v>320</v>
      </c>
      <c r="L133" s="2">
        <v>46.3</v>
      </c>
      <c r="M133" s="2">
        <v>1545699</v>
      </c>
      <c r="N133" s="2">
        <v>1549418</v>
      </c>
      <c r="O133" s="2"/>
      <c r="P133" s="2"/>
      <c r="Q133">
        <f t="shared" si="4"/>
        <v>10457.734881209504</v>
      </c>
      <c r="R133">
        <f t="shared" si="5"/>
        <v>8994.9895251396647</v>
      </c>
    </row>
    <row r="134" spans="1:18" ht="16" x14ac:dyDescent="0.4">
      <c r="A134" s="2">
        <v>131159</v>
      </c>
      <c r="B134" s="2" t="s">
        <v>177</v>
      </c>
      <c r="C134" s="2" t="s">
        <v>172</v>
      </c>
      <c r="D134" s="2">
        <v>7418</v>
      </c>
      <c r="E134" s="2">
        <v>62.8</v>
      </c>
      <c r="F134" s="2" t="s">
        <v>47</v>
      </c>
      <c r="G134" s="2" t="s">
        <v>37</v>
      </c>
      <c r="H134" s="2">
        <v>1</v>
      </c>
      <c r="I134" s="2">
        <v>38</v>
      </c>
      <c r="J134" s="2" t="s">
        <v>41</v>
      </c>
      <c r="K134" s="2">
        <v>320</v>
      </c>
      <c r="L134" s="2">
        <v>60</v>
      </c>
      <c r="M134" s="2">
        <v>4510279</v>
      </c>
      <c r="N134" s="2">
        <v>6116741</v>
      </c>
      <c r="O134" s="2"/>
      <c r="P134" s="2"/>
      <c r="Q134">
        <f t="shared" si="4"/>
        <v>31858.026041666668</v>
      </c>
      <c r="R134">
        <f t="shared" si="5"/>
        <v>35236.5546875</v>
      </c>
    </row>
    <row r="135" spans="1:18" ht="16" x14ac:dyDescent="0.4">
      <c r="A135" s="2">
        <v>131283</v>
      </c>
      <c r="B135" s="2" t="s">
        <v>178</v>
      </c>
      <c r="C135" s="2" t="s">
        <v>172</v>
      </c>
      <c r="D135" s="2">
        <v>3163</v>
      </c>
      <c r="E135" s="2">
        <v>54.9</v>
      </c>
      <c r="F135" s="2" t="s">
        <v>47</v>
      </c>
      <c r="G135" s="2" t="s">
        <v>37</v>
      </c>
      <c r="H135" s="2">
        <v>3</v>
      </c>
      <c r="I135" s="2">
        <v>38</v>
      </c>
      <c r="J135" s="2" t="s">
        <v>38</v>
      </c>
      <c r="K135" s="2">
        <v>737</v>
      </c>
      <c r="L135" s="2">
        <v>42.6</v>
      </c>
      <c r="M135" s="2">
        <v>2083829</v>
      </c>
      <c r="N135" s="2">
        <v>1664341</v>
      </c>
      <c r="O135" s="2"/>
      <c r="P135" s="2"/>
      <c r="Q135">
        <f t="shared" si="4"/>
        <v>5301.0905778406295</v>
      </c>
      <c r="R135">
        <f t="shared" si="5"/>
        <v>4925.86717978054</v>
      </c>
    </row>
    <row r="136" spans="1:18" ht="16" x14ac:dyDescent="0.4">
      <c r="A136" s="2">
        <v>131399</v>
      </c>
      <c r="B136" s="2" t="s">
        <v>179</v>
      </c>
      <c r="C136" s="2" t="s">
        <v>172</v>
      </c>
      <c r="D136" s="2">
        <v>1774</v>
      </c>
      <c r="E136" s="2">
        <v>52.9</v>
      </c>
      <c r="F136" s="2" t="s">
        <v>36</v>
      </c>
      <c r="G136" s="2" t="s">
        <v>37</v>
      </c>
      <c r="H136" s="2">
        <v>2</v>
      </c>
      <c r="I136" s="2">
        <v>38</v>
      </c>
      <c r="J136" s="2" t="s">
        <v>41</v>
      </c>
      <c r="K136" s="2">
        <v>128</v>
      </c>
      <c r="L136" s="2">
        <v>46.9</v>
      </c>
      <c r="M136" s="2">
        <v>1680994</v>
      </c>
      <c r="N136" s="2">
        <v>1615006</v>
      </c>
      <c r="O136" s="2"/>
      <c r="P136" s="2"/>
      <c r="Q136">
        <f t="shared" si="4"/>
        <v>26902.418710021324</v>
      </c>
      <c r="R136">
        <f t="shared" si="5"/>
        <v>24732.138653483991</v>
      </c>
    </row>
    <row r="137" spans="1:18" ht="16" x14ac:dyDescent="0.4">
      <c r="A137" s="2">
        <v>131450</v>
      </c>
      <c r="B137" s="2" t="s">
        <v>180</v>
      </c>
      <c r="C137" s="2" t="s">
        <v>172</v>
      </c>
      <c r="D137" s="2">
        <v>1005</v>
      </c>
      <c r="E137" s="2">
        <v>54.2</v>
      </c>
      <c r="F137" s="2" t="s">
        <v>47</v>
      </c>
      <c r="G137" s="2" t="s">
        <v>37</v>
      </c>
      <c r="H137" s="2">
        <v>3</v>
      </c>
      <c r="I137" s="2">
        <v>38</v>
      </c>
      <c r="J137" s="2" t="s">
        <v>38</v>
      </c>
      <c r="K137" s="2">
        <v>315</v>
      </c>
      <c r="L137" s="2">
        <v>41</v>
      </c>
      <c r="M137" s="2">
        <v>960732</v>
      </c>
      <c r="N137" s="2">
        <v>582327</v>
      </c>
      <c r="O137" s="2"/>
      <c r="P137" s="2"/>
      <c r="Q137">
        <f t="shared" si="4"/>
        <v>4508.9198606271775</v>
      </c>
      <c r="R137">
        <f t="shared" si="5"/>
        <v>5169.3946731234864</v>
      </c>
    </row>
    <row r="138" spans="1:18" ht="16" x14ac:dyDescent="0.4">
      <c r="A138" s="2">
        <v>131469</v>
      </c>
      <c r="B138" s="2" t="s">
        <v>181</v>
      </c>
      <c r="C138" s="2" t="s">
        <v>172</v>
      </c>
      <c r="D138" s="2">
        <v>11008</v>
      </c>
      <c r="E138" s="2">
        <v>62.2</v>
      </c>
      <c r="F138" s="2" t="s">
        <v>47</v>
      </c>
      <c r="G138" s="2" t="s">
        <v>37</v>
      </c>
      <c r="H138" s="2">
        <v>1</v>
      </c>
      <c r="I138" s="2">
        <v>38</v>
      </c>
      <c r="J138" s="2" t="s">
        <v>41</v>
      </c>
      <c r="K138" s="2">
        <v>566</v>
      </c>
      <c r="L138" s="2">
        <v>52.7</v>
      </c>
      <c r="M138" s="2">
        <v>11517127</v>
      </c>
      <c r="N138" s="2">
        <v>12362874</v>
      </c>
      <c r="O138" s="2"/>
      <c r="P138" s="2"/>
      <c r="Q138">
        <f t="shared" si="4"/>
        <v>41446.932768319908</v>
      </c>
      <c r="R138">
        <f t="shared" si="5"/>
        <v>43019.62139265945</v>
      </c>
    </row>
    <row r="139" spans="1:18" ht="16" x14ac:dyDescent="0.4">
      <c r="A139" s="2">
        <v>131496</v>
      </c>
      <c r="B139" s="2" t="s">
        <v>182</v>
      </c>
      <c r="C139" s="2" t="s">
        <v>172</v>
      </c>
      <c r="D139" s="2">
        <v>6988</v>
      </c>
      <c r="E139" s="2">
        <v>56.3</v>
      </c>
      <c r="F139" s="2" t="s">
        <v>47</v>
      </c>
      <c r="G139" s="2" t="s">
        <v>37</v>
      </c>
      <c r="H139" s="2">
        <v>1</v>
      </c>
      <c r="I139" s="2">
        <v>15</v>
      </c>
      <c r="J139" s="2" t="s">
        <v>38</v>
      </c>
      <c r="K139" s="2">
        <v>812</v>
      </c>
      <c r="L139" s="2">
        <v>44.3</v>
      </c>
      <c r="M139" s="2">
        <v>22322541</v>
      </c>
      <c r="N139" s="2">
        <v>10048402</v>
      </c>
      <c r="O139" s="2"/>
      <c r="P139" s="2"/>
      <c r="Q139">
        <f t="shared" si="4"/>
        <v>27934.264808904802</v>
      </c>
      <c r="R139">
        <f t="shared" si="5"/>
        <v>49355.141901990777</v>
      </c>
    </row>
    <row r="140" spans="1:18" ht="16" x14ac:dyDescent="0.4">
      <c r="A140" s="2">
        <v>131520</v>
      </c>
      <c r="B140" s="2" t="s">
        <v>183</v>
      </c>
      <c r="C140" s="2" t="s">
        <v>172</v>
      </c>
      <c r="D140" s="2">
        <v>6264</v>
      </c>
      <c r="E140" s="2">
        <v>71.3</v>
      </c>
      <c r="F140" s="2" t="s">
        <v>47</v>
      </c>
      <c r="G140" s="2" t="s">
        <v>37</v>
      </c>
      <c r="H140" s="2">
        <v>1</v>
      </c>
      <c r="I140" s="2">
        <v>36</v>
      </c>
      <c r="J140" s="2" t="s">
        <v>38</v>
      </c>
      <c r="K140" s="2">
        <v>541</v>
      </c>
      <c r="L140" s="2">
        <v>49.5</v>
      </c>
      <c r="M140" s="2">
        <v>7296373</v>
      </c>
      <c r="N140" s="2">
        <v>5756640</v>
      </c>
      <c r="O140" s="2"/>
      <c r="P140" s="2"/>
      <c r="Q140">
        <f t="shared" si="4"/>
        <v>21496.443174816555</v>
      </c>
      <c r="R140">
        <f t="shared" si="5"/>
        <v>26706.586629088048</v>
      </c>
    </row>
    <row r="141" spans="1:18" ht="16" x14ac:dyDescent="0.4">
      <c r="A141" s="2">
        <v>132471</v>
      </c>
      <c r="B141" s="2" t="s">
        <v>184</v>
      </c>
      <c r="C141" s="2" t="s">
        <v>172</v>
      </c>
      <c r="D141" s="2">
        <v>2995</v>
      </c>
      <c r="E141" s="2">
        <v>65.099999999999994</v>
      </c>
      <c r="F141" s="2" t="s">
        <v>47</v>
      </c>
      <c r="G141" s="2" t="s">
        <v>37</v>
      </c>
      <c r="H141" s="2">
        <v>2</v>
      </c>
      <c r="I141" s="2">
        <v>9</v>
      </c>
      <c r="J141" s="2" t="s">
        <v>41</v>
      </c>
      <c r="K141" s="2">
        <v>276</v>
      </c>
      <c r="L141" s="2">
        <v>50</v>
      </c>
      <c r="M141" s="2">
        <v>2423948</v>
      </c>
      <c r="N141" s="2">
        <v>3551185</v>
      </c>
      <c r="O141" s="2"/>
      <c r="P141" s="2"/>
      <c r="Q141">
        <f t="shared" si="4"/>
        <v>25733.22463768116</v>
      </c>
      <c r="R141">
        <f t="shared" si="5"/>
        <v>17564.840579710144</v>
      </c>
    </row>
    <row r="142" spans="1:18" ht="16" x14ac:dyDescent="0.4">
      <c r="A142" s="2">
        <v>132602</v>
      </c>
      <c r="B142" s="2" t="s">
        <v>185</v>
      </c>
      <c r="C142" s="2" t="s">
        <v>172</v>
      </c>
      <c r="D142" s="2">
        <v>2708</v>
      </c>
      <c r="E142" s="2">
        <v>62.8</v>
      </c>
      <c r="F142" s="2" t="s">
        <v>47</v>
      </c>
      <c r="G142" s="2" t="s">
        <v>37</v>
      </c>
      <c r="H142" s="2">
        <v>1</v>
      </c>
      <c r="I142" s="2">
        <v>10</v>
      </c>
      <c r="J142" s="2" t="s">
        <v>38</v>
      </c>
      <c r="K142" s="2">
        <v>331</v>
      </c>
      <c r="L142" s="2">
        <v>33.5</v>
      </c>
      <c r="M142" s="2">
        <v>5686536</v>
      </c>
      <c r="N142" s="2">
        <v>2039556</v>
      </c>
      <c r="O142" s="2"/>
      <c r="P142" s="2"/>
      <c r="Q142">
        <f t="shared" si="4"/>
        <v>18393.434639491363</v>
      </c>
      <c r="R142">
        <f t="shared" si="5"/>
        <v>25834.386570656246</v>
      </c>
    </row>
    <row r="143" spans="1:18" ht="16" x14ac:dyDescent="0.4">
      <c r="A143" s="2">
        <v>132657</v>
      </c>
      <c r="B143" s="2" t="s">
        <v>186</v>
      </c>
      <c r="C143" s="2" t="s">
        <v>172</v>
      </c>
      <c r="D143" s="2">
        <v>2218</v>
      </c>
      <c r="E143" s="2">
        <v>50.9</v>
      </c>
      <c r="F143" s="2" t="s">
        <v>47</v>
      </c>
      <c r="G143" s="2" t="s">
        <v>37</v>
      </c>
      <c r="H143" s="2">
        <v>2</v>
      </c>
      <c r="I143" s="2">
        <v>38</v>
      </c>
      <c r="J143" s="2" t="s">
        <v>41</v>
      </c>
      <c r="K143" s="2">
        <v>385</v>
      </c>
      <c r="L143" s="2">
        <v>48.3</v>
      </c>
      <c r="M143" s="2">
        <v>3581802</v>
      </c>
      <c r="N143" s="2">
        <v>3735898</v>
      </c>
      <c r="O143" s="2"/>
      <c r="P143" s="2"/>
      <c r="Q143">
        <f t="shared" si="4"/>
        <v>20090.333682880268</v>
      </c>
      <c r="R143">
        <f t="shared" si="5"/>
        <v>17994.935818533497</v>
      </c>
    </row>
    <row r="144" spans="1:18" ht="16" x14ac:dyDescent="0.4">
      <c r="A144" s="2">
        <v>132903</v>
      </c>
      <c r="B144" s="2" t="s">
        <v>187</v>
      </c>
      <c r="C144" s="2" t="s">
        <v>172</v>
      </c>
      <c r="D144" s="2">
        <v>42184</v>
      </c>
      <c r="E144" s="2">
        <v>54.4</v>
      </c>
      <c r="F144" s="2" t="s">
        <v>36</v>
      </c>
      <c r="G144" s="2" t="s">
        <v>37</v>
      </c>
      <c r="H144" s="2">
        <v>1</v>
      </c>
      <c r="I144" s="2">
        <v>13</v>
      </c>
      <c r="J144" s="2" t="s">
        <v>38</v>
      </c>
      <c r="K144" s="2">
        <v>497</v>
      </c>
      <c r="L144" s="2">
        <v>54.3</v>
      </c>
      <c r="M144" s="2">
        <v>30012403</v>
      </c>
      <c r="N144" s="2">
        <v>11314535</v>
      </c>
      <c r="O144" s="2"/>
      <c r="P144" s="2"/>
      <c r="Q144">
        <f t="shared" si="4"/>
        <v>41925.716360779777</v>
      </c>
      <c r="R144">
        <f t="shared" si="5"/>
        <v>132138.13735806523</v>
      </c>
    </row>
    <row r="145" spans="1:18" ht="16" x14ac:dyDescent="0.4">
      <c r="A145" s="2">
        <v>133492</v>
      </c>
      <c r="B145" s="2" t="s">
        <v>188</v>
      </c>
      <c r="C145" s="2" t="s">
        <v>172</v>
      </c>
      <c r="D145" s="2">
        <v>1944</v>
      </c>
      <c r="E145" s="2">
        <v>67.5</v>
      </c>
      <c r="F145" s="2" t="s">
        <v>47</v>
      </c>
      <c r="G145" s="2" t="s">
        <v>37</v>
      </c>
      <c r="H145" s="2">
        <v>2</v>
      </c>
      <c r="I145" s="2">
        <v>38</v>
      </c>
      <c r="J145" s="2" t="s">
        <v>41</v>
      </c>
      <c r="K145" s="2">
        <v>215</v>
      </c>
      <c r="L145" s="2">
        <v>48.8</v>
      </c>
      <c r="M145" s="2">
        <v>2128784</v>
      </c>
      <c r="N145" s="2">
        <v>2407531</v>
      </c>
      <c r="O145" s="2"/>
      <c r="P145" s="2"/>
      <c r="Q145">
        <f t="shared" si="4"/>
        <v>22946.349599695004</v>
      </c>
      <c r="R145">
        <f t="shared" si="5"/>
        <v>19338.517441860466</v>
      </c>
    </row>
    <row r="146" spans="1:18" ht="16" x14ac:dyDescent="0.4">
      <c r="A146" s="2">
        <v>133553</v>
      </c>
      <c r="B146" s="2" t="s">
        <v>189</v>
      </c>
      <c r="C146" s="2" t="s">
        <v>172</v>
      </c>
      <c r="D146" s="2">
        <v>6003</v>
      </c>
      <c r="E146" s="2">
        <v>22.6</v>
      </c>
      <c r="F146" s="2" t="s">
        <v>47</v>
      </c>
      <c r="G146" s="2" t="s">
        <v>37</v>
      </c>
      <c r="H146" s="2">
        <v>2</v>
      </c>
      <c r="I146" s="2">
        <v>38</v>
      </c>
      <c r="J146" s="2" t="s">
        <v>41</v>
      </c>
      <c r="K146" s="2">
        <v>586</v>
      </c>
      <c r="L146" s="2">
        <v>41.6</v>
      </c>
      <c r="M146" s="2">
        <v>4540259</v>
      </c>
      <c r="N146" s="2">
        <v>4232894</v>
      </c>
      <c r="O146" s="2"/>
      <c r="P146" s="2"/>
      <c r="Q146">
        <f t="shared" si="4"/>
        <v>17363.866828563925</v>
      </c>
      <c r="R146">
        <f t="shared" si="5"/>
        <v>13266.921665341999</v>
      </c>
    </row>
    <row r="147" spans="1:18" ht="16" x14ac:dyDescent="0.4">
      <c r="A147" s="2">
        <v>133650</v>
      </c>
      <c r="B147" s="2" t="s">
        <v>190</v>
      </c>
      <c r="C147" s="2" t="s">
        <v>172</v>
      </c>
      <c r="D147" s="2">
        <v>6788</v>
      </c>
      <c r="E147" s="2">
        <v>66.5</v>
      </c>
      <c r="F147" s="2" t="s">
        <v>36</v>
      </c>
      <c r="G147" s="2" t="s">
        <v>37</v>
      </c>
      <c r="H147" s="2">
        <v>1</v>
      </c>
      <c r="I147" s="2">
        <v>38</v>
      </c>
      <c r="J147" s="2" t="s">
        <v>38</v>
      </c>
      <c r="K147" s="2">
        <v>363</v>
      </c>
      <c r="L147" s="2">
        <v>35.299999999999997</v>
      </c>
      <c r="M147" s="2">
        <v>5044317</v>
      </c>
      <c r="N147" s="2">
        <v>2409740</v>
      </c>
      <c r="O147" s="2"/>
      <c r="P147" s="2"/>
      <c r="Q147">
        <f t="shared" si="4"/>
        <v>18805.67196559986</v>
      </c>
      <c r="R147">
        <f t="shared" si="5"/>
        <v>21477.882662511016</v>
      </c>
    </row>
    <row r="148" spans="1:18" ht="16" x14ac:dyDescent="0.4">
      <c r="A148" s="2">
        <v>133669</v>
      </c>
      <c r="B148" s="2" t="s">
        <v>191</v>
      </c>
      <c r="C148" s="2" t="s">
        <v>172</v>
      </c>
      <c r="D148" s="2">
        <v>16221</v>
      </c>
      <c r="E148" s="2">
        <v>56.2</v>
      </c>
      <c r="F148" s="2" t="s">
        <v>36</v>
      </c>
      <c r="G148" s="2" t="s">
        <v>37</v>
      </c>
      <c r="H148" s="2">
        <v>1</v>
      </c>
      <c r="I148" s="2">
        <v>38</v>
      </c>
      <c r="J148" s="2" t="s">
        <v>38</v>
      </c>
      <c r="K148" s="2">
        <v>477</v>
      </c>
      <c r="L148" s="2">
        <v>45.9</v>
      </c>
      <c r="M148" s="2">
        <v>17120263</v>
      </c>
      <c r="N148" s="2">
        <v>6554661</v>
      </c>
      <c r="O148" s="2"/>
      <c r="P148" s="2"/>
      <c r="Q148">
        <f t="shared" si="4"/>
        <v>29937.750921472711</v>
      </c>
      <c r="R148">
        <f t="shared" si="5"/>
        <v>66342.951363458458</v>
      </c>
    </row>
    <row r="149" spans="1:18" ht="16" x14ac:dyDescent="0.4">
      <c r="A149" s="2">
        <v>133711</v>
      </c>
      <c r="B149" s="2" t="s">
        <v>192</v>
      </c>
      <c r="C149" s="2" t="s">
        <v>172</v>
      </c>
      <c r="D149" s="2">
        <v>2805</v>
      </c>
      <c r="E149" s="2">
        <v>67.599999999999994</v>
      </c>
      <c r="F149" s="2" t="s">
        <v>47</v>
      </c>
      <c r="G149" s="2" t="s">
        <v>37</v>
      </c>
      <c r="H149" s="2">
        <v>2</v>
      </c>
      <c r="I149" s="2">
        <v>38</v>
      </c>
      <c r="J149" s="2" t="s">
        <v>41</v>
      </c>
      <c r="K149" s="2">
        <v>254</v>
      </c>
      <c r="L149" s="2">
        <v>45.7</v>
      </c>
      <c r="M149" s="2">
        <v>2098050</v>
      </c>
      <c r="N149" s="2">
        <v>2309299</v>
      </c>
      <c r="O149" s="2"/>
      <c r="P149" s="2"/>
      <c r="Q149">
        <f t="shared" si="4"/>
        <v>19894.37274935819</v>
      </c>
      <c r="R149">
        <f t="shared" si="5"/>
        <v>15211.858876756427</v>
      </c>
    </row>
    <row r="150" spans="1:18" ht="16" x14ac:dyDescent="0.4">
      <c r="A150" s="2">
        <v>133881</v>
      </c>
      <c r="B150" s="2" t="s">
        <v>193</v>
      </c>
      <c r="C150" s="2" t="s">
        <v>172</v>
      </c>
      <c r="D150" s="2">
        <v>3166</v>
      </c>
      <c r="E150" s="2">
        <v>28.7</v>
      </c>
      <c r="F150" s="2" t="s">
        <v>47</v>
      </c>
      <c r="G150" s="2" t="s">
        <v>37</v>
      </c>
      <c r="H150" s="2">
        <v>2</v>
      </c>
      <c r="I150" s="2">
        <v>37</v>
      </c>
      <c r="J150" s="2" t="s">
        <v>38</v>
      </c>
      <c r="K150" s="2">
        <v>564</v>
      </c>
      <c r="L150" s="2">
        <v>33.9</v>
      </c>
      <c r="M150" s="2">
        <v>6635925</v>
      </c>
      <c r="N150" s="2">
        <v>3119679</v>
      </c>
      <c r="O150" s="2"/>
      <c r="P150" s="2"/>
      <c r="Q150">
        <f t="shared" si="4"/>
        <v>16316.654114102808</v>
      </c>
      <c r="R150">
        <f t="shared" si="5"/>
        <v>17800.037016770206</v>
      </c>
    </row>
    <row r="151" spans="1:18" ht="16" x14ac:dyDescent="0.4">
      <c r="A151" s="2">
        <v>133951</v>
      </c>
      <c r="B151" s="2" t="s">
        <v>194</v>
      </c>
      <c r="C151" s="2" t="s">
        <v>172</v>
      </c>
      <c r="D151" s="2">
        <v>27652</v>
      </c>
      <c r="E151" s="2">
        <v>57.2</v>
      </c>
      <c r="F151" s="2" t="s">
        <v>36</v>
      </c>
      <c r="G151" s="2" t="s">
        <v>37</v>
      </c>
      <c r="H151" s="2">
        <v>1</v>
      </c>
      <c r="I151" s="2">
        <v>38</v>
      </c>
      <c r="J151" s="2" t="s">
        <v>38</v>
      </c>
      <c r="K151" s="2">
        <v>465</v>
      </c>
      <c r="L151" s="2">
        <v>49.2</v>
      </c>
      <c r="M151" s="2">
        <v>15922363</v>
      </c>
      <c r="N151" s="2">
        <v>5850999</v>
      </c>
      <c r="O151" s="2"/>
      <c r="P151" s="2"/>
      <c r="Q151">
        <f t="shared" si="4"/>
        <v>25574.783634933119</v>
      </c>
      <c r="R151">
        <f t="shared" si="5"/>
        <v>67404.80484294302</v>
      </c>
    </row>
    <row r="152" spans="1:18" ht="16" x14ac:dyDescent="0.4">
      <c r="A152" s="2">
        <v>134079</v>
      </c>
      <c r="B152" s="2" t="s">
        <v>195</v>
      </c>
      <c r="C152" s="2" t="s">
        <v>172</v>
      </c>
      <c r="D152" s="2">
        <v>2536</v>
      </c>
      <c r="E152" s="2">
        <v>62.7</v>
      </c>
      <c r="F152" s="2" t="s">
        <v>47</v>
      </c>
      <c r="G152" s="2" t="s">
        <v>37</v>
      </c>
      <c r="H152" s="2">
        <v>2</v>
      </c>
      <c r="I152" s="2">
        <v>13</v>
      </c>
      <c r="J152" s="2" t="s">
        <v>41</v>
      </c>
      <c r="K152" s="2">
        <v>435</v>
      </c>
      <c r="L152" s="2">
        <v>46</v>
      </c>
      <c r="M152" s="2">
        <v>3901072</v>
      </c>
      <c r="N152" s="2">
        <v>3695284</v>
      </c>
      <c r="O152" s="2"/>
      <c r="P152" s="2"/>
      <c r="Q152">
        <f t="shared" si="4"/>
        <v>18467.186406796598</v>
      </c>
      <c r="R152">
        <f t="shared" si="5"/>
        <v>16607.373350361857</v>
      </c>
    </row>
    <row r="153" spans="1:18" ht="16" x14ac:dyDescent="0.4">
      <c r="A153" s="2">
        <v>134097</v>
      </c>
      <c r="B153" s="2" t="s">
        <v>196</v>
      </c>
      <c r="C153" s="2" t="s">
        <v>172</v>
      </c>
      <c r="D153" s="2">
        <v>29768</v>
      </c>
      <c r="E153" s="2">
        <v>57.8</v>
      </c>
      <c r="F153" s="2" t="s">
        <v>36</v>
      </c>
      <c r="G153" s="2" t="s">
        <v>37</v>
      </c>
      <c r="H153" s="2">
        <v>1</v>
      </c>
      <c r="I153" s="2">
        <v>12</v>
      </c>
      <c r="J153" s="2" t="s">
        <v>38</v>
      </c>
      <c r="K153" s="2">
        <v>685</v>
      </c>
      <c r="L153" s="2">
        <v>50.4</v>
      </c>
      <c r="M153" s="2">
        <v>88672517</v>
      </c>
      <c r="N153" s="2">
        <v>21248011</v>
      </c>
      <c r="O153" s="2"/>
      <c r="P153" s="2"/>
      <c r="Q153">
        <f t="shared" si="4"/>
        <v>61545.623334491946</v>
      </c>
      <c r="R153">
        <f t="shared" si="5"/>
        <v>260985.74582057921</v>
      </c>
    </row>
    <row r="154" spans="1:18" ht="16" x14ac:dyDescent="0.4">
      <c r="A154" s="2">
        <v>134130</v>
      </c>
      <c r="B154" s="2" t="s">
        <v>197</v>
      </c>
      <c r="C154" s="2" t="s">
        <v>172</v>
      </c>
      <c r="D154" s="2">
        <v>31725</v>
      </c>
      <c r="E154" s="2">
        <v>57.2</v>
      </c>
      <c r="F154" s="2" t="s">
        <v>36</v>
      </c>
      <c r="G154" s="2" t="s">
        <v>37</v>
      </c>
      <c r="H154" s="2">
        <v>1</v>
      </c>
      <c r="I154" s="2">
        <v>38</v>
      </c>
      <c r="J154" s="2" t="s">
        <v>38</v>
      </c>
      <c r="K154" s="2">
        <v>628</v>
      </c>
      <c r="L154" s="2">
        <v>46.8</v>
      </c>
      <c r="M154" s="2">
        <v>55829092</v>
      </c>
      <c r="N154" s="2">
        <v>21669836</v>
      </c>
      <c r="O154" s="2"/>
      <c r="P154" s="2"/>
      <c r="Q154">
        <f t="shared" si="4"/>
        <v>73731.000598834988</v>
      </c>
      <c r="R154">
        <f t="shared" si="5"/>
        <v>167104.93989751447</v>
      </c>
    </row>
    <row r="155" spans="1:18" ht="16" x14ac:dyDescent="0.4">
      <c r="A155" s="2">
        <v>134945</v>
      </c>
      <c r="B155" s="2" t="s">
        <v>198</v>
      </c>
      <c r="C155" s="2" t="s">
        <v>172</v>
      </c>
      <c r="D155" s="2">
        <v>2383</v>
      </c>
      <c r="E155" s="2">
        <v>55.6</v>
      </c>
      <c r="F155" s="2" t="s">
        <v>47</v>
      </c>
      <c r="G155" s="2" t="s">
        <v>37</v>
      </c>
      <c r="H155" s="2">
        <v>1</v>
      </c>
      <c r="I155" s="2">
        <v>12</v>
      </c>
      <c r="J155" s="2" t="s">
        <v>38</v>
      </c>
      <c r="K155" s="2">
        <v>528</v>
      </c>
      <c r="L155" s="2">
        <v>44.5</v>
      </c>
      <c r="M155" s="2">
        <v>7345104</v>
      </c>
      <c r="N155" s="2">
        <v>6497912</v>
      </c>
      <c r="O155" s="2"/>
      <c r="P155" s="2"/>
      <c r="Q155">
        <f t="shared" si="4"/>
        <v>27655.396663261832</v>
      </c>
      <c r="R155">
        <f t="shared" si="5"/>
        <v>25065.192465192464</v>
      </c>
    </row>
    <row r="156" spans="1:18" ht="16" x14ac:dyDescent="0.4">
      <c r="A156" s="2">
        <v>135726</v>
      </c>
      <c r="B156" s="2" t="s">
        <v>199</v>
      </c>
      <c r="C156" s="2" t="s">
        <v>172</v>
      </c>
      <c r="D156" s="2">
        <v>10624</v>
      </c>
      <c r="E156" s="2">
        <v>53.4</v>
      </c>
      <c r="F156" s="2" t="s">
        <v>47</v>
      </c>
      <c r="G156" s="2" t="s">
        <v>37</v>
      </c>
      <c r="H156" s="2">
        <v>1</v>
      </c>
      <c r="I156" s="2">
        <v>11</v>
      </c>
      <c r="J156" s="2" t="s">
        <v>38</v>
      </c>
      <c r="K156" s="2">
        <v>425</v>
      </c>
      <c r="L156" s="2">
        <v>51.5</v>
      </c>
      <c r="M156" s="2">
        <v>65879327</v>
      </c>
      <c r="N156" s="2">
        <v>18451417</v>
      </c>
      <c r="O156" s="2"/>
      <c r="P156" s="2"/>
      <c r="Q156">
        <f t="shared" si="4"/>
        <v>84301.162764134773</v>
      </c>
      <c r="R156">
        <f t="shared" si="5"/>
        <v>319608.62098241359</v>
      </c>
    </row>
    <row r="157" spans="1:18" ht="16" x14ac:dyDescent="0.4">
      <c r="A157" s="2">
        <v>136172</v>
      </c>
      <c r="B157" s="2" t="s">
        <v>200</v>
      </c>
      <c r="C157" s="2" t="s">
        <v>172</v>
      </c>
      <c r="D157" s="2">
        <v>10689</v>
      </c>
      <c r="E157" s="2">
        <v>57</v>
      </c>
      <c r="F157" s="2" t="s">
        <v>36</v>
      </c>
      <c r="G157" s="2" t="s">
        <v>37</v>
      </c>
      <c r="H157" s="2">
        <v>1</v>
      </c>
      <c r="I157" s="2">
        <v>38</v>
      </c>
      <c r="J157" s="2" t="s">
        <v>41</v>
      </c>
      <c r="K157" s="2">
        <v>353</v>
      </c>
      <c r="L157" s="2">
        <v>57.5</v>
      </c>
      <c r="M157" s="2">
        <v>3705027</v>
      </c>
      <c r="N157" s="2">
        <v>5153874</v>
      </c>
      <c r="O157" s="2"/>
      <c r="P157" s="2"/>
      <c r="Q157">
        <f t="shared" si="4"/>
        <v>25391.668924744423</v>
      </c>
      <c r="R157">
        <f t="shared" si="5"/>
        <v>24696.063989335111</v>
      </c>
    </row>
    <row r="158" spans="1:18" ht="16" x14ac:dyDescent="0.4">
      <c r="A158" s="2">
        <v>136215</v>
      </c>
      <c r="B158" s="2" t="s">
        <v>201</v>
      </c>
      <c r="C158" s="2" t="s">
        <v>172</v>
      </c>
      <c r="D158" s="2">
        <v>4616</v>
      </c>
      <c r="E158" s="2">
        <v>69.7</v>
      </c>
      <c r="F158" s="2" t="s">
        <v>47</v>
      </c>
      <c r="G158" s="2" t="s">
        <v>37</v>
      </c>
      <c r="H158" s="2">
        <v>2</v>
      </c>
      <c r="I158" s="2">
        <v>38</v>
      </c>
      <c r="J158" s="2" t="s">
        <v>41</v>
      </c>
      <c r="K158" s="2">
        <v>362</v>
      </c>
      <c r="L158" s="2">
        <v>58.6</v>
      </c>
      <c r="M158" s="2">
        <v>3169096</v>
      </c>
      <c r="N158" s="2">
        <v>4597815</v>
      </c>
      <c r="O158" s="2"/>
      <c r="P158" s="2"/>
      <c r="Q158">
        <f t="shared" si="4"/>
        <v>21674.311277883578</v>
      </c>
      <c r="R158">
        <f t="shared" si="5"/>
        <v>21145.915071929965</v>
      </c>
    </row>
    <row r="159" spans="1:18" ht="16" x14ac:dyDescent="0.4">
      <c r="A159" s="2">
        <v>136330</v>
      </c>
      <c r="B159" s="2" t="s">
        <v>202</v>
      </c>
      <c r="C159" s="2" t="s">
        <v>172</v>
      </c>
      <c r="D159" s="2">
        <v>2264</v>
      </c>
      <c r="E159" s="2">
        <v>65.5</v>
      </c>
      <c r="F159" s="2" t="s">
        <v>47</v>
      </c>
      <c r="G159" s="2" t="s">
        <v>37</v>
      </c>
      <c r="H159" s="2">
        <v>2</v>
      </c>
      <c r="I159" s="2">
        <v>38</v>
      </c>
      <c r="J159" s="2" t="s">
        <v>41</v>
      </c>
      <c r="K159" s="2">
        <v>362</v>
      </c>
      <c r="L159" s="2">
        <v>50.3</v>
      </c>
      <c r="M159" s="2">
        <v>2269440</v>
      </c>
      <c r="N159" s="2">
        <v>2593324</v>
      </c>
      <c r="O159" s="2"/>
      <c r="P159" s="2"/>
      <c r="Q159">
        <f t="shared" si="4"/>
        <v>14242.303087552034</v>
      </c>
      <c r="R159">
        <f t="shared" si="5"/>
        <v>12614.02670164634</v>
      </c>
    </row>
    <row r="160" spans="1:18" ht="16" x14ac:dyDescent="0.4">
      <c r="A160" s="2">
        <v>136950</v>
      </c>
      <c r="B160" s="2" t="s">
        <v>203</v>
      </c>
      <c r="C160" s="2" t="s">
        <v>172</v>
      </c>
      <c r="D160" s="2">
        <v>2482</v>
      </c>
      <c r="E160" s="2">
        <v>60.6</v>
      </c>
      <c r="F160" s="2" t="s">
        <v>47</v>
      </c>
      <c r="G160" s="2" t="s">
        <v>37</v>
      </c>
      <c r="H160" s="2">
        <v>2</v>
      </c>
      <c r="I160" s="2">
        <v>38</v>
      </c>
      <c r="J160" s="2" t="s">
        <v>41</v>
      </c>
      <c r="K160" s="2">
        <v>483</v>
      </c>
      <c r="L160" s="2">
        <v>42.7</v>
      </c>
      <c r="M160" s="2">
        <v>4105817</v>
      </c>
      <c r="N160" s="2">
        <v>4558839</v>
      </c>
      <c r="O160" s="2"/>
      <c r="P160" s="2"/>
      <c r="Q160">
        <f t="shared" si="4"/>
        <v>22104.426374969087</v>
      </c>
      <c r="R160">
        <f t="shared" si="5"/>
        <v>14835.351334554614</v>
      </c>
    </row>
    <row r="161" spans="1:18" ht="16" x14ac:dyDescent="0.4">
      <c r="A161" s="2">
        <v>137032</v>
      </c>
      <c r="B161" s="2" t="s">
        <v>204</v>
      </c>
      <c r="C161" s="2" t="s">
        <v>172</v>
      </c>
      <c r="D161" s="2">
        <v>5844</v>
      </c>
      <c r="E161" s="2">
        <v>61.1</v>
      </c>
      <c r="F161" s="2" t="s">
        <v>47</v>
      </c>
      <c r="G161" s="2" t="s">
        <v>37</v>
      </c>
      <c r="H161" s="2">
        <v>2</v>
      </c>
      <c r="I161" s="2">
        <v>13</v>
      </c>
      <c r="J161" s="2" t="s">
        <v>41</v>
      </c>
      <c r="K161" s="2">
        <v>385</v>
      </c>
      <c r="L161" s="2">
        <v>51.9</v>
      </c>
      <c r="M161" s="2">
        <v>3107467</v>
      </c>
      <c r="N161" s="2">
        <v>3480319</v>
      </c>
      <c r="O161" s="2"/>
      <c r="P161" s="2"/>
      <c r="Q161">
        <f t="shared" si="4"/>
        <v>17417.70637840002</v>
      </c>
      <c r="R161">
        <f t="shared" si="5"/>
        <v>16780.338580338579</v>
      </c>
    </row>
    <row r="162" spans="1:18" ht="16" x14ac:dyDescent="0.4">
      <c r="A162" s="2">
        <v>137351</v>
      </c>
      <c r="B162" s="2" t="s">
        <v>205</v>
      </c>
      <c r="C162" s="2" t="s">
        <v>172</v>
      </c>
      <c r="D162" s="2">
        <v>25150</v>
      </c>
      <c r="E162" s="2">
        <v>55.8</v>
      </c>
      <c r="F162" s="2" t="s">
        <v>36</v>
      </c>
      <c r="G162" s="2" t="s">
        <v>37</v>
      </c>
      <c r="H162" s="2">
        <v>1</v>
      </c>
      <c r="I162" s="2">
        <v>13</v>
      </c>
      <c r="J162" s="2" t="s">
        <v>38</v>
      </c>
      <c r="K162" s="2">
        <v>511</v>
      </c>
      <c r="L162" s="2">
        <v>49.7</v>
      </c>
      <c r="M162" s="2">
        <v>28312629</v>
      </c>
      <c r="N162" s="2">
        <v>8485797</v>
      </c>
      <c r="O162" s="2"/>
      <c r="P162" s="2"/>
      <c r="Q162">
        <f t="shared" si="4"/>
        <v>33412.990664141405</v>
      </c>
      <c r="R162">
        <f t="shared" si="5"/>
        <v>110151.72759917987</v>
      </c>
    </row>
    <row r="163" spans="1:18" ht="16" x14ac:dyDescent="0.4">
      <c r="A163" s="2">
        <v>137546</v>
      </c>
      <c r="B163" s="2" t="s">
        <v>206</v>
      </c>
      <c r="C163" s="2" t="s">
        <v>172</v>
      </c>
      <c r="D163" s="2">
        <v>3097</v>
      </c>
      <c r="E163" s="2">
        <v>57.2</v>
      </c>
      <c r="F163" s="2" t="s">
        <v>47</v>
      </c>
      <c r="G163" s="2" t="s">
        <v>37</v>
      </c>
      <c r="H163" s="2">
        <v>1</v>
      </c>
      <c r="I163" s="2">
        <v>38</v>
      </c>
      <c r="J163" s="2" t="s">
        <v>38</v>
      </c>
      <c r="K163" s="2">
        <v>447</v>
      </c>
      <c r="L163" s="2">
        <v>45</v>
      </c>
      <c r="M163" s="2">
        <v>7526597</v>
      </c>
      <c r="N163" s="2">
        <v>6732178</v>
      </c>
      <c r="O163" s="2"/>
      <c r="P163" s="2"/>
      <c r="Q163">
        <f t="shared" si="4"/>
        <v>33468.446433010191</v>
      </c>
      <c r="R163">
        <f t="shared" si="5"/>
        <v>30614.59019727476</v>
      </c>
    </row>
    <row r="164" spans="1:18" ht="16" x14ac:dyDescent="0.4">
      <c r="A164" s="2">
        <v>137847</v>
      </c>
      <c r="B164" s="2" t="s">
        <v>207</v>
      </c>
      <c r="C164" s="2" t="s">
        <v>172</v>
      </c>
      <c r="D164" s="2">
        <v>8440</v>
      </c>
      <c r="E164" s="2">
        <v>58.9</v>
      </c>
      <c r="F164" s="2" t="s">
        <v>47</v>
      </c>
      <c r="G164" s="2" t="s">
        <v>37</v>
      </c>
      <c r="H164" s="2">
        <v>2</v>
      </c>
      <c r="I164" s="2">
        <v>38</v>
      </c>
      <c r="J164" s="2" t="s">
        <v>41</v>
      </c>
      <c r="K164" s="2">
        <v>499</v>
      </c>
      <c r="L164" s="2">
        <v>51.1</v>
      </c>
      <c r="M164" s="2">
        <v>3833946</v>
      </c>
      <c r="N164" s="2">
        <v>4002198</v>
      </c>
      <c r="O164" s="2"/>
      <c r="P164" s="2"/>
      <c r="Q164">
        <f t="shared" si="4"/>
        <v>15695.571181501948</v>
      </c>
      <c r="R164">
        <f t="shared" si="5"/>
        <v>15712.185106409137</v>
      </c>
    </row>
    <row r="165" spans="1:18" ht="16" x14ac:dyDescent="0.4">
      <c r="A165" s="2">
        <v>138354</v>
      </c>
      <c r="B165" s="2" t="s">
        <v>208</v>
      </c>
      <c r="C165" s="2" t="s">
        <v>172</v>
      </c>
      <c r="D165" s="2">
        <v>6522</v>
      </c>
      <c r="E165" s="2">
        <v>54.8</v>
      </c>
      <c r="F165" s="2" t="s">
        <v>36</v>
      </c>
      <c r="G165" s="2" t="s">
        <v>37</v>
      </c>
      <c r="H165" s="2">
        <v>2</v>
      </c>
      <c r="I165" s="2">
        <v>38</v>
      </c>
      <c r="J165" s="2" t="s">
        <v>38</v>
      </c>
      <c r="K165" s="2">
        <v>357</v>
      </c>
      <c r="L165" s="2">
        <v>35.6</v>
      </c>
      <c r="M165" s="2">
        <v>4081959</v>
      </c>
      <c r="N165" s="2">
        <v>2755910</v>
      </c>
      <c r="O165" s="2"/>
      <c r="P165" s="2"/>
      <c r="Q165">
        <f t="shared" si="4"/>
        <v>21684.370377364427</v>
      </c>
      <c r="R165">
        <f t="shared" si="5"/>
        <v>17754.749725977344</v>
      </c>
    </row>
    <row r="166" spans="1:18" ht="16" x14ac:dyDescent="0.4">
      <c r="A166" s="2">
        <v>138716</v>
      </c>
      <c r="B166" s="2" t="s">
        <v>209</v>
      </c>
      <c r="C166" s="2" t="s">
        <v>172</v>
      </c>
      <c r="D166" s="2">
        <v>3976</v>
      </c>
      <c r="E166" s="2">
        <v>72</v>
      </c>
      <c r="F166" s="2" t="s">
        <v>36</v>
      </c>
      <c r="G166" s="2" t="s">
        <v>37</v>
      </c>
      <c r="H166" s="2">
        <v>2</v>
      </c>
      <c r="I166" s="2">
        <v>10</v>
      </c>
      <c r="J166" s="2" t="s">
        <v>38</v>
      </c>
      <c r="K166" s="2">
        <v>269</v>
      </c>
      <c r="L166" s="2">
        <v>34.9</v>
      </c>
      <c r="M166" s="2">
        <v>1568270</v>
      </c>
      <c r="N166" s="2">
        <v>743025</v>
      </c>
      <c r="O166" s="2"/>
      <c r="P166" s="2"/>
      <c r="Q166">
        <f t="shared" si="4"/>
        <v>7914.5407483942436</v>
      </c>
      <c r="R166">
        <f t="shared" si="5"/>
        <v>8955.4531490015379</v>
      </c>
    </row>
    <row r="167" spans="1:18" ht="16" x14ac:dyDescent="0.4">
      <c r="A167" s="2">
        <v>138947</v>
      </c>
      <c r="B167" s="2" t="s">
        <v>210</v>
      </c>
      <c r="C167" s="2" t="s">
        <v>172</v>
      </c>
      <c r="D167" s="2">
        <v>3255</v>
      </c>
      <c r="E167" s="2">
        <v>75.900000000000006</v>
      </c>
      <c r="F167" s="2" t="s">
        <v>47</v>
      </c>
      <c r="G167" s="2" t="s">
        <v>37</v>
      </c>
      <c r="H167" s="2">
        <v>2</v>
      </c>
      <c r="I167" s="2">
        <v>38</v>
      </c>
      <c r="J167" s="2" t="s">
        <v>38</v>
      </c>
      <c r="K167" s="2">
        <v>201</v>
      </c>
      <c r="L167" s="2">
        <v>39.299999999999997</v>
      </c>
      <c r="M167" s="2">
        <v>2097536</v>
      </c>
      <c r="N167" s="2">
        <v>1075652</v>
      </c>
      <c r="O167" s="2"/>
      <c r="P167" s="2"/>
      <c r="Q167">
        <f t="shared" si="4"/>
        <v>13617.054675730762</v>
      </c>
      <c r="R167">
        <f t="shared" si="5"/>
        <v>17191.931610481362</v>
      </c>
    </row>
    <row r="168" spans="1:18" ht="16" x14ac:dyDescent="0.4">
      <c r="A168" s="2">
        <v>139144</v>
      </c>
      <c r="B168" s="2" t="s">
        <v>211</v>
      </c>
      <c r="C168" s="2" t="s">
        <v>172</v>
      </c>
      <c r="D168" s="2">
        <v>1909</v>
      </c>
      <c r="E168" s="2">
        <v>60.7</v>
      </c>
      <c r="F168" s="2" t="s">
        <v>47</v>
      </c>
      <c r="G168" s="2" t="s">
        <v>37</v>
      </c>
      <c r="H168" s="2">
        <v>3</v>
      </c>
      <c r="I168" s="2">
        <v>14</v>
      </c>
      <c r="J168" s="2" t="s">
        <v>38</v>
      </c>
      <c r="K168" s="2">
        <v>589</v>
      </c>
      <c r="L168" s="2">
        <v>38.9</v>
      </c>
      <c r="M168" s="2">
        <v>2180651</v>
      </c>
      <c r="N168" s="2">
        <v>1550834</v>
      </c>
      <c r="O168" s="2"/>
      <c r="P168" s="2"/>
      <c r="Q168">
        <f t="shared" si="4"/>
        <v>6768.624438615404</v>
      </c>
      <c r="R168">
        <f t="shared" si="5"/>
        <v>6059.4005207305781</v>
      </c>
    </row>
    <row r="169" spans="1:18" ht="16" x14ac:dyDescent="0.4">
      <c r="A169" s="2">
        <v>139311</v>
      </c>
      <c r="B169" s="2" t="s">
        <v>212</v>
      </c>
      <c r="C169" s="2" t="s">
        <v>172</v>
      </c>
      <c r="D169" s="2">
        <v>3559</v>
      </c>
      <c r="E169" s="2">
        <v>70</v>
      </c>
      <c r="F169" s="2" t="s">
        <v>36</v>
      </c>
      <c r="G169" s="2" t="s">
        <v>37</v>
      </c>
      <c r="H169" s="2">
        <v>2</v>
      </c>
      <c r="I169" s="2">
        <v>35</v>
      </c>
      <c r="J169" s="2" t="s">
        <v>41</v>
      </c>
      <c r="K169" s="2">
        <v>194</v>
      </c>
      <c r="L169" s="2">
        <v>47.9</v>
      </c>
      <c r="M169" s="2">
        <v>1120714</v>
      </c>
      <c r="N169" s="2">
        <v>879353</v>
      </c>
      <c r="O169" s="2"/>
      <c r="P169" s="2"/>
      <c r="Q169">
        <f t="shared" si="4"/>
        <v>9462.9382519424053</v>
      </c>
      <c r="R169">
        <f t="shared" si="5"/>
        <v>11088.054296851811</v>
      </c>
    </row>
    <row r="170" spans="1:18" ht="16" x14ac:dyDescent="0.4">
      <c r="A170" s="2">
        <v>139366</v>
      </c>
      <c r="B170" s="2" t="s">
        <v>213</v>
      </c>
      <c r="C170" s="2" t="s">
        <v>172</v>
      </c>
      <c r="D170" s="2">
        <v>4436</v>
      </c>
      <c r="E170" s="2">
        <v>60.8</v>
      </c>
      <c r="F170" s="2" t="s">
        <v>36</v>
      </c>
      <c r="G170" s="2" t="s">
        <v>37</v>
      </c>
      <c r="H170" s="2">
        <v>2</v>
      </c>
      <c r="I170" s="2">
        <v>38</v>
      </c>
      <c r="J170" s="2" t="s">
        <v>41</v>
      </c>
      <c r="K170" s="2">
        <v>302</v>
      </c>
      <c r="L170" s="2">
        <v>45.4</v>
      </c>
      <c r="M170" s="2">
        <v>1750753</v>
      </c>
      <c r="N170" s="2">
        <v>1761470</v>
      </c>
      <c r="O170" s="2"/>
      <c r="P170" s="2"/>
      <c r="Q170">
        <f t="shared" si="4"/>
        <v>12847.317443183476</v>
      </c>
      <c r="R170">
        <f t="shared" si="5"/>
        <v>10617.573927176574</v>
      </c>
    </row>
    <row r="171" spans="1:18" ht="16" x14ac:dyDescent="0.4">
      <c r="A171" s="2">
        <v>139393</v>
      </c>
      <c r="B171" s="2" t="s">
        <v>214</v>
      </c>
      <c r="C171" s="2" t="s">
        <v>172</v>
      </c>
      <c r="D171" s="2">
        <v>887</v>
      </c>
      <c r="E171" s="2">
        <v>53.1</v>
      </c>
      <c r="F171" s="2" t="s">
        <v>47</v>
      </c>
      <c r="G171" s="2" t="s">
        <v>37</v>
      </c>
      <c r="H171" s="2">
        <v>3</v>
      </c>
      <c r="I171" s="2">
        <v>9</v>
      </c>
      <c r="J171" s="2" t="s">
        <v>41</v>
      </c>
      <c r="K171" s="2">
        <v>237</v>
      </c>
      <c r="L171" s="2">
        <v>44.7</v>
      </c>
      <c r="M171" s="2">
        <v>590726</v>
      </c>
      <c r="N171" s="2">
        <v>550975</v>
      </c>
      <c r="O171" s="2"/>
      <c r="P171" s="2"/>
      <c r="Q171">
        <f t="shared" si="4"/>
        <v>5200.8703121607705</v>
      </c>
      <c r="R171">
        <f t="shared" si="5"/>
        <v>4507.2599781781009</v>
      </c>
    </row>
    <row r="172" spans="1:18" ht="16" x14ac:dyDescent="0.4">
      <c r="A172" s="2">
        <v>139630</v>
      </c>
      <c r="B172" s="2" t="s">
        <v>215</v>
      </c>
      <c r="C172" s="2" t="s">
        <v>172</v>
      </c>
      <c r="D172" s="2">
        <v>805</v>
      </c>
      <c r="E172" s="2">
        <v>45.7</v>
      </c>
      <c r="F172" s="2" t="s">
        <v>47</v>
      </c>
      <c r="G172" s="2" t="s">
        <v>37</v>
      </c>
      <c r="H172" s="2">
        <v>2</v>
      </c>
      <c r="I172" s="2">
        <v>38</v>
      </c>
      <c r="J172" s="2" t="s">
        <v>41</v>
      </c>
      <c r="K172" s="2">
        <v>680</v>
      </c>
      <c r="L172" s="2">
        <v>38.1</v>
      </c>
      <c r="M172" s="2">
        <v>3345203</v>
      </c>
      <c r="N172" s="2">
        <v>3295245</v>
      </c>
      <c r="O172" s="2"/>
      <c r="P172" s="2"/>
      <c r="Q172">
        <f t="shared" si="4"/>
        <v>12719.025011579435</v>
      </c>
      <c r="R172">
        <f t="shared" si="5"/>
        <v>7947.3605435712243</v>
      </c>
    </row>
    <row r="173" spans="1:18" ht="16" x14ac:dyDescent="0.4">
      <c r="A173" s="2">
        <v>139658</v>
      </c>
      <c r="B173" s="2" t="s">
        <v>216</v>
      </c>
      <c r="C173" s="2" t="s">
        <v>172</v>
      </c>
      <c r="D173" s="2">
        <v>6939</v>
      </c>
      <c r="E173" s="2">
        <v>59.7</v>
      </c>
      <c r="F173" s="2" t="s">
        <v>47</v>
      </c>
      <c r="G173" s="2" t="s">
        <v>37</v>
      </c>
      <c r="H173" s="2">
        <v>3</v>
      </c>
      <c r="I173" s="2">
        <v>38</v>
      </c>
      <c r="J173" s="2" t="s">
        <v>41</v>
      </c>
      <c r="K173" s="2">
        <v>533</v>
      </c>
      <c r="L173" s="2">
        <v>48.8</v>
      </c>
      <c r="M173" s="2">
        <v>1747250</v>
      </c>
      <c r="N173" s="2">
        <v>1777729</v>
      </c>
      <c r="O173" s="2"/>
      <c r="P173" s="2"/>
      <c r="Q173">
        <f t="shared" si="4"/>
        <v>6834.6853566265809</v>
      </c>
      <c r="R173">
        <f t="shared" si="5"/>
        <v>6402.6222443714814</v>
      </c>
    </row>
    <row r="174" spans="1:18" ht="16" x14ac:dyDescent="0.4">
      <c r="A174" s="2">
        <v>139719</v>
      </c>
      <c r="B174" s="2" t="s">
        <v>217</v>
      </c>
      <c r="C174" s="2" t="s">
        <v>172</v>
      </c>
      <c r="D174" s="2">
        <v>2056</v>
      </c>
      <c r="E174" s="2">
        <v>61.4</v>
      </c>
      <c r="F174" s="2" t="s">
        <v>36</v>
      </c>
      <c r="G174" s="2" t="s">
        <v>37</v>
      </c>
      <c r="H174" s="2">
        <v>2</v>
      </c>
      <c r="I174" s="2">
        <v>6</v>
      </c>
      <c r="J174" s="2" t="s">
        <v>38</v>
      </c>
      <c r="K174" s="2">
        <v>219</v>
      </c>
      <c r="L174" s="2">
        <v>27.9</v>
      </c>
      <c r="M174" s="2">
        <v>1239328</v>
      </c>
      <c r="N174" s="2">
        <v>455835</v>
      </c>
      <c r="O174" s="2"/>
      <c r="P174" s="2"/>
      <c r="Q174">
        <f t="shared" si="4"/>
        <v>7460.3525310551395</v>
      </c>
      <c r="R174">
        <f t="shared" si="5"/>
        <v>7848.8654139671562</v>
      </c>
    </row>
    <row r="175" spans="1:18" ht="16" x14ac:dyDescent="0.4">
      <c r="A175" s="2">
        <v>139755</v>
      </c>
      <c r="B175" s="2" t="s">
        <v>218</v>
      </c>
      <c r="C175" s="2" t="s">
        <v>172</v>
      </c>
      <c r="D175" s="2">
        <v>14132</v>
      </c>
      <c r="E175" s="2">
        <v>39.799999999999997</v>
      </c>
      <c r="F175" s="2" t="s">
        <v>36</v>
      </c>
      <c r="G175" s="2" t="s">
        <v>37</v>
      </c>
      <c r="H175" s="2">
        <v>1</v>
      </c>
      <c r="I175" s="2">
        <v>38</v>
      </c>
      <c r="J175" s="2" t="s">
        <v>38</v>
      </c>
      <c r="K175" s="2">
        <v>521</v>
      </c>
      <c r="L175" s="2">
        <v>37.4</v>
      </c>
      <c r="M175" s="2">
        <v>41207767</v>
      </c>
      <c r="N175" s="2">
        <v>11288753</v>
      </c>
      <c r="O175" s="2"/>
      <c r="P175" s="2"/>
      <c r="Q175">
        <f t="shared" si="4"/>
        <v>57934.417563919647</v>
      </c>
      <c r="R175">
        <f t="shared" si="5"/>
        <v>126347.60812642191</v>
      </c>
    </row>
    <row r="176" spans="1:18" ht="16" x14ac:dyDescent="0.4">
      <c r="A176" s="2">
        <v>139764</v>
      </c>
      <c r="B176" s="2" t="s">
        <v>219</v>
      </c>
      <c r="C176" s="2" t="s">
        <v>172</v>
      </c>
      <c r="D176" s="2">
        <v>1623</v>
      </c>
      <c r="E176" s="2">
        <v>63.1</v>
      </c>
      <c r="F176" s="2" t="s">
        <v>36</v>
      </c>
      <c r="G176" s="2" t="s">
        <v>37</v>
      </c>
      <c r="H176" s="2">
        <v>2</v>
      </c>
      <c r="I176" s="2">
        <v>38</v>
      </c>
      <c r="J176" s="2" t="s">
        <v>41</v>
      </c>
      <c r="K176" s="2">
        <v>193</v>
      </c>
      <c r="L176" s="2">
        <v>43</v>
      </c>
      <c r="M176" s="2">
        <v>788413</v>
      </c>
      <c r="N176" s="2">
        <v>804759</v>
      </c>
      <c r="O176" s="2"/>
      <c r="P176" s="2"/>
      <c r="Q176">
        <f t="shared" si="4"/>
        <v>9697.0598867333429</v>
      </c>
      <c r="R176">
        <f t="shared" si="5"/>
        <v>7166.7393873284245</v>
      </c>
    </row>
    <row r="177" spans="1:18" ht="16" x14ac:dyDescent="0.4">
      <c r="A177" s="2">
        <v>139861</v>
      </c>
      <c r="B177" s="2" t="s">
        <v>220</v>
      </c>
      <c r="C177" s="2" t="s">
        <v>172</v>
      </c>
      <c r="D177" s="2">
        <v>5332</v>
      </c>
      <c r="E177" s="2">
        <v>64.2</v>
      </c>
      <c r="F177" s="2" t="s">
        <v>36</v>
      </c>
      <c r="G177" s="2" t="s">
        <v>37</v>
      </c>
      <c r="H177" s="2">
        <v>2</v>
      </c>
      <c r="I177" s="2">
        <v>8</v>
      </c>
      <c r="J177" s="2" t="s">
        <v>41</v>
      </c>
      <c r="K177" s="2">
        <v>190</v>
      </c>
      <c r="L177" s="2">
        <v>52.1</v>
      </c>
      <c r="M177" s="2">
        <v>914981</v>
      </c>
      <c r="N177" s="2">
        <v>1021460</v>
      </c>
      <c r="O177" s="2"/>
      <c r="P177" s="2"/>
      <c r="Q177">
        <f t="shared" si="4"/>
        <v>10318.82008283665</v>
      </c>
      <c r="R177">
        <f t="shared" si="5"/>
        <v>10053.631469069334</v>
      </c>
    </row>
    <row r="178" spans="1:18" ht="16" x14ac:dyDescent="0.4">
      <c r="A178" s="2">
        <v>139931</v>
      </c>
      <c r="B178" s="2" t="s">
        <v>221</v>
      </c>
      <c r="C178" s="2" t="s">
        <v>172</v>
      </c>
      <c r="D178" s="2">
        <v>18994</v>
      </c>
      <c r="E178" s="2">
        <v>55.7</v>
      </c>
      <c r="F178" s="2" t="s">
        <v>36</v>
      </c>
      <c r="G178" s="2" t="s">
        <v>37</v>
      </c>
      <c r="H178" s="2">
        <v>1</v>
      </c>
      <c r="I178" s="2">
        <v>38</v>
      </c>
      <c r="J178" s="2" t="s">
        <v>38</v>
      </c>
      <c r="K178" s="2">
        <v>418</v>
      </c>
      <c r="L178" s="2">
        <v>45.2</v>
      </c>
      <c r="M178" s="2">
        <v>12724341</v>
      </c>
      <c r="N178" s="2">
        <v>5516093</v>
      </c>
      <c r="O178" s="2"/>
      <c r="P178" s="2"/>
      <c r="Q178">
        <f t="shared" si="4"/>
        <v>29195.563577084304</v>
      </c>
      <c r="R178">
        <f t="shared" si="5"/>
        <v>55549.283169769158</v>
      </c>
    </row>
    <row r="179" spans="1:18" ht="16" x14ac:dyDescent="0.4">
      <c r="A179" s="2">
        <v>139940</v>
      </c>
      <c r="B179" s="2" t="s">
        <v>222</v>
      </c>
      <c r="C179" s="2" t="s">
        <v>172</v>
      </c>
      <c r="D179" s="2">
        <v>21815</v>
      </c>
      <c r="E179" s="2">
        <v>59.2</v>
      </c>
      <c r="F179" s="2" t="s">
        <v>36</v>
      </c>
      <c r="G179" s="2" t="s">
        <v>37</v>
      </c>
      <c r="H179" s="2">
        <v>1</v>
      </c>
      <c r="I179" s="2">
        <v>10</v>
      </c>
      <c r="J179" s="2" t="s">
        <v>38</v>
      </c>
      <c r="K179" s="2">
        <v>411</v>
      </c>
      <c r="L179" s="2">
        <v>50.1</v>
      </c>
      <c r="M179" s="2">
        <v>14048666</v>
      </c>
      <c r="N179" s="2">
        <v>6788164</v>
      </c>
      <c r="O179" s="2"/>
      <c r="P179" s="2"/>
      <c r="Q179">
        <f t="shared" si="4"/>
        <v>32966.495233377529</v>
      </c>
      <c r="R179">
        <f t="shared" si="5"/>
        <v>68500.338877267917</v>
      </c>
    </row>
    <row r="180" spans="1:18" ht="16" x14ac:dyDescent="0.4">
      <c r="A180" s="2">
        <v>139959</v>
      </c>
      <c r="B180" s="2" t="s">
        <v>223</v>
      </c>
      <c r="C180" s="2" t="s">
        <v>172</v>
      </c>
      <c r="D180" s="2">
        <v>28091</v>
      </c>
      <c r="E180" s="2">
        <v>57.7</v>
      </c>
      <c r="F180" s="2" t="s">
        <v>36</v>
      </c>
      <c r="G180" s="2" t="s">
        <v>37</v>
      </c>
      <c r="H180" s="2">
        <v>1</v>
      </c>
      <c r="I180" s="2">
        <v>38</v>
      </c>
      <c r="J180" s="2" t="s">
        <v>38</v>
      </c>
      <c r="K180" s="2">
        <v>704</v>
      </c>
      <c r="L180" s="2">
        <v>51.1</v>
      </c>
      <c r="M180" s="2">
        <v>64462913</v>
      </c>
      <c r="N180" s="2">
        <v>19091132</v>
      </c>
      <c r="O180" s="2"/>
      <c r="P180" s="2"/>
      <c r="Q180">
        <f t="shared" si="4"/>
        <v>53068.659935954449</v>
      </c>
      <c r="R180">
        <f t="shared" si="5"/>
        <v>187252.83800427589</v>
      </c>
    </row>
    <row r="181" spans="1:18" ht="16" x14ac:dyDescent="0.4">
      <c r="A181" s="2">
        <v>140234</v>
      </c>
      <c r="B181" s="2" t="s">
        <v>224</v>
      </c>
      <c r="C181" s="2" t="s">
        <v>172</v>
      </c>
      <c r="D181" s="2">
        <v>844</v>
      </c>
      <c r="E181" s="2">
        <v>48.3</v>
      </c>
      <c r="F181" s="2" t="s">
        <v>47</v>
      </c>
      <c r="G181" s="2" t="s">
        <v>37</v>
      </c>
      <c r="H181" s="2">
        <v>3</v>
      </c>
      <c r="I181" s="2">
        <v>12</v>
      </c>
      <c r="J181" s="2" t="s">
        <v>38</v>
      </c>
      <c r="K181" s="2">
        <v>378</v>
      </c>
      <c r="L181" s="2">
        <v>36.200000000000003</v>
      </c>
      <c r="M181" s="2">
        <v>1514434</v>
      </c>
      <c r="N181" s="2">
        <v>661994</v>
      </c>
      <c r="O181" s="2"/>
      <c r="P181" s="2"/>
      <c r="Q181">
        <f t="shared" si="4"/>
        <v>4837.8643047151327</v>
      </c>
      <c r="R181">
        <f t="shared" si="5"/>
        <v>6279.6851934782962</v>
      </c>
    </row>
    <row r="182" spans="1:18" ht="16" x14ac:dyDescent="0.4">
      <c r="A182" s="2">
        <v>140447</v>
      </c>
      <c r="B182" s="2" t="s">
        <v>225</v>
      </c>
      <c r="C182" s="2" t="s">
        <v>172</v>
      </c>
      <c r="D182" s="2">
        <v>4253</v>
      </c>
      <c r="E182" s="2">
        <v>61</v>
      </c>
      <c r="F182" s="2" t="s">
        <v>47</v>
      </c>
      <c r="G182" s="2" t="s">
        <v>37</v>
      </c>
      <c r="H182" s="2">
        <v>1</v>
      </c>
      <c r="I182" s="2">
        <v>38</v>
      </c>
      <c r="J182" s="2" t="s">
        <v>38</v>
      </c>
      <c r="K182" s="2">
        <v>445</v>
      </c>
      <c r="L182" s="2">
        <v>39.6</v>
      </c>
      <c r="M182" s="2">
        <v>11667479</v>
      </c>
      <c r="N182" s="2">
        <v>5905713</v>
      </c>
      <c r="O182" s="2"/>
      <c r="P182" s="2"/>
      <c r="Q182">
        <f t="shared" si="4"/>
        <v>33513.29588014981</v>
      </c>
      <c r="R182">
        <f t="shared" si="5"/>
        <v>43409.029689709059</v>
      </c>
    </row>
    <row r="183" spans="1:18" ht="16" x14ac:dyDescent="0.4">
      <c r="A183" s="2">
        <v>140696</v>
      </c>
      <c r="B183" s="2" t="s">
        <v>226</v>
      </c>
      <c r="C183" s="2" t="s">
        <v>172</v>
      </c>
      <c r="D183" s="2">
        <v>1307</v>
      </c>
      <c r="E183" s="2">
        <v>58.9</v>
      </c>
      <c r="F183" s="2" t="s">
        <v>47</v>
      </c>
      <c r="G183" s="2" t="s">
        <v>37</v>
      </c>
      <c r="H183" s="2">
        <v>3</v>
      </c>
      <c r="I183" s="2">
        <v>38</v>
      </c>
      <c r="J183" s="2" t="s">
        <v>41</v>
      </c>
      <c r="K183" s="2">
        <v>370</v>
      </c>
      <c r="L183" s="2">
        <v>35.700000000000003</v>
      </c>
      <c r="M183" s="2">
        <v>921487</v>
      </c>
      <c r="N183" s="2">
        <v>737420</v>
      </c>
      <c r="O183" s="2"/>
      <c r="P183" s="2"/>
      <c r="Q183">
        <f t="shared" si="4"/>
        <v>5582.708759179347</v>
      </c>
      <c r="R183">
        <f t="shared" si="5"/>
        <v>3873.2587953427769</v>
      </c>
    </row>
    <row r="184" spans="1:18" ht="16" x14ac:dyDescent="0.4">
      <c r="A184" s="2">
        <v>140720</v>
      </c>
      <c r="B184" s="2" t="s">
        <v>227</v>
      </c>
      <c r="C184" s="2" t="s">
        <v>172</v>
      </c>
      <c r="D184" s="2">
        <v>395</v>
      </c>
      <c r="E184" s="2">
        <v>54.9</v>
      </c>
      <c r="F184" s="2" t="s">
        <v>47</v>
      </c>
      <c r="G184" s="2" t="s">
        <v>37</v>
      </c>
      <c r="H184" s="2">
        <v>2</v>
      </c>
      <c r="I184" s="2">
        <v>38</v>
      </c>
      <c r="J184" s="2" t="s">
        <v>41</v>
      </c>
      <c r="K184" s="2">
        <v>127</v>
      </c>
      <c r="L184" s="2">
        <v>46.5</v>
      </c>
      <c r="M184" s="2">
        <v>524049</v>
      </c>
      <c r="N184" s="2">
        <v>615469</v>
      </c>
      <c r="O184" s="2"/>
      <c r="P184" s="2"/>
      <c r="Q184">
        <f t="shared" si="4"/>
        <v>10421.962577258488</v>
      </c>
      <c r="R184">
        <f t="shared" si="5"/>
        <v>7712.8412686731908</v>
      </c>
    </row>
    <row r="185" spans="1:18" ht="16" x14ac:dyDescent="0.4">
      <c r="A185" s="2">
        <v>140818</v>
      </c>
      <c r="B185" s="2" t="s">
        <v>228</v>
      </c>
      <c r="C185" s="2" t="s">
        <v>172</v>
      </c>
      <c r="D185" s="2">
        <v>1145</v>
      </c>
      <c r="E185" s="2">
        <v>63.8</v>
      </c>
      <c r="F185" s="2" t="s">
        <v>47</v>
      </c>
      <c r="G185" s="2" t="s">
        <v>37</v>
      </c>
      <c r="H185" s="2">
        <v>3</v>
      </c>
      <c r="I185" s="2">
        <v>10</v>
      </c>
      <c r="J185" s="2" t="s">
        <v>41</v>
      </c>
      <c r="K185" s="2">
        <v>464</v>
      </c>
      <c r="L185" s="2">
        <v>46.6</v>
      </c>
      <c r="M185" s="2">
        <v>1284115</v>
      </c>
      <c r="N185" s="2">
        <v>1222059</v>
      </c>
      <c r="O185" s="2"/>
      <c r="P185" s="2"/>
      <c r="Q185">
        <f t="shared" si="4"/>
        <v>5651.8194095012577</v>
      </c>
      <c r="R185">
        <f t="shared" si="5"/>
        <v>5182.5640901459383</v>
      </c>
    </row>
    <row r="186" spans="1:18" ht="16" x14ac:dyDescent="0.4">
      <c r="A186" s="2">
        <v>140960</v>
      </c>
      <c r="B186" s="2" t="s">
        <v>229</v>
      </c>
      <c r="C186" s="2" t="s">
        <v>172</v>
      </c>
      <c r="D186" s="2">
        <v>2961</v>
      </c>
      <c r="E186" s="2">
        <v>61.5</v>
      </c>
      <c r="F186" s="2" t="s">
        <v>36</v>
      </c>
      <c r="G186" s="2" t="s">
        <v>37</v>
      </c>
      <c r="H186" s="2">
        <v>2</v>
      </c>
      <c r="I186" s="2">
        <v>10</v>
      </c>
      <c r="J186" s="2" t="s">
        <v>38</v>
      </c>
      <c r="K186" s="2">
        <v>362</v>
      </c>
      <c r="L186" s="2">
        <v>29</v>
      </c>
      <c r="M186" s="2">
        <v>1666426</v>
      </c>
      <c r="N186" s="2">
        <v>788418</v>
      </c>
      <c r="O186" s="2"/>
      <c r="P186" s="2"/>
      <c r="Q186">
        <f t="shared" si="4"/>
        <v>7510.1733663554969</v>
      </c>
      <c r="R186">
        <f t="shared" si="5"/>
        <v>6483.6432962415383</v>
      </c>
    </row>
    <row r="187" spans="1:18" ht="16" x14ac:dyDescent="0.4">
      <c r="A187" s="2">
        <v>140988</v>
      </c>
      <c r="B187" s="2" t="s">
        <v>230</v>
      </c>
      <c r="C187" s="2" t="s">
        <v>172</v>
      </c>
      <c r="D187" s="2">
        <v>1102</v>
      </c>
      <c r="E187" s="2">
        <v>54</v>
      </c>
      <c r="F187" s="2" t="s">
        <v>47</v>
      </c>
      <c r="G187" s="2" t="s">
        <v>37</v>
      </c>
      <c r="H187" s="2">
        <v>2</v>
      </c>
      <c r="I187" s="2">
        <v>38</v>
      </c>
      <c r="J187" s="2" t="s">
        <v>38</v>
      </c>
      <c r="K187" s="2">
        <v>572</v>
      </c>
      <c r="L187" s="2">
        <v>30.8</v>
      </c>
      <c r="M187" s="2">
        <v>3637099</v>
      </c>
      <c r="N187" s="2">
        <v>1987064</v>
      </c>
      <c r="O187" s="2"/>
      <c r="P187" s="2"/>
      <c r="Q187">
        <f t="shared" si="4"/>
        <v>11278.857506130234</v>
      </c>
      <c r="R187">
        <f t="shared" si="5"/>
        <v>9188.6772909171759</v>
      </c>
    </row>
    <row r="188" spans="1:18" ht="16" x14ac:dyDescent="0.4">
      <c r="A188" s="2">
        <v>141264</v>
      </c>
      <c r="B188" s="2" t="s">
        <v>231</v>
      </c>
      <c r="C188" s="2" t="s">
        <v>172</v>
      </c>
      <c r="D188" s="2">
        <v>6753</v>
      </c>
      <c r="E188" s="2">
        <v>64.3</v>
      </c>
      <c r="F188" s="2" t="s">
        <v>36</v>
      </c>
      <c r="G188" s="2" t="s">
        <v>37</v>
      </c>
      <c r="H188" s="2">
        <v>2</v>
      </c>
      <c r="I188" s="2">
        <v>38</v>
      </c>
      <c r="J188" s="2" t="s">
        <v>38</v>
      </c>
      <c r="K188" s="2">
        <v>324</v>
      </c>
      <c r="L188" s="2">
        <v>29.6</v>
      </c>
      <c r="M188" s="2">
        <v>2576812</v>
      </c>
      <c r="N188" s="2">
        <v>1441436</v>
      </c>
      <c r="O188" s="2"/>
      <c r="P188" s="2"/>
      <c r="Q188">
        <f t="shared" si="4"/>
        <v>15029.988321654986</v>
      </c>
      <c r="R188">
        <f t="shared" si="5"/>
        <v>11297.050364758696</v>
      </c>
    </row>
    <row r="189" spans="1:18" ht="16" x14ac:dyDescent="0.4">
      <c r="A189" s="2">
        <v>141334</v>
      </c>
      <c r="B189" s="2" t="s">
        <v>232</v>
      </c>
      <c r="C189" s="2" t="s">
        <v>172</v>
      </c>
      <c r="D189" s="2">
        <v>8012</v>
      </c>
      <c r="E189" s="2">
        <v>63.5</v>
      </c>
      <c r="F189" s="2" t="s">
        <v>36</v>
      </c>
      <c r="G189" s="2" t="s">
        <v>37</v>
      </c>
      <c r="H189" s="2">
        <v>2</v>
      </c>
      <c r="I189" s="2">
        <v>12</v>
      </c>
      <c r="J189" s="2" t="s">
        <v>38</v>
      </c>
      <c r="K189" s="2">
        <v>375</v>
      </c>
      <c r="L189" s="2">
        <v>46.1</v>
      </c>
      <c r="M189" s="2">
        <v>3310817</v>
      </c>
      <c r="N189" s="2">
        <v>2310624</v>
      </c>
      <c r="O189" s="2"/>
      <c r="P189" s="2"/>
      <c r="Q189">
        <f t="shared" si="4"/>
        <v>13365.865509761388</v>
      </c>
      <c r="R189">
        <f t="shared" si="5"/>
        <v>16380.04700061843</v>
      </c>
    </row>
    <row r="190" spans="1:18" ht="16" x14ac:dyDescent="0.4">
      <c r="A190" s="2">
        <v>141361</v>
      </c>
      <c r="B190" s="2" t="s">
        <v>233</v>
      </c>
      <c r="C190" s="2" t="s">
        <v>172</v>
      </c>
      <c r="D190" s="2">
        <v>901</v>
      </c>
      <c r="E190" s="2">
        <v>51.9</v>
      </c>
      <c r="F190" s="2" t="s">
        <v>47</v>
      </c>
      <c r="G190" s="2" t="s">
        <v>37</v>
      </c>
      <c r="H190" s="2">
        <v>2</v>
      </c>
      <c r="I190" s="2">
        <v>9</v>
      </c>
      <c r="J190" s="2" t="s">
        <v>41</v>
      </c>
      <c r="K190" s="2">
        <v>314</v>
      </c>
      <c r="L190" s="2">
        <v>39.200000000000003</v>
      </c>
      <c r="M190" s="2">
        <v>2518445</v>
      </c>
      <c r="N190" s="2">
        <v>2166408</v>
      </c>
      <c r="O190" s="2"/>
      <c r="P190" s="2"/>
      <c r="Q190">
        <f t="shared" si="4"/>
        <v>17600.480956713895</v>
      </c>
      <c r="R190">
        <f t="shared" si="5"/>
        <v>13191.653746228629</v>
      </c>
    </row>
    <row r="191" spans="1:18" ht="16" x14ac:dyDescent="0.4">
      <c r="A191" s="2">
        <v>141486</v>
      </c>
      <c r="B191" s="2" t="s">
        <v>234</v>
      </c>
      <c r="C191" s="2" t="s">
        <v>60</v>
      </c>
      <c r="D191" s="2">
        <v>1329</v>
      </c>
      <c r="E191" s="2">
        <v>72.400000000000006</v>
      </c>
      <c r="F191" s="2" t="s">
        <v>47</v>
      </c>
      <c r="G191" s="2" t="s">
        <v>37</v>
      </c>
      <c r="H191" s="2">
        <v>2</v>
      </c>
      <c r="I191" s="2">
        <v>38</v>
      </c>
      <c r="J191" s="2" t="s">
        <v>41</v>
      </c>
      <c r="K191" s="2">
        <v>148</v>
      </c>
      <c r="L191" s="2">
        <v>59.5</v>
      </c>
      <c r="M191" s="2">
        <v>1031458</v>
      </c>
      <c r="N191" s="2">
        <v>1309245</v>
      </c>
      <c r="O191" s="2"/>
      <c r="P191" s="2"/>
      <c r="Q191">
        <f t="shared" si="4"/>
        <v>14867.64705882353</v>
      </c>
      <c r="R191">
        <f t="shared" si="5"/>
        <v>17208.174841508175</v>
      </c>
    </row>
    <row r="192" spans="1:18" ht="16" x14ac:dyDescent="0.4">
      <c r="A192" s="2">
        <v>141565</v>
      </c>
      <c r="B192" s="2" t="s">
        <v>235</v>
      </c>
      <c r="C192" s="2" t="s">
        <v>60</v>
      </c>
      <c r="D192" s="2">
        <v>2203</v>
      </c>
      <c r="E192" s="2">
        <v>63</v>
      </c>
      <c r="F192" s="2" t="s">
        <v>36</v>
      </c>
      <c r="G192" s="2" t="s">
        <v>37</v>
      </c>
      <c r="H192" s="2">
        <v>2</v>
      </c>
      <c r="I192" s="2">
        <v>38</v>
      </c>
      <c r="J192" s="2" t="s">
        <v>41</v>
      </c>
      <c r="K192" s="2">
        <v>216</v>
      </c>
      <c r="L192" s="2">
        <v>49.1</v>
      </c>
      <c r="M192" s="2">
        <v>1802575</v>
      </c>
      <c r="N192" s="2">
        <v>1851189</v>
      </c>
      <c r="O192" s="2"/>
      <c r="P192" s="2"/>
      <c r="Q192">
        <f t="shared" si="4"/>
        <v>17454.825752432676</v>
      </c>
      <c r="R192">
        <f t="shared" si="5"/>
        <v>16395.392199665283</v>
      </c>
    </row>
    <row r="193" spans="1:18" ht="16" x14ac:dyDescent="0.4">
      <c r="A193" s="2">
        <v>141574</v>
      </c>
      <c r="B193" s="2" t="s">
        <v>236</v>
      </c>
      <c r="C193" s="2" t="s">
        <v>60</v>
      </c>
      <c r="D193" s="2">
        <v>10384</v>
      </c>
      <c r="E193" s="2">
        <v>57.5</v>
      </c>
      <c r="F193" s="2" t="s">
        <v>36</v>
      </c>
      <c r="G193" s="2" t="s">
        <v>37</v>
      </c>
      <c r="H193" s="2">
        <v>1</v>
      </c>
      <c r="I193" s="2">
        <v>38</v>
      </c>
      <c r="J193" s="2" t="s">
        <v>38</v>
      </c>
      <c r="K193" s="2">
        <v>555</v>
      </c>
      <c r="L193" s="2">
        <v>56.4</v>
      </c>
      <c r="M193" s="2">
        <v>19772215</v>
      </c>
      <c r="N193" s="2">
        <v>10837870</v>
      </c>
      <c r="O193" s="2"/>
      <c r="P193" s="2"/>
      <c r="Q193">
        <f t="shared" si="4"/>
        <v>34623.570378889533</v>
      </c>
      <c r="R193">
        <f t="shared" si="5"/>
        <v>81710.120671129844</v>
      </c>
    </row>
    <row r="194" spans="1:18" ht="16" x14ac:dyDescent="0.4">
      <c r="A194" s="2">
        <v>141644</v>
      </c>
      <c r="B194" s="2" t="s">
        <v>237</v>
      </c>
      <c r="C194" s="2" t="s">
        <v>60</v>
      </c>
      <c r="D194" s="2">
        <v>2201</v>
      </c>
      <c r="E194" s="2">
        <v>66.2</v>
      </c>
      <c r="F194" s="2" t="s">
        <v>47</v>
      </c>
      <c r="G194" s="2" t="s">
        <v>37</v>
      </c>
      <c r="H194" s="2">
        <v>2</v>
      </c>
      <c r="I194" s="2">
        <v>9</v>
      </c>
      <c r="J194" s="2" t="s">
        <v>41</v>
      </c>
      <c r="K194" s="2">
        <v>233</v>
      </c>
      <c r="L194" s="2">
        <v>56.7</v>
      </c>
      <c r="M194" s="2">
        <v>1985959</v>
      </c>
      <c r="N194" s="2">
        <v>2522730</v>
      </c>
      <c r="O194" s="2"/>
      <c r="P194" s="2"/>
      <c r="Q194">
        <f t="shared" si="4"/>
        <v>19095.533301541884</v>
      </c>
      <c r="R194">
        <f t="shared" si="5"/>
        <v>19684.593959698283</v>
      </c>
    </row>
    <row r="195" spans="1:18" ht="16" x14ac:dyDescent="0.4">
      <c r="A195" s="2">
        <v>142115</v>
      </c>
      <c r="B195" s="2" t="s">
        <v>238</v>
      </c>
      <c r="C195" s="2" t="s">
        <v>63</v>
      </c>
      <c r="D195" s="2">
        <v>13035</v>
      </c>
      <c r="E195" s="2">
        <v>55.4</v>
      </c>
      <c r="F195" s="2" t="s">
        <v>36</v>
      </c>
      <c r="G195" s="2" t="s">
        <v>37</v>
      </c>
      <c r="H195" s="2">
        <v>1</v>
      </c>
      <c r="I195" s="2">
        <v>38</v>
      </c>
      <c r="J195" s="2" t="s">
        <v>38</v>
      </c>
      <c r="K195" s="2">
        <v>456</v>
      </c>
      <c r="L195" s="2">
        <v>51.8</v>
      </c>
      <c r="M195" s="2">
        <v>20600595</v>
      </c>
      <c r="N195" s="2">
        <v>9512103</v>
      </c>
      <c r="O195" s="2"/>
      <c r="P195" s="2"/>
      <c r="Q195">
        <f t="shared" ref="Q195:Q258" si="6">N195/(K195*(0.01*L195))</f>
        <v>40270.028957528957</v>
      </c>
      <c r="R195">
        <f t="shared" ref="R195:R258" si="7">M195/(K195*(0.01*(100-L195)))</f>
        <v>93727.68344616727</v>
      </c>
    </row>
    <row r="196" spans="1:18" ht="16" x14ac:dyDescent="0.4">
      <c r="A196" s="2">
        <v>142276</v>
      </c>
      <c r="B196" s="2" t="s">
        <v>239</v>
      </c>
      <c r="C196" s="2" t="s">
        <v>63</v>
      </c>
      <c r="D196" s="2">
        <v>5875</v>
      </c>
      <c r="E196" s="2">
        <v>55.8</v>
      </c>
      <c r="F196" s="2" t="s">
        <v>36</v>
      </c>
      <c r="G196" s="2" t="s">
        <v>37</v>
      </c>
      <c r="H196" s="2">
        <v>1</v>
      </c>
      <c r="I196" s="2">
        <v>38</v>
      </c>
      <c r="J196" s="2" t="s">
        <v>38</v>
      </c>
      <c r="K196" s="2">
        <v>407</v>
      </c>
      <c r="L196" s="2">
        <v>50.4</v>
      </c>
      <c r="M196" s="2">
        <v>5853558</v>
      </c>
      <c r="N196" s="2">
        <v>4552604</v>
      </c>
      <c r="O196" s="2"/>
      <c r="P196" s="2"/>
      <c r="Q196">
        <f t="shared" si="6"/>
        <v>22193.966693966693</v>
      </c>
      <c r="R196">
        <f t="shared" si="7"/>
        <v>28996.383847190296</v>
      </c>
    </row>
    <row r="197" spans="1:18" ht="16" x14ac:dyDescent="0.4">
      <c r="A197" s="2">
        <v>142285</v>
      </c>
      <c r="B197" s="2" t="s">
        <v>240</v>
      </c>
      <c r="C197" s="2" t="s">
        <v>63</v>
      </c>
      <c r="D197" s="2">
        <v>6718</v>
      </c>
      <c r="E197" s="2">
        <v>48.9</v>
      </c>
      <c r="F197" s="2" t="s">
        <v>36</v>
      </c>
      <c r="G197" s="2" t="s">
        <v>37</v>
      </c>
      <c r="H197" s="2">
        <v>1</v>
      </c>
      <c r="I197" s="2">
        <v>35</v>
      </c>
      <c r="J197" s="2" t="s">
        <v>38</v>
      </c>
      <c r="K197" s="2">
        <v>393</v>
      </c>
      <c r="L197" s="2">
        <v>46.1</v>
      </c>
      <c r="M197" s="2">
        <v>8361019</v>
      </c>
      <c r="N197" s="2">
        <v>5328556</v>
      </c>
      <c r="O197" s="2"/>
      <c r="P197" s="2"/>
      <c r="Q197">
        <f t="shared" si="6"/>
        <v>29411.424439624006</v>
      </c>
      <c r="R197">
        <f t="shared" si="7"/>
        <v>39470.978675995029</v>
      </c>
    </row>
    <row r="198" spans="1:18" ht="16" x14ac:dyDescent="0.4">
      <c r="A198" s="2">
        <v>142461</v>
      </c>
      <c r="B198" s="2" t="s">
        <v>241</v>
      </c>
      <c r="C198" s="2" t="s">
        <v>63</v>
      </c>
      <c r="D198" s="2">
        <v>1061</v>
      </c>
      <c r="E198" s="2">
        <v>57.9</v>
      </c>
      <c r="F198" s="2" t="s">
        <v>47</v>
      </c>
      <c r="G198" s="2" t="s">
        <v>37</v>
      </c>
      <c r="H198" s="2">
        <v>2</v>
      </c>
      <c r="I198" s="2">
        <v>38</v>
      </c>
      <c r="J198" s="2" t="s">
        <v>41</v>
      </c>
      <c r="K198" s="2">
        <v>322</v>
      </c>
      <c r="L198" s="2">
        <v>50.3</v>
      </c>
      <c r="M198" s="2">
        <v>2330333</v>
      </c>
      <c r="N198" s="2">
        <v>2180719</v>
      </c>
      <c r="O198" s="2"/>
      <c r="P198" s="2"/>
      <c r="Q198">
        <f t="shared" si="6"/>
        <v>13464.0541842115</v>
      </c>
      <c r="R198">
        <f t="shared" si="7"/>
        <v>14561.486934026518</v>
      </c>
    </row>
    <row r="199" spans="1:18" ht="16" x14ac:dyDescent="0.4">
      <c r="A199" s="2">
        <v>143084</v>
      </c>
      <c r="B199" s="2" t="s">
        <v>242</v>
      </c>
      <c r="C199" s="2" t="s">
        <v>243</v>
      </c>
      <c r="D199" s="2">
        <v>2523</v>
      </c>
      <c r="E199" s="2">
        <v>56.3</v>
      </c>
      <c r="F199" s="2" t="s">
        <v>47</v>
      </c>
      <c r="G199" s="2" t="s">
        <v>37</v>
      </c>
      <c r="H199" s="2">
        <v>3</v>
      </c>
      <c r="I199" s="2">
        <v>38</v>
      </c>
      <c r="J199" s="2" t="s">
        <v>38</v>
      </c>
      <c r="K199" s="2">
        <v>811</v>
      </c>
      <c r="L199" s="2">
        <v>35.5</v>
      </c>
      <c r="M199" s="2">
        <v>1999923</v>
      </c>
      <c r="N199" s="2">
        <v>1033972</v>
      </c>
      <c r="O199" s="2"/>
      <c r="P199" s="2"/>
      <c r="Q199">
        <f t="shared" si="6"/>
        <v>3591.365207273233</v>
      </c>
      <c r="R199">
        <f t="shared" si="7"/>
        <v>3823.2500788575685</v>
      </c>
    </row>
    <row r="200" spans="1:18" ht="16" x14ac:dyDescent="0.4">
      <c r="A200" s="2">
        <v>143118</v>
      </c>
      <c r="B200" s="2" t="s">
        <v>244</v>
      </c>
      <c r="C200" s="2" t="s">
        <v>243</v>
      </c>
      <c r="D200" s="2">
        <v>3679</v>
      </c>
      <c r="E200" s="2">
        <v>64.599999999999994</v>
      </c>
      <c r="F200" s="2" t="s">
        <v>47</v>
      </c>
      <c r="G200" s="2" t="s">
        <v>37</v>
      </c>
      <c r="H200" s="2">
        <v>3</v>
      </c>
      <c r="I200" s="2">
        <v>37</v>
      </c>
      <c r="J200" s="2" t="s">
        <v>38</v>
      </c>
      <c r="K200" s="2">
        <v>592</v>
      </c>
      <c r="L200" s="2">
        <v>37.299999999999997</v>
      </c>
      <c r="M200" s="2">
        <v>1852538</v>
      </c>
      <c r="N200" s="2">
        <v>1098196</v>
      </c>
      <c r="O200" s="2"/>
      <c r="P200" s="2"/>
      <c r="Q200">
        <f t="shared" si="6"/>
        <v>4973.3533801898411</v>
      </c>
      <c r="R200">
        <f t="shared" si="7"/>
        <v>4990.8886158886153</v>
      </c>
    </row>
    <row r="201" spans="1:18" ht="16" x14ac:dyDescent="0.4">
      <c r="A201" s="2">
        <v>143288</v>
      </c>
      <c r="B201" s="2" t="s">
        <v>245</v>
      </c>
      <c r="C201" s="2" t="s">
        <v>243</v>
      </c>
      <c r="D201" s="2">
        <v>467</v>
      </c>
      <c r="E201" s="2">
        <v>56.1</v>
      </c>
      <c r="F201" s="2" t="s">
        <v>47</v>
      </c>
      <c r="G201" s="2" t="s">
        <v>37</v>
      </c>
      <c r="H201" s="2">
        <v>3</v>
      </c>
      <c r="I201" s="2">
        <v>34</v>
      </c>
      <c r="J201" s="2" t="s">
        <v>41</v>
      </c>
      <c r="K201" s="2">
        <v>83</v>
      </c>
      <c r="L201" s="2">
        <v>45.8</v>
      </c>
      <c r="M201" s="2">
        <v>206700</v>
      </c>
      <c r="N201" s="2">
        <v>239737</v>
      </c>
      <c r="O201" s="2"/>
      <c r="P201" s="2"/>
      <c r="Q201">
        <f t="shared" si="6"/>
        <v>6306.5449571210611</v>
      </c>
      <c r="R201">
        <f t="shared" si="7"/>
        <v>4594.7628150980299</v>
      </c>
    </row>
    <row r="202" spans="1:18" ht="16" x14ac:dyDescent="0.4">
      <c r="A202" s="2">
        <v>143358</v>
      </c>
      <c r="B202" s="2" t="s">
        <v>246</v>
      </c>
      <c r="C202" s="2" t="s">
        <v>243</v>
      </c>
      <c r="D202" s="2">
        <v>4506</v>
      </c>
      <c r="E202" s="2">
        <v>51</v>
      </c>
      <c r="F202" s="2" t="s">
        <v>47</v>
      </c>
      <c r="G202" s="2" t="s">
        <v>37</v>
      </c>
      <c r="H202" s="2">
        <v>1</v>
      </c>
      <c r="I202" s="2">
        <v>38</v>
      </c>
      <c r="J202" s="2" t="s">
        <v>41</v>
      </c>
      <c r="K202" s="2">
        <v>308</v>
      </c>
      <c r="L202" s="2">
        <v>47.1</v>
      </c>
      <c r="M202" s="2">
        <v>6394069</v>
      </c>
      <c r="N202" s="2">
        <v>4330888</v>
      </c>
      <c r="O202" s="2"/>
      <c r="P202" s="2"/>
      <c r="Q202">
        <f t="shared" si="6"/>
        <v>29854.192516612897</v>
      </c>
      <c r="R202">
        <f t="shared" si="7"/>
        <v>39243.788819875772</v>
      </c>
    </row>
    <row r="203" spans="1:18" ht="16" x14ac:dyDescent="0.4">
      <c r="A203" s="2">
        <v>144005</v>
      </c>
      <c r="B203" s="2" t="s">
        <v>247</v>
      </c>
      <c r="C203" s="2" t="s">
        <v>243</v>
      </c>
      <c r="D203" s="2">
        <v>1361</v>
      </c>
      <c r="E203" s="2">
        <v>68.3</v>
      </c>
      <c r="F203" s="2" t="s">
        <v>36</v>
      </c>
      <c r="G203" s="2" t="s">
        <v>37</v>
      </c>
      <c r="H203" s="2">
        <v>1</v>
      </c>
      <c r="I203" s="2">
        <v>9</v>
      </c>
      <c r="J203" s="2" t="s">
        <v>41</v>
      </c>
      <c r="K203" s="2">
        <v>240</v>
      </c>
      <c r="L203" s="2">
        <v>54.6</v>
      </c>
      <c r="M203" s="2">
        <v>2354468</v>
      </c>
      <c r="N203" s="2">
        <v>3212948</v>
      </c>
      <c r="O203" s="2"/>
      <c r="P203" s="2"/>
      <c r="Q203">
        <f t="shared" si="6"/>
        <v>24518.833943833939</v>
      </c>
      <c r="R203">
        <f t="shared" si="7"/>
        <v>21608.553597650513</v>
      </c>
    </row>
    <row r="204" spans="1:18" ht="16" x14ac:dyDescent="0.4">
      <c r="A204" s="2">
        <v>144050</v>
      </c>
      <c r="B204" s="2" t="s">
        <v>248</v>
      </c>
      <c r="C204" s="2" t="s">
        <v>243</v>
      </c>
      <c r="D204" s="2">
        <v>6793</v>
      </c>
      <c r="E204" s="2">
        <v>48.9</v>
      </c>
      <c r="F204" s="2" t="s">
        <v>47</v>
      </c>
      <c r="G204" s="2" t="s">
        <v>37</v>
      </c>
      <c r="H204" s="2">
        <v>3</v>
      </c>
      <c r="I204" s="2">
        <v>38</v>
      </c>
      <c r="J204" s="2" t="s">
        <v>38</v>
      </c>
      <c r="K204" s="2">
        <v>728</v>
      </c>
      <c r="L204" s="2">
        <v>43.1</v>
      </c>
      <c r="M204" s="2">
        <v>2035368</v>
      </c>
      <c r="N204" s="2">
        <v>1577366</v>
      </c>
      <c r="O204" s="2"/>
      <c r="P204" s="2"/>
      <c r="Q204">
        <f t="shared" si="6"/>
        <v>5027.1729430662144</v>
      </c>
      <c r="R204">
        <f t="shared" si="7"/>
        <v>4913.5943142973019</v>
      </c>
    </row>
    <row r="205" spans="1:18" ht="16" x14ac:dyDescent="0.4">
      <c r="A205" s="2">
        <v>144351</v>
      </c>
      <c r="B205" s="2" t="s">
        <v>249</v>
      </c>
      <c r="C205" s="2" t="s">
        <v>243</v>
      </c>
      <c r="D205" s="2">
        <v>1371</v>
      </c>
      <c r="E205" s="2">
        <v>57.5</v>
      </c>
      <c r="F205" s="2" t="s">
        <v>47</v>
      </c>
      <c r="G205" s="2" t="s">
        <v>37</v>
      </c>
      <c r="H205" s="2">
        <v>3</v>
      </c>
      <c r="I205" s="2">
        <v>11</v>
      </c>
      <c r="J205" s="2" t="s">
        <v>38</v>
      </c>
      <c r="K205" s="2">
        <v>395</v>
      </c>
      <c r="L205" s="2">
        <v>37.200000000000003</v>
      </c>
      <c r="M205" s="2">
        <v>1343027</v>
      </c>
      <c r="N205" s="2">
        <v>762683</v>
      </c>
      <c r="O205" s="2"/>
      <c r="P205" s="2"/>
      <c r="Q205">
        <f t="shared" si="6"/>
        <v>5190.4382741254922</v>
      </c>
      <c r="R205">
        <f t="shared" si="7"/>
        <v>5414.1215834878658</v>
      </c>
    </row>
    <row r="206" spans="1:18" ht="16" x14ac:dyDescent="0.4">
      <c r="A206" s="2">
        <v>144740</v>
      </c>
      <c r="B206" s="2" t="s">
        <v>250</v>
      </c>
      <c r="C206" s="2" t="s">
        <v>243</v>
      </c>
      <c r="D206" s="2">
        <v>12746</v>
      </c>
      <c r="E206" s="2">
        <v>53.7</v>
      </c>
      <c r="F206" s="2" t="s">
        <v>47</v>
      </c>
      <c r="G206" s="2" t="s">
        <v>37</v>
      </c>
      <c r="H206" s="2">
        <v>1</v>
      </c>
      <c r="I206" s="2">
        <v>38</v>
      </c>
      <c r="J206" s="2" t="s">
        <v>41</v>
      </c>
      <c r="K206" s="2">
        <v>311</v>
      </c>
      <c r="L206" s="2">
        <v>53.4</v>
      </c>
      <c r="M206" s="2">
        <v>9487389</v>
      </c>
      <c r="N206" s="2">
        <v>8249409</v>
      </c>
      <c r="O206" s="2"/>
      <c r="P206" s="2"/>
      <c r="Q206">
        <f t="shared" si="6"/>
        <v>49673.091513421721</v>
      </c>
      <c r="R206">
        <f t="shared" si="7"/>
        <v>65463.678014986952</v>
      </c>
    </row>
    <row r="207" spans="1:18" ht="16" x14ac:dyDescent="0.4">
      <c r="A207" s="2">
        <v>144892</v>
      </c>
      <c r="B207" s="2" t="s">
        <v>251</v>
      </c>
      <c r="C207" s="2" t="s">
        <v>243</v>
      </c>
      <c r="D207" s="2">
        <v>3990</v>
      </c>
      <c r="E207" s="2">
        <v>58.7</v>
      </c>
      <c r="F207" s="2" t="s">
        <v>36</v>
      </c>
      <c r="G207" s="2" t="s">
        <v>37</v>
      </c>
      <c r="H207" s="2">
        <v>1</v>
      </c>
      <c r="I207" s="2">
        <v>38</v>
      </c>
      <c r="J207" s="2" t="s">
        <v>38</v>
      </c>
      <c r="K207" s="2">
        <v>583</v>
      </c>
      <c r="L207" s="2">
        <v>37.700000000000003</v>
      </c>
      <c r="M207" s="2">
        <v>5553202</v>
      </c>
      <c r="N207" s="2">
        <v>3008768</v>
      </c>
      <c r="O207" s="2"/>
      <c r="P207" s="2"/>
      <c r="Q207">
        <f t="shared" si="6"/>
        <v>13689.222943614614</v>
      </c>
      <c r="R207">
        <f t="shared" si="7"/>
        <v>15289.274219526498</v>
      </c>
    </row>
    <row r="208" spans="1:18" ht="16" x14ac:dyDescent="0.4">
      <c r="A208" s="2">
        <v>144962</v>
      </c>
      <c r="B208" s="2" t="s">
        <v>252</v>
      </c>
      <c r="C208" s="2" t="s">
        <v>243</v>
      </c>
      <c r="D208" s="2">
        <v>2712</v>
      </c>
      <c r="E208" s="2">
        <v>61.7</v>
      </c>
      <c r="F208" s="2" t="s">
        <v>47</v>
      </c>
      <c r="G208" s="2" t="s">
        <v>37</v>
      </c>
      <c r="H208" s="2">
        <v>3</v>
      </c>
      <c r="I208" s="2">
        <v>11</v>
      </c>
      <c r="J208" s="2" t="s">
        <v>38</v>
      </c>
      <c r="K208" s="2">
        <v>494</v>
      </c>
      <c r="L208" s="2">
        <v>37.200000000000003</v>
      </c>
      <c r="M208" s="2">
        <v>1491047</v>
      </c>
      <c r="N208" s="2">
        <v>826814</v>
      </c>
      <c r="O208" s="2"/>
      <c r="P208" s="2"/>
      <c r="Q208">
        <f t="shared" si="6"/>
        <v>4499.227286578729</v>
      </c>
      <c r="R208">
        <f t="shared" si="7"/>
        <v>4806.2321101627167</v>
      </c>
    </row>
    <row r="209" spans="1:18" ht="16" x14ac:dyDescent="0.4">
      <c r="A209" s="2">
        <v>144971</v>
      </c>
      <c r="B209" s="2" t="s">
        <v>253</v>
      </c>
      <c r="C209" s="2" t="s">
        <v>243</v>
      </c>
      <c r="D209" s="2">
        <v>478</v>
      </c>
      <c r="E209" s="2">
        <v>46.7</v>
      </c>
      <c r="F209" s="2" t="s">
        <v>47</v>
      </c>
      <c r="G209" s="2" t="s">
        <v>37</v>
      </c>
      <c r="H209" s="2">
        <v>3</v>
      </c>
      <c r="I209" s="2">
        <v>38</v>
      </c>
      <c r="J209" s="2" t="s">
        <v>38</v>
      </c>
      <c r="K209" s="2">
        <v>211</v>
      </c>
      <c r="L209" s="2">
        <v>24.6</v>
      </c>
      <c r="M209" s="2">
        <v>456892</v>
      </c>
      <c r="N209" s="2">
        <v>238693</v>
      </c>
      <c r="O209" s="2"/>
      <c r="P209" s="2"/>
      <c r="Q209">
        <f t="shared" si="6"/>
        <v>4598.5627865757324</v>
      </c>
      <c r="R209">
        <f t="shared" si="7"/>
        <v>2871.8367757426422</v>
      </c>
    </row>
    <row r="210" spans="1:18" ht="16" x14ac:dyDescent="0.4">
      <c r="A210" s="2">
        <v>145372</v>
      </c>
      <c r="B210" s="2" t="s">
        <v>254</v>
      </c>
      <c r="C210" s="2" t="s">
        <v>243</v>
      </c>
      <c r="D210" s="2">
        <v>815</v>
      </c>
      <c r="E210" s="2">
        <v>44.5</v>
      </c>
      <c r="F210" s="2" t="s">
        <v>47</v>
      </c>
      <c r="G210" s="2" t="s">
        <v>37</v>
      </c>
      <c r="H210" s="2">
        <v>3</v>
      </c>
      <c r="I210" s="2">
        <v>8</v>
      </c>
      <c r="J210" s="2" t="s">
        <v>38</v>
      </c>
      <c r="K210" s="2">
        <v>495</v>
      </c>
      <c r="L210" s="2">
        <v>32.299999999999997</v>
      </c>
      <c r="M210" s="2">
        <v>713241</v>
      </c>
      <c r="N210" s="2">
        <v>468270</v>
      </c>
      <c r="O210" s="2"/>
      <c r="P210" s="2"/>
      <c r="Q210">
        <f t="shared" si="6"/>
        <v>2928.792569659443</v>
      </c>
      <c r="R210">
        <f t="shared" si="7"/>
        <v>2128.3469853632337</v>
      </c>
    </row>
    <row r="211" spans="1:18" ht="16" x14ac:dyDescent="0.4">
      <c r="A211" s="2">
        <v>145600</v>
      </c>
      <c r="B211" s="2" t="s">
        <v>255</v>
      </c>
      <c r="C211" s="2" t="s">
        <v>243</v>
      </c>
      <c r="D211" s="2">
        <v>19886</v>
      </c>
      <c r="E211" s="2">
        <v>52.4</v>
      </c>
      <c r="F211" s="2" t="s">
        <v>36</v>
      </c>
      <c r="G211" s="2" t="s">
        <v>37</v>
      </c>
      <c r="H211" s="2">
        <v>1</v>
      </c>
      <c r="I211" s="2">
        <v>38</v>
      </c>
      <c r="J211" s="2" t="s">
        <v>41</v>
      </c>
      <c r="K211" s="2">
        <v>414</v>
      </c>
      <c r="L211" s="2">
        <v>45.9</v>
      </c>
      <c r="M211" s="2">
        <v>5557769</v>
      </c>
      <c r="N211" s="2">
        <v>5446927</v>
      </c>
      <c r="O211" s="2"/>
      <c r="P211" s="2"/>
      <c r="Q211">
        <f t="shared" si="6"/>
        <v>28664.114384347402</v>
      </c>
      <c r="R211">
        <f t="shared" si="7"/>
        <v>24814.34898693598</v>
      </c>
    </row>
    <row r="212" spans="1:18" ht="16" x14ac:dyDescent="0.4">
      <c r="A212" s="2">
        <v>145619</v>
      </c>
      <c r="B212" s="2" t="s">
        <v>256</v>
      </c>
      <c r="C212" s="2" t="s">
        <v>243</v>
      </c>
      <c r="D212" s="2">
        <v>2129</v>
      </c>
      <c r="E212" s="2">
        <v>52.7</v>
      </c>
      <c r="F212" s="2" t="s">
        <v>47</v>
      </c>
      <c r="G212" s="2" t="s">
        <v>37</v>
      </c>
      <c r="H212" s="2">
        <v>3</v>
      </c>
      <c r="I212" s="2">
        <v>38</v>
      </c>
      <c r="J212" s="2" t="s">
        <v>38</v>
      </c>
      <c r="K212" s="2">
        <v>805</v>
      </c>
      <c r="L212" s="2">
        <v>33.799999999999997</v>
      </c>
      <c r="M212" s="2">
        <v>4505162</v>
      </c>
      <c r="N212" s="2">
        <v>2656345</v>
      </c>
      <c r="O212" s="2"/>
      <c r="P212" s="2"/>
      <c r="Q212">
        <f t="shared" si="6"/>
        <v>9762.7439450181937</v>
      </c>
      <c r="R212">
        <f t="shared" si="7"/>
        <v>8453.8890244131271</v>
      </c>
    </row>
    <row r="213" spans="1:18" ht="16" x14ac:dyDescent="0.4">
      <c r="A213" s="2">
        <v>145637</v>
      </c>
      <c r="B213" s="2" t="s">
        <v>257</v>
      </c>
      <c r="C213" s="2" t="s">
        <v>243</v>
      </c>
      <c r="D213" s="2">
        <v>32408</v>
      </c>
      <c r="E213" s="2">
        <v>46.6</v>
      </c>
      <c r="F213" s="2" t="s">
        <v>36</v>
      </c>
      <c r="G213" s="2" t="s">
        <v>37</v>
      </c>
      <c r="H213" s="2">
        <v>1</v>
      </c>
      <c r="I213" s="2">
        <v>12</v>
      </c>
      <c r="J213" s="2" t="s">
        <v>38</v>
      </c>
      <c r="K213" s="2">
        <v>681</v>
      </c>
      <c r="L213" s="2">
        <v>47.3</v>
      </c>
      <c r="M213" s="2">
        <v>46510694</v>
      </c>
      <c r="N213" s="2">
        <v>17019883</v>
      </c>
      <c r="O213" s="2"/>
      <c r="P213" s="2"/>
      <c r="Q213">
        <f t="shared" si="6"/>
        <v>52838.236892022367</v>
      </c>
      <c r="R213">
        <f t="shared" si="7"/>
        <v>129597.04308041249</v>
      </c>
    </row>
    <row r="214" spans="1:18" ht="16" x14ac:dyDescent="0.4">
      <c r="A214" s="2">
        <v>145646</v>
      </c>
      <c r="B214" s="2" t="s">
        <v>258</v>
      </c>
      <c r="C214" s="2" t="s">
        <v>243</v>
      </c>
      <c r="D214" s="2">
        <v>1610</v>
      </c>
      <c r="E214" s="2">
        <v>52.2</v>
      </c>
      <c r="F214" s="2" t="s">
        <v>47</v>
      </c>
      <c r="G214" s="2" t="s">
        <v>37</v>
      </c>
      <c r="H214" s="2">
        <v>3</v>
      </c>
      <c r="I214" s="2">
        <v>38</v>
      </c>
      <c r="J214" s="2" t="s">
        <v>38</v>
      </c>
      <c r="K214" s="2">
        <v>587</v>
      </c>
      <c r="L214" s="2">
        <v>35.6</v>
      </c>
      <c r="M214" s="2">
        <v>1329630</v>
      </c>
      <c r="N214" s="2">
        <v>935088</v>
      </c>
      <c r="O214" s="2"/>
      <c r="P214" s="2"/>
      <c r="Q214">
        <f t="shared" si="6"/>
        <v>4474.7047451333183</v>
      </c>
      <c r="R214">
        <f t="shared" si="7"/>
        <v>3517.2791433438792</v>
      </c>
    </row>
    <row r="215" spans="1:18" ht="16" x14ac:dyDescent="0.4">
      <c r="A215" s="2">
        <v>145691</v>
      </c>
      <c r="B215" s="2" t="s">
        <v>259</v>
      </c>
      <c r="C215" s="2" t="s">
        <v>243</v>
      </c>
      <c r="D215" s="2">
        <v>1037</v>
      </c>
      <c r="E215" s="2">
        <v>51.9</v>
      </c>
      <c r="F215" s="2" t="s">
        <v>47</v>
      </c>
      <c r="G215" s="2" t="s">
        <v>37</v>
      </c>
      <c r="H215" s="2">
        <v>3</v>
      </c>
      <c r="I215" s="2">
        <v>37</v>
      </c>
      <c r="J215" s="2" t="s">
        <v>38</v>
      </c>
      <c r="K215" s="2">
        <v>491</v>
      </c>
      <c r="L215" s="2">
        <v>36.5</v>
      </c>
      <c r="M215" s="2">
        <v>916926</v>
      </c>
      <c r="N215" s="2">
        <v>627606</v>
      </c>
      <c r="O215" s="2"/>
      <c r="P215" s="2"/>
      <c r="Q215">
        <f t="shared" si="6"/>
        <v>3501.9724911419244</v>
      </c>
      <c r="R215">
        <f t="shared" si="7"/>
        <v>2940.8919608063247</v>
      </c>
    </row>
    <row r="216" spans="1:18" ht="16" x14ac:dyDescent="0.4">
      <c r="A216" s="2">
        <v>145725</v>
      </c>
      <c r="B216" s="2" t="s">
        <v>260</v>
      </c>
      <c r="C216" s="2" t="s">
        <v>243</v>
      </c>
      <c r="D216" s="2">
        <v>2878</v>
      </c>
      <c r="E216" s="2">
        <v>32.299999999999997</v>
      </c>
      <c r="F216" s="2" t="s">
        <v>47</v>
      </c>
      <c r="G216" s="2" t="s">
        <v>37</v>
      </c>
      <c r="H216" s="2">
        <v>3</v>
      </c>
      <c r="I216" s="2">
        <v>11</v>
      </c>
      <c r="J216" s="2" t="s">
        <v>41</v>
      </c>
      <c r="K216" s="2">
        <v>338</v>
      </c>
      <c r="L216" s="2">
        <v>32.5</v>
      </c>
      <c r="M216" s="2">
        <v>749736</v>
      </c>
      <c r="N216" s="2">
        <v>564847</v>
      </c>
      <c r="O216" s="2"/>
      <c r="P216" s="2"/>
      <c r="Q216">
        <f t="shared" si="6"/>
        <v>5141.9845243513882</v>
      </c>
      <c r="R216">
        <f t="shared" si="7"/>
        <v>3286.1538461538462</v>
      </c>
    </row>
    <row r="217" spans="1:18" ht="16" x14ac:dyDescent="0.4">
      <c r="A217" s="2">
        <v>145813</v>
      </c>
      <c r="B217" s="2" t="s">
        <v>261</v>
      </c>
      <c r="C217" s="2" t="s">
        <v>243</v>
      </c>
      <c r="D217" s="2">
        <v>17072</v>
      </c>
      <c r="E217" s="2">
        <v>55.8</v>
      </c>
      <c r="F217" s="2" t="s">
        <v>36</v>
      </c>
      <c r="G217" s="2" t="s">
        <v>37</v>
      </c>
      <c r="H217" s="2">
        <v>1</v>
      </c>
      <c r="I217" s="2">
        <v>38</v>
      </c>
      <c r="J217" s="2" t="s">
        <v>38</v>
      </c>
      <c r="K217" s="2">
        <v>554</v>
      </c>
      <c r="L217" s="2">
        <v>46.4</v>
      </c>
      <c r="M217" s="2">
        <v>9079917</v>
      </c>
      <c r="N217" s="2">
        <v>6771852</v>
      </c>
      <c r="O217" s="2"/>
      <c r="P217" s="2"/>
      <c r="Q217">
        <f t="shared" si="6"/>
        <v>26343.878376696131</v>
      </c>
      <c r="R217">
        <f t="shared" si="7"/>
        <v>30577.876636672234</v>
      </c>
    </row>
    <row r="218" spans="1:18" ht="16" x14ac:dyDescent="0.4">
      <c r="A218" s="2">
        <v>146427</v>
      </c>
      <c r="B218" s="2" t="s">
        <v>262</v>
      </c>
      <c r="C218" s="2" t="s">
        <v>243</v>
      </c>
      <c r="D218" s="2">
        <v>1223</v>
      </c>
      <c r="E218" s="2">
        <v>56.9</v>
      </c>
      <c r="F218" s="2" t="s">
        <v>47</v>
      </c>
      <c r="G218" s="2" t="s">
        <v>37</v>
      </c>
      <c r="H218" s="2">
        <v>3</v>
      </c>
      <c r="I218" s="2">
        <v>13</v>
      </c>
      <c r="J218" s="2" t="s">
        <v>38</v>
      </c>
      <c r="K218" s="2">
        <v>354</v>
      </c>
      <c r="L218" s="2">
        <v>35.6</v>
      </c>
      <c r="M218" s="2">
        <v>914003</v>
      </c>
      <c r="N218" s="2">
        <v>630655</v>
      </c>
      <c r="O218" s="2"/>
      <c r="P218" s="2"/>
      <c r="Q218">
        <f t="shared" si="6"/>
        <v>5004.2452231321013</v>
      </c>
      <c r="R218">
        <f t="shared" si="7"/>
        <v>4009.2071095203005</v>
      </c>
    </row>
    <row r="219" spans="1:18" ht="16" x14ac:dyDescent="0.4">
      <c r="A219" s="2">
        <v>146481</v>
      </c>
      <c r="B219" s="2" t="s">
        <v>263</v>
      </c>
      <c r="C219" s="2" t="s">
        <v>243</v>
      </c>
      <c r="D219" s="2">
        <v>1509</v>
      </c>
      <c r="E219" s="2">
        <v>57.7</v>
      </c>
      <c r="F219" s="2" t="s">
        <v>47</v>
      </c>
      <c r="G219" s="2" t="s">
        <v>37</v>
      </c>
      <c r="H219" s="2">
        <v>3</v>
      </c>
      <c r="I219" s="2">
        <v>12</v>
      </c>
      <c r="J219" s="2" t="s">
        <v>38</v>
      </c>
      <c r="K219" s="2">
        <v>415</v>
      </c>
      <c r="L219" s="2">
        <v>42.4</v>
      </c>
      <c r="M219" s="2">
        <v>991684</v>
      </c>
      <c r="N219" s="2">
        <v>799306</v>
      </c>
      <c r="O219" s="2"/>
      <c r="P219" s="2"/>
      <c r="Q219">
        <f t="shared" si="6"/>
        <v>4542.5437599454417</v>
      </c>
      <c r="R219">
        <f t="shared" si="7"/>
        <v>4148.6111111111104</v>
      </c>
    </row>
    <row r="220" spans="1:18" ht="16" x14ac:dyDescent="0.4">
      <c r="A220" s="2">
        <v>146612</v>
      </c>
      <c r="B220" s="2" t="s">
        <v>264</v>
      </c>
      <c r="C220" s="2" t="s">
        <v>243</v>
      </c>
      <c r="D220" s="2">
        <v>3541</v>
      </c>
      <c r="E220" s="2">
        <v>51.4</v>
      </c>
      <c r="F220" s="2" t="s">
        <v>47</v>
      </c>
      <c r="G220" s="2" t="s">
        <v>37</v>
      </c>
      <c r="H220" s="2">
        <v>2</v>
      </c>
      <c r="I220" s="2">
        <v>38</v>
      </c>
      <c r="J220" s="2" t="s">
        <v>41</v>
      </c>
      <c r="K220" s="2">
        <v>552</v>
      </c>
      <c r="L220" s="2">
        <v>45.3</v>
      </c>
      <c r="M220" s="2">
        <v>3724091</v>
      </c>
      <c r="N220" s="2">
        <v>3675686</v>
      </c>
      <c r="O220" s="2"/>
      <c r="P220" s="2"/>
      <c r="Q220">
        <f t="shared" si="6"/>
        <v>14699.451322903671</v>
      </c>
      <c r="R220">
        <f t="shared" si="7"/>
        <v>12333.714198659354</v>
      </c>
    </row>
    <row r="221" spans="1:18" ht="16" x14ac:dyDescent="0.4">
      <c r="A221" s="2">
        <v>146719</v>
      </c>
      <c r="B221" s="2" t="s">
        <v>265</v>
      </c>
      <c r="C221" s="2" t="s">
        <v>243</v>
      </c>
      <c r="D221" s="2">
        <v>11561</v>
      </c>
      <c r="E221" s="2">
        <v>67.3</v>
      </c>
      <c r="F221" s="2" t="s">
        <v>47</v>
      </c>
      <c r="G221" s="2" t="s">
        <v>37</v>
      </c>
      <c r="H221" s="2">
        <v>1</v>
      </c>
      <c r="I221" s="2">
        <v>38</v>
      </c>
      <c r="J221" s="2" t="s">
        <v>41</v>
      </c>
      <c r="K221" s="2">
        <v>335</v>
      </c>
      <c r="L221" s="2">
        <v>51.6</v>
      </c>
      <c r="M221" s="2">
        <v>7238695</v>
      </c>
      <c r="N221" s="2">
        <v>5987108</v>
      </c>
      <c r="O221" s="2"/>
      <c r="P221" s="2"/>
      <c r="Q221">
        <f t="shared" si="6"/>
        <v>34635.589494388521</v>
      </c>
      <c r="R221">
        <f t="shared" si="7"/>
        <v>44644.720611816949</v>
      </c>
    </row>
    <row r="222" spans="1:18" ht="16" x14ac:dyDescent="0.4">
      <c r="A222" s="2">
        <v>147013</v>
      </c>
      <c r="B222" s="2" t="s">
        <v>266</v>
      </c>
      <c r="C222" s="2" t="s">
        <v>243</v>
      </c>
      <c r="D222" s="2">
        <v>1483</v>
      </c>
      <c r="E222" s="2">
        <v>49</v>
      </c>
      <c r="F222" s="2" t="s">
        <v>47</v>
      </c>
      <c r="G222" s="2" t="s">
        <v>37</v>
      </c>
      <c r="H222" s="2">
        <v>2</v>
      </c>
      <c r="I222" s="2">
        <v>38</v>
      </c>
      <c r="J222" s="2" t="s">
        <v>38</v>
      </c>
      <c r="K222" s="2">
        <v>1107</v>
      </c>
      <c r="L222" s="2">
        <v>40</v>
      </c>
      <c r="M222" s="2">
        <v>6495963</v>
      </c>
      <c r="N222" s="2">
        <v>4086314</v>
      </c>
      <c r="O222" s="2"/>
      <c r="P222" s="2"/>
      <c r="Q222">
        <f t="shared" si="6"/>
        <v>9228.3514001806689</v>
      </c>
      <c r="R222">
        <f t="shared" si="7"/>
        <v>9780.1309846431814</v>
      </c>
    </row>
    <row r="223" spans="1:18" ht="16" x14ac:dyDescent="0.4">
      <c r="A223" s="2">
        <v>147244</v>
      </c>
      <c r="B223" s="2" t="s">
        <v>267</v>
      </c>
      <c r="C223" s="2" t="s">
        <v>243</v>
      </c>
      <c r="D223" s="2">
        <v>1869</v>
      </c>
      <c r="E223" s="2">
        <v>54.7</v>
      </c>
      <c r="F223" s="2" t="s">
        <v>47</v>
      </c>
      <c r="G223" s="2" t="s">
        <v>37</v>
      </c>
      <c r="H223" s="2">
        <v>3</v>
      </c>
      <c r="I223" s="2">
        <v>37</v>
      </c>
      <c r="J223" s="2" t="s">
        <v>38</v>
      </c>
      <c r="K223" s="2">
        <v>569</v>
      </c>
      <c r="L223" s="2">
        <v>34.6</v>
      </c>
      <c r="M223" s="2">
        <v>1970327</v>
      </c>
      <c r="N223" s="2">
        <v>1046535</v>
      </c>
      <c r="O223" s="2"/>
      <c r="P223" s="2"/>
      <c r="Q223">
        <f t="shared" si="6"/>
        <v>5315.7603340207434</v>
      </c>
      <c r="R223">
        <f t="shared" si="7"/>
        <v>5294.7845622181731</v>
      </c>
    </row>
    <row r="224" spans="1:18" ht="16" x14ac:dyDescent="0.4">
      <c r="A224" s="2">
        <v>147341</v>
      </c>
      <c r="B224" s="2" t="s">
        <v>268</v>
      </c>
      <c r="C224" s="2" t="s">
        <v>243</v>
      </c>
      <c r="D224" s="2">
        <v>897</v>
      </c>
      <c r="E224" s="2">
        <v>50.1</v>
      </c>
      <c r="F224" s="2" t="s">
        <v>47</v>
      </c>
      <c r="G224" s="2" t="s">
        <v>37</v>
      </c>
      <c r="H224" s="2">
        <v>3</v>
      </c>
      <c r="I224" s="2">
        <v>14</v>
      </c>
      <c r="J224" s="2" t="s">
        <v>38</v>
      </c>
      <c r="K224" s="2">
        <v>509</v>
      </c>
      <c r="L224" s="2">
        <v>38.5</v>
      </c>
      <c r="M224" s="2">
        <v>770957</v>
      </c>
      <c r="N224" s="2">
        <v>470524</v>
      </c>
      <c r="O224" s="2"/>
      <c r="P224" s="2"/>
      <c r="Q224">
        <f t="shared" si="6"/>
        <v>2401.061414028015</v>
      </c>
      <c r="R224">
        <f t="shared" si="7"/>
        <v>2462.8460076349293</v>
      </c>
    </row>
    <row r="225" spans="1:18" ht="16" x14ac:dyDescent="0.4">
      <c r="A225" s="2">
        <v>147660</v>
      </c>
      <c r="B225" s="2" t="s">
        <v>269</v>
      </c>
      <c r="C225" s="2" t="s">
        <v>243</v>
      </c>
      <c r="D225" s="2">
        <v>2530</v>
      </c>
      <c r="E225" s="2">
        <v>53.5</v>
      </c>
      <c r="F225" s="2" t="s">
        <v>47</v>
      </c>
      <c r="G225" s="2" t="s">
        <v>37</v>
      </c>
      <c r="H225" s="2">
        <v>3</v>
      </c>
      <c r="I225" s="2">
        <v>16</v>
      </c>
      <c r="J225" s="2" t="s">
        <v>38</v>
      </c>
      <c r="K225" s="2">
        <v>922</v>
      </c>
      <c r="L225" s="2">
        <v>37.4</v>
      </c>
      <c r="M225" s="2">
        <v>2539935</v>
      </c>
      <c r="N225" s="2">
        <v>1315400</v>
      </c>
      <c r="O225" s="2"/>
      <c r="P225" s="2"/>
      <c r="Q225">
        <f t="shared" si="6"/>
        <v>3814.6554224134934</v>
      </c>
      <c r="R225">
        <f t="shared" si="7"/>
        <v>4400.6552639421179</v>
      </c>
    </row>
    <row r="226" spans="1:18" ht="16" x14ac:dyDescent="0.4">
      <c r="A226" s="2">
        <v>147679</v>
      </c>
      <c r="B226" s="2" t="s">
        <v>270</v>
      </c>
      <c r="C226" s="2" t="s">
        <v>243</v>
      </c>
      <c r="D226" s="2">
        <v>1723</v>
      </c>
      <c r="E226" s="2">
        <v>61.2</v>
      </c>
      <c r="F226" s="2" t="s">
        <v>47</v>
      </c>
      <c r="G226" s="2" t="s">
        <v>37</v>
      </c>
      <c r="H226" s="2">
        <v>3</v>
      </c>
      <c r="I226" s="2">
        <v>38</v>
      </c>
      <c r="J226" s="2" t="s">
        <v>38</v>
      </c>
      <c r="K226" s="2">
        <v>399</v>
      </c>
      <c r="L226" s="2">
        <v>37.6</v>
      </c>
      <c r="M226" s="2">
        <v>1373146</v>
      </c>
      <c r="N226" s="2">
        <v>838312</v>
      </c>
      <c r="O226" s="2"/>
      <c r="P226" s="2"/>
      <c r="Q226">
        <f t="shared" si="6"/>
        <v>5587.8526102490268</v>
      </c>
      <c r="R226">
        <f t="shared" si="7"/>
        <v>5515.1741533320483</v>
      </c>
    </row>
    <row r="227" spans="1:18" ht="16" x14ac:dyDescent="0.4">
      <c r="A227" s="2">
        <v>147703</v>
      </c>
      <c r="B227" s="2" t="s">
        <v>271</v>
      </c>
      <c r="C227" s="2" t="s">
        <v>243</v>
      </c>
      <c r="D227" s="2">
        <v>10565</v>
      </c>
      <c r="E227" s="2">
        <v>52</v>
      </c>
      <c r="F227" s="2" t="s">
        <v>36</v>
      </c>
      <c r="G227" s="2" t="s">
        <v>37</v>
      </c>
      <c r="H227" s="2">
        <v>1</v>
      </c>
      <c r="I227" s="2">
        <v>38</v>
      </c>
      <c r="J227" s="2" t="s">
        <v>38</v>
      </c>
      <c r="K227" s="2">
        <v>440</v>
      </c>
      <c r="L227" s="2">
        <v>47.7</v>
      </c>
      <c r="M227" s="2">
        <v>11691376</v>
      </c>
      <c r="N227" s="2">
        <v>5532886</v>
      </c>
      <c r="O227" s="2"/>
      <c r="P227" s="2"/>
      <c r="Q227">
        <f t="shared" si="6"/>
        <v>26362.140270630833</v>
      </c>
      <c r="R227">
        <f t="shared" si="7"/>
        <v>50805.562315313749</v>
      </c>
    </row>
    <row r="228" spans="1:18" ht="16" x14ac:dyDescent="0.4">
      <c r="A228" s="2">
        <v>147767</v>
      </c>
      <c r="B228" s="2" t="s">
        <v>272</v>
      </c>
      <c r="C228" s="2" t="s">
        <v>243</v>
      </c>
      <c r="D228" s="2">
        <v>8244</v>
      </c>
      <c r="E228" s="2">
        <v>51.1</v>
      </c>
      <c r="F228" s="2" t="s">
        <v>47</v>
      </c>
      <c r="G228" s="2" t="s">
        <v>37</v>
      </c>
      <c r="H228" s="2">
        <v>1</v>
      </c>
      <c r="I228" s="2">
        <v>38</v>
      </c>
      <c r="J228" s="2" t="s">
        <v>38</v>
      </c>
      <c r="K228" s="2">
        <v>528</v>
      </c>
      <c r="L228" s="2">
        <v>50.6</v>
      </c>
      <c r="M228" s="2">
        <v>50271523</v>
      </c>
      <c r="N228" s="2">
        <v>19857474</v>
      </c>
      <c r="O228" s="2"/>
      <c r="P228" s="2"/>
      <c r="Q228">
        <f t="shared" si="6"/>
        <v>74325.795005389868</v>
      </c>
      <c r="R228">
        <f t="shared" si="7"/>
        <v>192735.25871058766</v>
      </c>
    </row>
    <row r="229" spans="1:18" ht="16" x14ac:dyDescent="0.4">
      <c r="A229" s="2">
        <v>148131</v>
      </c>
      <c r="B229" s="2" t="s">
        <v>273</v>
      </c>
      <c r="C229" s="2" t="s">
        <v>243</v>
      </c>
      <c r="D229" s="2">
        <v>934</v>
      </c>
      <c r="E229" s="2">
        <v>50.5</v>
      </c>
      <c r="F229" s="2" t="s">
        <v>47</v>
      </c>
      <c r="G229" s="2" t="s">
        <v>37</v>
      </c>
      <c r="H229" s="2">
        <v>2</v>
      </c>
      <c r="I229" s="2">
        <v>10</v>
      </c>
      <c r="J229" s="2" t="s">
        <v>38</v>
      </c>
      <c r="K229" s="2">
        <v>554</v>
      </c>
      <c r="L229" s="2">
        <v>28.2</v>
      </c>
      <c r="M229" s="2">
        <v>4741086</v>
      </c>
      <c r="N229" s="2">
        <v>2177148</v>
      </c>
      <c r="O229" s="2"/>
      <c r="P229" s="2"/>
      <c r="Q229">
        <f t="shared" si="6"/>
        <v>13935.709347876184</v>
      </c>
      <c r="R229">
        <f t="shared" si="7"/>
        <v>11919.104411572458</v>
      </c>
    </row>
    <row r="230" spans="1:18" ht="16" x14ac:dyDescent="0.4">
      <c r="A230" s="2">
        <v>148405</v>
      </c>
      <c r="B230" s="2" t="s">
        <v>274</v>
      </c>
      <c r="C230" s="2" t="s">
        <v>243</v>
      </c>
      <c r="D230" s="2">
        <v>891</v>
      </c>
      <c r="E230" s="2">
        <v>55.1</v>
      </c>
      <c r="F230" s="2" t="s">
        <v>47</v>
      </c>
      <c r="G230" s="2" t="s">
        <v>37</v>
      </c>
      <c r="H230" s="2">
        <v>3</v>
      </c>
      <c r="I230" s="2">
        <v>7</v>
      </c>
      <c r="J230" s="2" t="s">
        <v>38</v>
      </c>
      <c r="K230" s="2">
        <v>268</v>
      </c>
      <c r="L230" s="2">
        <v>24.6</v>
      </c>
      <c r="M230" s="2">
        <v>937857</v>
      </c>
      <c r="N230" s="2">
        <v>400338</v>
      </c>
      <c r="O230" s="2"/>
      <c r="P230" s="2"/>
      <c r="Q230">
        <f t="shared" si="6"/>
        <v>6072.3516563523835</v>
      </c>
      <c r="R230">
        <f t="shared" si="7"/>
        <v>4641.2021457698238</v>
      </c>
    </row>
    <row r="231" spans="1:18" ht="16" x14ac:dyDescent="0.4">
      <c r="A231" s="2">
        <v>148496</v>
      </c>
      <c r="B231" s="2" t="s">
        <v>275</v>
      </c>
      <c r="C231" s="2" t="s">
        <v>243</v>
      </c>
      <c r="D231" s="2">
        <v>2011</v>
      </c>
      <c r="E231" s="2">
        <v>69.3</v>
      </c>
      <c r="F231" s="2" t="s">
        <v>47</v>
      </c>
      <c r="G231" s="2" t="s">
        <v>37</v>
      </c>
      <c r="H231" s="2">
        <v>3</v>
      </c>
      <c r="I231" s="2">
        <v>38</v>
      </c>
      <c r="J231" s="2" t="s">
        <v>41</v>
      </c>
      <c r="K231" s="2">
        <v>263</v>
      </c>
      <c r="L231" s="2">
        <v>47.5</v>
      </c>
      <c r="M231" s="2">
        <v>591666</v>
      </c>
      <c r="N231" s="2">
        <v>564709</v>
      </c>
      <c r="O231" s="2"/>
      <c r="P231" s="2"/>
      <c r="Q231">
        <f t="shared" si="6"/>
        <v>4520.3842305383223</v>
      </c>
      <c r="R231">
        <f t="shared" si="7"/>
        <v>4285.1059206952741</v>
      </c>
    </row>
    <row r="232" spans="1:18" ht="16" x14ac:dyDescent="0.4">
      <c r="A232" s="2">
        <v>148654</v>
      </c>
      <c r="B232" s="2" t="s">
        <v>276</v>
      </c>
      <c r="C232" s="2" t="s">
        <v>243</v>
      </c>
      <c r="D232" s="2">
        <v>1835</v>
      </c>
      <c r="E232" s="2">
        <v>54.3</v>
      </c>
      <c r="F232" s="2" t="s">
        <v>36</v>
      </c>
      <c r="G232" s="2" t="s">
        <v>37</v>
      </c>
      <c r="H232" s="2">
        <v>2</v>
      </c>
      <c r="I232" s="2">
        <v>8</v>
      </c>
      <c r="J232" s="2" t="s">
        <v>41</v>
      </c>
      <c r="K232" s="2">
        <v>313</v>
      </c>
      <c r="L232" s="2">
        <v>45.7</v>
      </c>
      <c r="M232" s="2">
        <v>1477203</v>
      </c>
      <c r="N232" s="2">
        <v>1527136</v>
      </c>
      <c r="O232" s="2"/>
      <c r="P232" s="2"/>
      <c r="Q232">
        <f t="shared" si="6"/>
        <v>10676.211715522124</v>
      </c>
      <c r="R232">
        <f t="shared" si="7"/>
        <v>8691.5256032337202</v>
      </c>
    </row>
    <row r="233" spans="1:18" ht="16" x14ac:dyDescent="0.4">
      <c r="A233" s="2">
        <v>149222</v>
      </c>
      <c r="B233" s="2" t="s">
        <v>277</v>
      </c>
      <c r="C233" s="2" t="s">
        <v>243</v>
      </c>
      <c r="D233" s="2">
        <v>7130</v>
      </c>
      <c r="E233" s="2">
        <v>47.1</v>
      </c>
      <c r="F233" s="2" t="s">
        <v>36</v>
      </c>
      <c r="G233" s="2" t="s">
        <v>37</v>
      </c>
      <c r="H233" s="2">
        <v>1</v>
      </c>
      <c r="I233" s="2">
        <v>13</v>
      </c>
      <c r="J233" s="2" t="s">
        <v>38</v>
      </c>
      <c r="K233" s="2">
        <v>482</v>
      </c>
      <c r="L233" s="2">
        <v>46.9</v>
      </c>
      <c r="M233" s="2">
        <v>9262297</v>
      </c>
      <c r="N233" s="2">
        <v>5091409</v>
      </c>
      <c r="O233" s="2"/>
      <c r="P233" s="2"/>
      <c r="Q233">
        <f t="shared" si="6"/>
        <v>22522.578276371551</v>
      </c>
      <c r="R233">
        <f t="shared" si="7"/>
        <v>36189.046737151388</v>
      </c>
    </row>
    <row r="234" spans="1:18" ht="16" x14ac:dyDescent="0.4">
      <c r="A234" s="2">
        <v>149231</v>
      </c>
      <c r="B234" s="2" t="s">
        <v>278</v>
      </c>
      <c r="C234" s="2" t="s">
        <v>243</v>
      </c>
      <c r="D234" s="2">
        <v>8599</v>
      </c>
      <c r="E234" s="2">
        <v>52.9</v>
      </c>
      <c r="F234" s="2" t="s">
        <v>36</v>
      </c>
      <c r="G234" s="2" t="s">
        <v>37</v>
      </c>
      <c r="H234" s="2">
        <v>1</v>
      </c>
      <c r="I234" s="2">
        <v>38</v>
      </c>
      <c r="J234" s="2" t="s">
        <v>41</v>
      </c>
      <c r="K234" s="2">
        <v>304</v>
      </c>
      <c r="L234" s="2">
        <v>45.7</v>
      </c>
      <c r="M234" s="2">
        <v>3943341</v>
      </c>
      <c r="N234" s="2">
        <v>3269486</v>
      </c>
      <c r="O234" s="2"/>
      <c r="P234" s="2"/>
      <c r="Q234">
        <f t="shared" si="6"/>
        <v>23533.67211793159</v>
      </c>
      <c r="R234">
        <f t="shared" si="7"/>
        <v>23888.612241930794</v>
      </c>
    </row>
    <row r="235" spans="1:18" ht="16" x14ac:dyDescent="0.4">
      <c r="A235" s="2">
        <v>149772</v>
      </c>
      <c r="B235" s="2" t="s">
        <v>279</v>
      </c>
      <c r="C235" s="2" t="s">
        <v>243</v>
      </c>
      <c r="D235" s="2">
        <v>5151</v>
      </c>
      <c r="E235" s="2">
        <v>53.3</v>
      </c>
      <c r="F235" s="2" t="s">
        <v>36</v>
      </c>
      <c r="G235" s="2" t="s">
        <v>37</v>
      </c>
      <c r="H235" s="2">
        <v>1</v>
      </c>
      <c r="I235" s="2">
        <v>11</v>
      </c>
      <c r="J235" s="2" t="s">
        <v>38</v>
      </c>
      <c r="K235" s="2">
        <v>432</v>
      </c>
      <c r="L235" s="2">
        <v>39.799999999999997</v>
      </c>
      <c r="M235" s="2">
        <v>5383005</v>
      </c>
      <c r="N235" s="2">
        <v>3126405</v>
      </c>
      <c r="O235" s="2"/>
      <c r="P235" s="2"/>
      <c r="Q235">
        <f t="shared" si="6"/>
        <v>18183.539223897267</v>
      </c>
      <c r="R235">
        <f t="shared" si="7"/>
        <v>20698.77030269472</v>
      </c>
    </row>
    <row r="236" spans="1:18" ht="16" x14ac:dyDescent="0.4">
      <c r="A236" s="2">
        <v>149781</v>
      </c>
      <c r="B236" s="2" t="s">
        <v>280</v>
      </c>
      <c r="C236" s="2" t="s">
        <v>243</v>
      </c>
      <c r="D236" s="2">
        <v>2325</v>
      </c>
      <c r="E236" s="2">
        <v>54.3</v>
      </c>
      <c r="F236" s="2" t="s">
        <v>47</v>
      </c>
      <c r="G236" s="2" t="s">
        <v>37</v>
      </c>
      <c r="H236" s="2">
        <v>3</v>
      </c>
      <c r="I236" s="2">
        <v>38</v>
      </c>
      <c r="J236" s="2" t="s">
        <v>38</v>
      </c>
      <c r="K236" s="2">
        <v>639</v>
      </c>
      <c r="L236" s="2">
        <v>37.700000000000003</v>
      </c>
      <c r="M236" s="2">
        <v>1839851</v>
      </c>
      <c r="N236" s="2">
        <v>1099169</v>
      </c>
      <c r="O236" s="2"/>
      <c r="P236" s="2"/>
      <c r="Q236">
        <f t="shared" si="6"/>
        <v>4562.7036608095368</v>
      </c>
      <c r="R236">
        <f t="shared" si="7"/>
        <v>4621.6148325659324</v>
      </c>
    </row>
    <row r="237" spans="1:18" ht="16" x14ac:dyDescent="0.4">
      <c r="A237" s="2">
        <v>150066</v>
      </c>
      <c r="B237" s="2" t="s">
        <v>281</v>
      </c>
      <c r="C237" s="2" t="s">
        <v>243</v>
      </c>
      <c r="D237" s="2">
        <v>1213</v>
      </c>
      <c r="E237" s="2">
        <v>58</v>
      </c>
      <c r="F237" s="2" t="s">
        <v>47</v>
      </c>
      <c r="G237" s="2" t="s">
        <v>37</v>
      </c>
      <c r="H237" s="2">
        <v>3</v>
      </c>
      <c r="I237" s="2">
        <v>38</v>
      </c>
      <c r="J237" s="2" t="s">
        <v>38</v>
      </c>
      <c r="K237" s="2">
        <v>408</v>
      </c>
      <c r="L237" s="2">
        <v>40.9</v>
      </c>
      <c r="M237" s="2">
        <v>1276936</v>
      </c>
      <c r="N237" s="2">
        <v>796226</v>
      </c>
      <c r="O237" s="2"/>
      <c r="P237" s="2"/>
      <c r="Q237">
        <f t="shared" si="6"/>
        <v>4771.4775396711257</v>
      </c>
      <c r="R237">
        <f t="shared" si="7"/>
        <v>5295.6769848379272</v>
      </c>
    </row>
    <row r="238" spans="1:18" ht="16" x14ac:dyDescent="0.4">
      <c r="A238" s="2">
        <v>150136</v>
      </c>
      <c r="B238" s="2" t="s">
        <v>282</v>
      </c>
      <c r="C238" s="2" t="s">
        <v>243</v>
      </c>
      <c r="D238" s="2">
        <v>14748</v>
      </c>
      <c r="E238" s="2">
        <v>60</v>
      </c>
      <c r="F238" s="2" t="s">
        <v>36</v>
      </c>
      <c r="G238" s="2" t="s">
        <v>37</v>
      </c>
      <c r="H238" s="2">
        <v>1</v>
      </c>
      <c r="I238" s="2">
        <v>38</v>
      </c>
      <c r="J238" s="2" t="s">
        <v>38</v>
      </c>
      <c r="K238" s="2">
        <v>496</v>
      </c>
      <c r="L238" s="2">
        <v>53.6</v>
      </c>
      <c r="M238" s="2">
        <v>11526285</v>
      </c>
      <c r="N238" s="2">
        <v>7671245</v>
      </c>
      <c r="O238" s="2"/>
      <c r="P238" s="2"/>
      <c r="Q238">
        <f t="shared" si="6"/>
        <v>28854.887608329322</v>
      </c>
      <c r="R238">
        <f t="shared" si="7"/>
        <v>50082.926341768638</v>
      </c>
    </row>
    <row r="239" spans="1:18" ht="16" x14ac:dyDescent="0.4">
      <c r="A239" s="2">
        <v>150163</v>
      </c>
      <c r="B239" s="2" t="s">
        <v>283</v>
      </c>
      <c r="C239" s="2" t="s">
        <v>243</v>
      </c>
      <c r="D239" s="2">
        <v>4485</v>
      </c>
      <c r="E239" s="2">
        <v>60.2</v>
      </c>
      <c r="F239" s="2" t="s">
        <v>47</v>
      </c>
      <c r="G239" s="2" t="s">
        <v>37</v>
      </c>
      <c r="H239" s="2">
        <v>1</v>
      </c>
      <c r="I239" s="2">
        <v>38</v>
      </c>
      <c r="J239" s="2" t="s">
        <v>38</v>
      </c>
      <c r="K239" s="2">
        <v>570</v>
      </c>
      <c r="L239" s="2">
        <v>48.2</v>
      </c>
      <c r="M239" s="2">
        <v>10814839</v>
      </c>
      <c r="N239" s="2">
        <v>7019978</v>
      </c>
      <c r="O239" s="2"/>
      <c r="P239" s="2"/>
      <c r="Q239">
        <f t="shared" si="6"/>
        <v>25551.350367620296</v>
      </c>
      <c r="R239">
        <f t="shared" si="7"/>
        <v>36628.188715030825</v>
      </c>
    </row>
    <row r="240" spans="1:18" ht="16" x14ac:dyDescent="0.4">
      <c r="A240" s="2">
        <v>150400</v>
      </c>
      <c r="B240" s="2" t="s">
        <v>284</v>
      </c>
      <c r="C240" s="2" t="s">
        <v>243</v>
      </c>
      <c r="D240" s="2">
        <v>1939</v>
      </c>
      <c r="E240" s="2">
        <v>52.2</v>
      </c>
      <c r="F240" s="2" t="s">
        <v>47</v>
      </c>
      <c r="G240" s="2" t="s">
        <v>37</v>
      </c>
      <c r="H240" s="2">
        <v>3</v>
      </c>
      <c r="I240" s="2">
        <v>38</v>
      </c>
      <c r="J240" s="2" t="s">
        <v>38</v>
      </c>
      <c r="K240" s="2">
        <v>583</v>
      </c>
      <c r="L240" s="2">
        <v>37.6</v>
      </c>
      <c r="M240" s="2">
        <v>1870701</v>
      </c>
      <c r="N240" s="2">
        <v>1496265</v>
      </c>
      <c r="O240" s="2"/>
      <c r="P240" s="2"/>
      <c r="Q240">
        <f t="shared" si="6"/>
        <v>6825.7773438925587</v>
      </c>
      <c r="R240">
        <f t="shared" si="7"/>
        <v>5142.2268768966887</v>
      </c>
    </row>
    <row r="241" spans="1:18" ht="16" x14ac:dyDescent="0.4">
      <c r="A241" s="2">
        <v>150455</v>
      </c>
      <c r="B241" s="2" t="s">
        <v>285</v>
      </c>
      <c r="C241" s="2" t="s">
        <v>243</v>
      </c>
      <c r="D241" s="2">
        <v>911</v>
      </c>
      <c r="E241" s="2">
        <v>56.6</v>
      </c>
      <c r="F241" s="2" t="s">
        <v>47</v>
      </c>
      <c r="G241" s="2" t="s">
        <v>37</v>
      </c>
      <c r="H241" s="2">
        <v>3</v>
      </c>
      <c r="I241" s="2">
        <v>9</v>
      </c>
      <c r="J241" s="2" t="s">
        <v>41</v>
      </c>
      <c r="K241" s="2">
        <v>358</v>
      </c>
      <c r="L241" s="2">
        <v>47.8</v>
      </c>
      <c r="M241" s="2">
        <v>959870</v>
      </c>
      <c r="N241" s="2">
        <v>1021242</v>
      </c>
      <c r="O241" s="2"/>
      <c r="P241" s="2"/>
      <c r="Q241">
        <f t="shared" si="6"/>
        <v>5967.8478763937264</v>
      </c>
      <c r="R241">
        <f t="shared" si="7"/>
        <v>5136.4006078897237</v>
      </c>
    </row>
    <row r="242" spans="1:18" ht="16" x14ac:dyDescent="0.4">
      <c r="A242" s="2">
        <v>150534</v>
      </c>
      <c r="B242" s="2" t="s">
        <v>286</v>
      </c>
      <c r="C242" s="2" t="s">
        <v>243</v>
      </c>
      <c r="D242" s="2">
        <v>1795</v>
      </c>
      <c r="E242" s="2">
        <v>58.1</v>
      </c>
      <c r="F242" s="2" t="s">
        <v>47</v>
      </c>
      <c r="G242" s="2" t="s">
        <v>37</v>
      </c>
      <c r="H242" s="2">
        <v>1</v>
      </c>
      <c r="I242" s="2">
        <v>38</v>
      </c>
      <c r="J242" s="2" t="s">
        <v>41</v>
      </c>
      <c r="K242" s="2">
        <v>394</v>
      </c>
      <c r="L242" s="2">
        <v>51.8</v>
      </c>
      <c r="M242" s="2">
        <v>5458922</v>
      </c>
      <c r="N242" s="2">
        <v>4947452</v>
      </c>
      <c r="O242" s="2"/>
      <c r="P242" s="2"/>
      <c r="Q242">
        <f t="shared" si="6"/>
        <v>24241.283342806182</v>
      </c>
      <c r="R242">
        <f t="shared" si="7"/>
        <v>28745.087094803799</v>
      </c>
    </row>
    <row r="243" spans="1:18" ht="16" x14ac:dyDescent="0.4">
      <c r="A243" s="2">
        <v>150604</v>
      </c>
      <c r="B243" s="2" t="s">
        <v>287</v>
      </c>
      <c r="C243" s="2" t="s">
        <v>243</v>
      </c>
      <c r="D243" s="2">
        <v>876</v>
      </c>
      <c r="E243" s="2">
        <v>52.5</v>
      </c>
      <c r="F243" s="2" t="s">
        <v>47</v>
      </c>
      <c r="G243" s="2" t="s">
        <v>37</v>
      </c>
      <c r="H243" s="2">
        <v>3</v>
      </c>
      <c r="I243" s="2">
        <v>37</v>
      </c>
      <c r="J243" s="2" t="s">
        <v>38</v>
      </c>
      <c r="K243" s="2">
        <v>414</v>
      </c>
      <c r="L243" s="2">
        <v>37</v>
      </c>
      <c r="M243" s="2">
        <v>972248</v>
      </c>
      <c r="N243" s="2">
        <v>487924</v>
      </c>
      <c r="O243" s="2"/>
      <c r="P243" s="2"/>
      <c r="Q243">
        <f t="shared" si="6"/>
        <v>3185.2983418200806</v>
      </c>
      <c r="R243">
        <f t="shared" si="7"/>
        <v>3727.6589218618205</v>
      </c>
    </row>
    <row r="244" spans="1:18" ht="16" x14ac:dyDescent="0.4">
      <c r="A244" s="2">
        <v>150756</v>
      </c>
      <c r="B244" s="2" t="s">
        <v>288</v>
      </c>
      <c r="C244" s="2" t="s">
        <v>243</v>
      </c>
      <c r="D244" s="2">
        <v>1062</v>
      </c>
      <c r="E244" s="2">
        <v>55.5</v>
      </c>
      <c r="F244" s="2" t="s">
        <v>47</v>
      </c>
      <c r="G244" s="2" t="s">
        <v>37</v>
      </c>
      <c r="H244" s="2">
        <v>3</v>
      </c>
      <c r="I244" s="2">
        <v>14</v>
      </c>
      <c r="J244" s="2" t="s">
        <v>38</v>
      </c>
      <c r="K244" s="2">
        <v>525</v>
      </c>
      <c r="L244" s="2">
        <v>39.4</v>
      </c>
      <c r="M244" s="2">
        <v>1289062</v>
      </c>
      <c r="N244" s="2">
        <v>961314</v>
      </c>
      <c r="O244" s="2"/>
      <c r="P244" s="2"/>
      <c r="Q244">
        <f t="shared" si="6"/>
        <v>4647.3966642494552</v>
      </c>
      <c r="R244">
        <f t="shared" si="7"/>
        <v>4051.7428885745721</v>
      </c>
    </row>
    <row r="245" spans="1:18" ht="16" x14ac:dyDescent="0.4">
      <c r="A245" s="2">
        <v>151102</v>
      </c>
      <c r="B245" s="2" t="s">
        <v>289</v>
      </c>
      <c r="C245" s="2" t="s">
        <v>243</v>
      </c>
      <c r="D245" s="2">
        <v>5350</v>
      </c>
      <c r="E245" s="2">
        <v>52</v>
      </c>
      <c r="F245" s="2" t="s">
        <v>36</v>
      </c>
      <c r="G245" s="2" t="s">
        <v>37</v>
      </c>
      <c r="H245" s="2">
        <v>1</v>
      </c>
      <c r="I245" s="2">
        <v>38</v>
      </c>
      <c r="J245" s="2" t="s">
        <v>41</v>
      </c>
      <c r="K245" s="2">
        <v>328</v>
      </c>
      <c r="L245" s="2">
        <v>46.3</v>
      </c>
      <c r="M245" s="2">
        <v>3578648</v>
      </c>
      <c r="N245" s="2">
        <v>3133389</v>
      </c>
      <c r="O245" s="2"/>
      <c r="P245" s="2"/>
      <c r="Q245">
        <f t="shared" si="6"/>
        <v>20632.862297845444</v>
      </c>
      <c r="R245">
        <f t="shared" si="7"/>
        <v>20317.527365217782</v>
      </c>
    </row>
    <row r="246" spans="1:18" ht="16" x14ac:dyDescent="0.4">
      <c r="A246" s="2">
        <v>151111</v>
      </c>
      <c r="B246" s="2" t="s">
        <v>290</v>
      </c>
      <c r="C246" s="2" t="s">
        <v>243</v>
      </c>
      <c r="D246" s="2">
        <v>17548</v>
      </c>
      <c r="E246" s="2">
        <v>59.3</v>
      </c>
      <c r="F246" s="2" t="s">
        <v>36</v>
      </c>
      <c r="G246" s="2" t="s">
        <v>37</v>
      </c>
      <c r="H246" s="2">
        <v>1</v>
      </c>
      <c r="I246" s="2">
        <v>38</v>
      </c>
      <c r="J246" s="2" t="s">
        <v>41</v>
      </c>
      <c r="K246" s="2">
        <v>352</v>
      </c>
      <c r="L246" s="2">
        <v>50.3</v>
      </c>
      <c r="M246" s="2">
        <v>3670425</v>
      </c>
      <c r="N246" s="2">
        <v>4297179</v>
      </c>
      <c r="O246" s="2"/>
      <c r="P246" s="2"/>
      <c r="Q246">
        <f t="shared" si="6"/>
        <v>24270.168760166274</v>
      </c>
      <c r="R246">
        <f t="shared" si="7"/>
        <v>20980.570925553318</v>
      </c>
    </row>
    <row r="247" spans="1:18" ht="16" x14ac:dyDescent="0.4">
      <c r="A247" s="2">
        <v>151263</v>
      </c>
      <c r="B247" s="2" t="s">
        <v>291</v>
      </c>
      <c r="C247" s="2" t="s">
        <v>243</v>
      </c>
      <c r="D247" s="2">
        <v>4066</v>
      </c>
      <c r="E247" s="2">
        <v>62.5</v>
      </c>
      <c r="F247" s="2" t="s">
        <v>47</v>
      </c>
      <c r="G247" s="2" t="s">
        <v>37</v>
      </c>
      <c r="H247" s="2">
        <v>2</v>
      </c>
      <c r="I247" s="2">
        <v>33</v>
      </c>
      <c r="J247" s="2" t="s">
        <v>38</v>
      </c>
      <c r="K247" s="2">
        <v>857</v>
      </c>
      <c r="L247" s="2">
        <v>31.7</v>
      </c>
      <c r="M247" s="2">
        <v>8121999</v>
      </c>
      <c r="N247" s="2">
        <v>5065715</v>
      </c>
      <c r="O247" s="2"/>
      <c r="P247" s="2"/>
      <c r="Q247">
        <f t="shared" si="6"/>
        <v>18646.64352576113</v>
      </c>
      <c r="R247">
        <f t="shared" si="7"/>
        <v>13875.907819678099</v>
      </c>
    </row>
    <row r="248" spans="1:18" ht="16" x14ac:dyDescent="0.4">
      <c r="A248" s="2">
        <v>151306</v>
      </c>
      <c r="B248" s="2" t="s">
        <v>292</v>
      </c>
      <c r="C248" s="2" t="s">
        <v>243</v>
      </c>
      <c r="D248" s="2">
        <v>6085</v>
      </c>
      <c r="E248" s="2">
        <v>63</v>
      </c>
      <c r="F248" s="2" t="s">
        <v>36</v>
      </c>
      <c r="G248" s="2" t="s">
        <v>37</v>
      </c>
      <c r="H248" s="2">
        <v>2</v>
      </c>
      <c r="I248" s="2">
        <v>38</v>
      </c>
      <c r="J248" s="2" t="s">
        <v>41</v>
      </c>
      <c r="K248" s="2">
        <v>436</v>
      </c>
      <c r="L248" s="2">
        <v>43.3</v>
      </c>
      <c r="M248" s="2">
        <v>2010126</v>
      </c>
      <c r="N248" s="2">
        <v>1887298</v>
      </c>
      <c r="O248" s="2"/>
      <c r="P248" s="2"/>
      <c r="Q248">
        <f t="shared" si="6"/>
        <v>9996.9171769392124</v>
      </c>
      <c r="R248">
        <f t="shared" si="7"/>
        <v>8131.1829522838689</v>
      </c>
    </row>
    <row r="249" spans="1:18" ht="16" x14ac:dyDescent="0.4">
      <c r="A249" s="2">
        <v>151324</v>
      </c>
      <c r="B249" s="2" t="s">
        <v>293</v>
      </c>
      <c r="C249" s="2" t="s">
        <v>243</v>
      </c>
      <c r="D249" s="2">
        <v>8102</v>
      </c>
      <c r="E249" s="2">
        <v>56</v>
      </c>
      <c r="F249" s="2" t="s">
        <v>36</v>
      </c>
      <c r="G249" s="2" t="s">
        <v>37</v>
      </c>
      <c r="H249" s="2">
        <v>1</v>
      </c>
      <c r="I249" s="2">
        <v>38</v>
      </c>
      <c r="J249" s="2" t="s">
        <v>38</v>
      </c>
      <c r="K249" s="2">
        <v>595</v>
      </c>
      <c r="L249" s="2">
        <v>47.7</v>
      </c>
      <c r="M249" s="2">
        <v>7960462</v>
      </c>
      <c r="N249" s="2">
        <v>4785636</v>
      </c>
      <c r="O249" s="2"/>
      <c r="P249" s="2"/>
      <c r="Q249">
        <f t="shared" si="6"/>
        <v>16861.814914645103</v>
      </c>
      <c r="R249">
        <f t="shared" si="7"/>
        <v>25581.12376881919</v>
      </c>
    </row>
    <row r="250" spans="1:18" ht="16" x14ac:dyDescent="0.4">
      <c r="A250" s="2">
        <v>151351</v>
      </c>
      <c r="B250" s="2" t="s">
        <v>294</v>
      </c>
      <c r="C250" s="2" t="s">
        <v>243</v>
      </c>
      <c r="D250" s="2">
        <v>31878</v>
      </c>
      <c r="E250" s="2">
        <v>49.6</v>
      </c>
      <c r="F250" s="2" t="s">
        <v>36</v>
      </c>
      <c r="G250" s="2" t="s">
        <v>37</v>
      </c>
      <c r="H250" s="2">
        <v>1</v>
      </c>
      <c r="I250" s="2">
        <v>38</v>
      </c>
      <c r="J250" s="2" t="s">
        <v>38</v>
      </c>
      <c r="K250" s="2">
        <v>746</v>
      </c>
      <c r="L250" s="2">
        <v>50</v>
      </c>
      <c r="M250" s="2">
        <v>52293616</v>
      </c>
      <c r="N250" s="2">
        <v>20067047</v>
      </c>
      <c r="O250" s="2"/>
      <c r="P250" s="2"/>
      <c r="Q250">
        <f t="shared" si="6"/>
        <v>53799.053619302947</v>
      </c>
      <c r="R250">
        <f t="shared" si="7"/>
        <v>140197.36193029489</v>
      </c>
    </row>
    <row r="251" spans="1:18" ht="16" x14ac:dyDescent="0.4">
      <c r="A251" s="2">
        <v>151777</v>
      </c>
      <c r="B251" s="2" t="s">
        <v>295</v>
      </c>
      <c r="C251" s="2" t="s">
        <v>243</v>
      </c>
      <c r="D251" s="2">
        <v>1060</v>
      </c>
      <c r="E251" s="2">
        <v>53.7</v>
      </c>
      <c r="F251" s="2" t="s">
        <v>47</v>
      </c>
      <c r="G251" s="2" t="s">
        <v>37</v>
      </c>
      <c r="H251" s="2">
        <v>3</v>
      </c>
      <c r="I251" s="2">
        <v>37</v>
      </c>
      <c r="J251" s="2" t="s">
        <v>38</v>
      </c>
      <c r="K251" s="2">
        <v>467</v>
      </c>
      <c r="L251" s="2">
        <v>35.1</v>
      </c>
      <c r="M251" s="2">
        <v>925213</v>
      </c>
      <c r="N251" s="2">
        <v>507467</v>
      </c>
      <c r="O251" s="2"/>
      <c r="P251" s="2"/>
      <c r="Q251">
        <f t="shared" si="6"/>
        <v>3095.8777918092687</v>
      </c>
      <c r="R251">
        <f t="shared" si="7"/>
        <v>3052.672040332186</v>
      </c>
    </row>
    <row r="252" spans="1:18" ht="16" x14ac:dyDescent="0.4">
      <c r="A252" s="2">
        <v>152080</v>
      </c>
      <c r="B252" s="2" t="s">
        <v>296</v>
      </c>
      <c r="C252" s="2" t="s">
        <v>243</v>
      </c>
      <c r="D252" s="2">
        <v>8665</v>
      </c>
      <c r="E252" s="2">
        <v>48</v>
      </c>
      <c r="F252" s="2" t="s">
        <v>47</v>
      </c>
      <c r="G252" s="2" t="s">
        <v>37</v>
      </c>
      <c r="H252" s="2">
        <v>1</v>
      </c>
      <c r="I252" s="2">
        <v>35</v>
      </c>
      <c r="J252" s="2" t="s">
        <v>38</v>
      </c>
      <c r="K252" s="2">
        <v>796</v>
      </c>
      <c r="L252" s="2">
        <v>42.1</v>
      </c>
      <c r="M252" s="2">
        <v>77672346</v>
      </c>
      <c r="N252" s="2">
        <v>23955245</v>
      </c>
      <c r="O252" s="2"/>
      <c r="P252" s="2"/>
      <c r="Q252">
        <f t="shared" si="6"/>
        <v>71483.441554566176</v>
      </c>
      <c r="R252">
        <f t="shared" si="7"/>
        <v>168529.05720311403</v>
      </c>
    </row>
    <row r="253" spans="1:18" ht="16" x14ac:dyDescent="0.4">
      <c r="A253" s="2">
        <v>152099</v>
      </c>
      <c r="B253" s="2" t="s">
        <v>297</v>
      </c>
      <c r="C253" s="2" t="s">
        <v>243</v>
      </c>
      <c r="D253" s="2">
        <v>502</v>
      </c>
      <c r="E253" s="2">
        <v>54.2</v>
      </c>
      <c r="F253" s="2" t="s">
        <v>47</v>
      </c>
      <c r="G253" s="2" t="s">
        <v>37</v>
      </c>
      <c r="H253" s="2">
        <v>2</v>
      </c>
      <c r="I253" s="2">
        <v>38</v>
      </c>
      <c r="J253" s="2" t="s">
        <v>41</v>
      </c>
      <c r="K253" s="2">
        <v>148</v>
      </c>
      <c r="L253" s="2">
        <v>46.6</v>
      </c>
      <c r="M253" s="2">
        <v>653183</v>
      </c>
      <c r="N253" s="2">
        <v>719243</v>
      </c>
      <c r="O253" s="2"/>
      <c r="P253" s="2"/>
      <c r="Q253">
        <f t="shared" si="6"/>
        <v>10428.648068669527</v>
      </c>
      <c r="R253">
        <f t="shared" si="7"/>
        <v>8264.7914768701266</v>
      </c>
    </row>
    <row r="254" spans="1:18" ht="16" x14ac:dyDescent="0.4">
      <c r="A254" s="2">
        <v>152318</v>
      </c>
      <c r="B254" s="2" t="s">
        <v>298</v>
      </c>
      <c r="C254" s="2" t="s">
        <v>243</v>
      </c>
      <c r="D254" s="2">
        <v>1975</v>
      </c>
      <c r="E254" s="2">
        <v>24.4</v>
      </c>
      <c r="F254" s="2" t="s">
        <v>47</v>
      </c>
      <c r="G254" s="2" t="s">
        <v>37</v>
      </c>
      <c r="H254" s="2">
        <v>3</v>
      </c>
      <c r="I254" s="2">
        <v>37</v>
      </c>
      <c r="J254" s="2" t="s">
        <v>38</v>
      </c>
      <c r="K254" s="2">
        <v>463</v>
      </c>
      <c r="L254" s="2">
        <v>30.9</v>
      </c>
      <c r="M254" s="2">
        <v>1285959</v>
      </c>
      <c r="N254" s="2">
        <v>767474</v>
      </c>
      <c r="O254" s="2"/>
      <c r="P254" s="2"/>
      <c r="Q254">
        <f t="shared" si="6"/>
        <v>5364.4376411052162</v>
      </c>
      <c r="R254">
        <f t="shared" si="7"/>
        <v>4019.4634501598775</v>
      </c>
    </row>
    <row r="255" spans="1:18" ht="16" x14ac:dyDescent="0.4">
      <c r="A255" s="2">
        <v>152567</v>
      </c>
      <c r="B255" s="2" t="s">
        <v>299</v>
      </c>
      <c r="C255" s="2" t="s">
        <v>243</v>
      </c>
      <c r="D255" s="2">
        <v>2087</v>
      </c>
      <c r="E255" s="2">
        <v>33.700000000000003</v>
      </c>
      <c r="F255" s="2" t="s">
        <v>47</v>
      </c>
      <c r="G255" s="2" t="s">
        <v>37</v>
      </c>
      <c r="H255" s="2">
        <v>3</v>
      </c>
      <c r="I255" s="2">
        <v>38</v>
      </c>
      <c r="J255" s="2" t="s">
        <v>38</v>
      </c>
      <c r="K255" s="2">
        <v>794</v>
      </c>
      <c r="L255" s="2">
        <v>32.200000000000003</v>
      </c>
      <c r="M255" s="2">
        <v>2017917</v>
      </c>
      <c r="N255" s="2">
        <v>1456635</v>
      </c>
      <c r="O255" s="2"/>
      <c r="P255" s="2"/>
      <c r="Q255">
        <f t="shared" si="6"/>
        <v>5697.3692444889466</v>
      </c>
      <c r="R255">
        <f t="shared" si="7"/>
        <v>3748.4619156951471</v>
      </c>
    </row>
    <row r="256" spans="1:18" ht="16" x14ac:dyDescent="0.4">
      <c r="A256" s="2">
        <v>152600</v>
      </c>
      <c r="B256" s="2" t="s">
        <v>300</v>
      </c>
      <c r="C256" s="2" t="s">
        <v>243</v>
      </c>
      <c r="D256" s="2">
        <v>2924</v>
      </c>
      <c r="E256" s="2">
        <v>55.6</v>
      </c>
      <c r="F256" s="2" t="s">
        <v>47</v>
      </c>
      <c r="G256" s="2" t="s">
        <v>37</v>
      </c>
      <c r="H256" s="2">
        <v>1</v>
      </c>
      <c r="I256" s="2">
        <v>12</v>
      </c>
      <c r="J256" s="2" t="s">
        <v>38</v>
      </c>
      <c r="K256" s="2">
        <v>482</v>
      </c>
      <c r="L256" s="2">
        <v>39.200000000000003</v>
      </c>
      <c r="M256" s="2">
        <v>6282890</v>
      </c>
      <c r="N256" s="2">
        <v>4676262</v>
      </c>
      <c r="O256" s="2"/>
      <c r="P256" s="2"/>
      <c r="Q256">
        <f t="shared" si="6"/>
        <v>24749.460157506983</v>
      </c>
      <c r="R256">
        <f t="shared" si="7"/>
        <v>21439.212983184101</v>
      </c>
    </row>
    <row r="257" spans="1:18" ht="16" x14ac:dyDescent="0.4">
      <c r="A257" s="2">
        <v>153001</v>
      </c>
      <c r="B257" s="2" t="s">
        <v>301</v>
      </c>
      <c r="C257" s="2" t="s">
        <v>302</v>
      </c>
      <c r="D257" s="2">
        <v>1233</v>
      </c>
      <c r="E257" s="2">
        <v>62.1</v>
      </c>
      <c r="F257" s="2" t="s">
        <v>47</v>
      </c>
      <c r="G257" s="2" t="s">
        <v>37</v>
      </c>
      <c r="H257" s="2">
        <v>3</v>
      </c>
      <c r="I257" s="2">
        <v>38</v>
      </c>
      <c r="J257" s="2" t="s">
        <v>38</v>
      </c>
      <c r="K257" s="2">
        <v>378</v>
      </c>
      <c r="L257" s="2">
        <v>35.200000000000003</v>
      </c>
      <c r="M257" s="2">
        <v>1260605</v>
      </c>
      <c r="N257" s="2">
        <v>800492</v>
      </c>
      <c r="O257" s="2"/>
      <c r="P257" s="2"/>
      <c r="Q257">
        <f t="shared" si="6"/>
        <v>6016.2037037037035</v>
      </c>
      <c r="R257">
        <f t="shared" si="7"/>
        <v>5146.5028741263304</v>
      </c>
    </row>
    <row r="258" spans="1:18" ht="16" x14ac:dyDescent="0.4">
      <c r="A258" s="2">
        <v>153108</v>
      </c>
      <c r="B258" s="2" t="s">
        <v>303</v>
      </c>
      <c r="C258" s="2" t="s">
        <v>302</v>
      </c>
      <c r="D258" s="2">
        <v>1107</v>
      </c>
      <c r="E258" s="2">
        <v>47.2</v>
      </c>
      <c r="F258" s="2" t="s">
        <v>47</v>
      </c>
      <c r="G258" s="2" t="s">
        <v>37</v>
      </c>
      <c r="H258" s="2">
        <v>3</v>
      </c>
      <c r="I258" s="2">
        <v>38</v>
      </c>
      <c r="J258" s="2" t="s">
        <v>38</v>
      </c>
      <c r="K258" s="2">
        <v>697</v>
      </c>
      <c r="L258" s="2">
        <v>33.9</v>
      </c>
      <c r="M258" s="2">
        <v>1385345</v>
      </c>
      <c r="N258" s="2">
        <v>724580</v>
      </c>
      <c r="O258" s="2"/>
      <c r="P258" s="2"/>
      <c r="Q258">
        <f t="shared" si="6"/>
        <v>3066.5769437496565</v>
      </c>
      <c r="R258">
        <f t="shared" si="7"/>
        <v>3006.9326723346439</v>
      </c>
    </row>
    <row r="259" spans="1:18" ht="16" x14ac:dyDescent="0.4">
      <c r="A259" s="2">
        <v>153144</v>
      </c>
      <c r="B259" s="2" t="s">
        <v>304</v>
      </c>
      <c r="C259" s="2" t="s">
        <v>302</v>
      </c>
      <c r="D259" s="2">
        <v>1370</v>
      </c>
      <c r="E259" s="2">
        <v>54.7</v>
      </c>
      <c r="F259" s="2" t="s">
        <v>47</v>
      </c>
      <c r="G259" s="2" t="s">
        <v>37</v>
      </c>
      <c r="H259" s="2">
        <v>3</v>
      </c>
      <c r="I259" s="2">
        <v>38</v>
      </c>
      <c r="J259" s="2" t="s">
        <v>38</v>
      </c>
      <c r="K259" s="2">
        <v>515</v>
      </c>
      <c r="L259" s="2">
        <v>33</v>
      </c>
      <c r="M259" s="2">
        <v>1326175</v>
      </c>
      <c r="N259" s="2">
        <v>833476</v>
      </c>
      <c r="O259" s="2"/>
      <c r="P259" s="2"/>
      <c r="Q259">
        <f t="shared" ref="Q259:Q322" si="8">N259/(K259*(0.01*L259))</f>
        <v>4904.242424242424</v>
      </c>
      <c r="R259">
        <f t="shared" ref="R259:R322" si="9">M259/(K259*(0.01*(100-L259)))</f>
        <v>3843.428488624837</v>
      </c>
    </row>
    <row r="260" spans="1:18" ht="16" x14ac:dyDescent="0.4">
      <c r="A260" s="2">
        <v>153162</v>
      </c>
      <c r="B260" s="2" t="s">
        <v>305</v>
      </c>
      <c r="C260" s="2" t="s">
        <v>302</v>
      </c>
      <c r="D260" s="2">
        <v>1014</v>
      </c>
      <c r="E260" s="2">
        <v>47.2</v>
      </c>
      <c r="F260" s="2" t="s">
        <v>47</v>
      </c>
      <c r="G260" s="2" t="s">
        <v>37</v>
      </c>
      <c r="H260" s="2">
        <v>3</v>
      </c>
      <c r="I260" s="2">
        <v>13</v>
      </c>
      <c r="J260" s="2" t="s">
        <v>38</v>
      </c>
      <c r="K260" s="2">
        <v>466</v>
      </c>
      <c r="L260" s="2">
        <v>36.5</v>
      </c>
      <c r="M260" s="2">
        <v>1392514</v>
      </c>
      <c r="N260" s="2">
        <v>822381</v>
      </c>
      <c r="O260" s="2"/>
      <c r="P260" s="2"/>
      <c r="Q260">
        <f t="shared" si="8"/>
        <v>4834.9756011523314</v>
      </c>
      <c r="R260">
        <f t="shared" si="9"/>
        <v>4705.8700280490684</v>
      </c>
    </row>
    <row r="261" spans="1:18" ht="16" x14ac:dyDescent="0.4">
      <c r="A261" s="2">
        <v>153269</v>
      </c>
      <c r="B261" s="2" t="s">
        <v>306</v>
      </c>
      <c r="C261" s="2" t="s">
        <v>302</v>
      </c>
      <c r="D261" s="2">
        <v>2825</v>
      </c>
      <c r="E261" s="2">
        <v>59.3</v>
      </c>
      <c r="F261" s="2" t="s">
        <v>47</v>
      </c>
      <c r="G261" s="2" t="s">
        <v>37</v>
      </c>
      <c r="H261" s="2">
        <v>1</v>
      </c>
      <c r="I261" s="2">
        <v>38</v>
      </c>
      <c r="J261" s="2" t="s">
        <v>38</v>
      </c>
      <c r="K261" s="2">
        <v>464</v>
      </c>
      <c r="L261" s="2">
        <v>46.1</v>
      </c>
      <c r="M261" s="2">
        <v>6099769</v>
      </c>
      <c r="N261" s="2">
        <v>6287045</v>
      </c>
      <c r="O261" s="2"/>
      <c r="P261" s="2"/>
      <c r="Q261">
        <f t="shared" si="8"/>
        <v>29391.900104719876</v>
      </c>
      <c r="R261">
        <f t="shared" si="9"/>
        <v>24389.710351225131</v>
      </c>
    </row>
    <row r="262" spans="1:18" ht="16" x14ac:dyDescent="0.4">
      <c r="A262" s="2">
        <v>153278</v>
      </c>
      <c r="B262" s="2" t="s">
        <v>307</v>
      </c>
      <c r="C262" s="2" t="s">
        <v>302</v>
      </c>
      <c r="D262" s="2">
        <v>1554</v>
      </c>
      <c r="E262" s="2">
        <v>42.1</v>
      </c>
      <c r="F262" s="2" t="s">
        <v>47</v>
      </c>
      <c r="G262" s="2" t="s">
        <v>37</v>
      </c>
      <c r="H262" s="2">
        <v>3</v>
      </c>
      <c r="I262" s="2">
        <v>13</v>
      </c>
      <c r="J262" s="2" t="s">
        <v>38</v>
      </c>
      <c r="K262" s="2">
        <v>517</v>
      </c>
      <c r="L262" s="2">
        <v>36.799999999999997</v>
      </c>
      <c r="M262" s="2">
        <v>1790073</v>
      </c>
      <c r="N262" s="2">
        <v>989232</v>
      </c>
      <c r="O262" s="2"/>
      <c r="P262" s="2"/>
      <c r="Q262">
        <f t="shared" si="8"/>
        <v>5199.4785972584305</v>
      </c>
      <c r="R262">
        <f t="shared" si="9"/>
        <v>5478.5183507577794</v>
      </c>
    </row>
    <row r="263" spans="1:18" ht="16" x14ac:dyDescent="0.4">
      <c r="A263" s="2">
        <v>153384</v>
      </c>
      <c r="B263" s="2" t="s">
        <v>308</v>
      </c>
      <c r="C263" s="2" t="s">
        <v>302</v>
      </c>
      <c r="D263" s="2">
        <v>1694</v>
      </c>
      <c r="E263" s="2">
        <v>53.1</v>
      </c>
      <c r="F263" s="2" t="s">
        <v>47</v>
      </c>
      <c r="G263" s="2" t="s">
        <v>37</v>
      </c>
      <c r="H263" s="2">
        <v>3</v>
      </c>
      <c r="I263" s="2">
        <v>12</v>
      </c>
      <c r="J263" s="2" t="s">
        <v>38</v>
      </c>
      <c r="K263" s="2">
        <v>513</v>
      </c>
      <c r="L263" s="2">
        <v>44.4</v>
      </c>
      <c r="M263" s="2">
        <v>1311960</v>
      </c>
      <c r="N263" s="2">
        <v>1031809</v>
      </c>
      <c r="O263" s="2"/>
      <c r="P263" s="2"/>
      <c r="Q263">
        <f t="shared" si="8"/>
        <v>4530.0080782536925</v>
      </c>
      <c r="R263">
        <f t="shared" si="9"/>
        <v>4599.6886701165386</v>
      </c>
    </row>
    <row r="264" spans="1:18" ht="16" x14ac:dyDescent="0.4">
      <c r="A264" s="2">
        <v>153603</v>
      </c>
      <c r="B264" s="2" t="s">
        <v>309</v>
      </c>
      <c r="C264" s="2" t="s">
        <v>302</v>
      </c>
      <c r="D264" s="2">
        <v>26627</v>
      </c>
      <c r="E264" s="2">
        <v>43</v>
      </c>
      <c r="F264" s="2" t="s">
        <v>36</v>
      </c>
      <c r="G264" s="2" t="s">
        <v>37</v>
      </c>
      <c r="H264" s="2">
        <v>1</v>
      </c>
      <c r="I264" s="2">
        <v>38</v>
      </c>
      <c r="J264" s="2" t="s">
        <v>38</v>
      </c>
      <c r="K264" s="2">
        <v>556</v>
      </c>
      <c r="L264" s="2">
        <v>43.7</v>
      </c>
      <c r="M264" s="2">
        <v>41420817</v>
      </c>
      <c r="N264" s="2">
        <v>14979772</v>
      </c>
      <c r="O264" s="2"/>
      <c r="P264" s="2"/>
      <c r="Q264">
        <f t="shared" si="8"/>
        <v>61652.256227054961</v>
      </c>
      <c r="R264">
        <f t="shared" si="9"/>
        <v>132323.04138926871</v>
      </c>
    </row>
    <row r="265" spans="1:18" ht="16" x14ac:dyDescent="0.4">
      <c r="A265" s="2">
        <v>153621</v>
      </c>
      <c r="B265" s="2" t="s">
        <v>310</v>
      </c>
      <c r="C265" s="2" t="s">
        <v>302</v>
      </c>
      <c r="D265" s="2">
        <v>560</v>
      </c>
      <c r="E265" s="2">
        <v>49.8</v>
      </c>
      <c r="F265" s="2" t="s">
        <v>47</v>
      </c>
      <c r="G265" s="2" t="s">
        <v>37</v>
      </c>
      <c r="H265" s="2">
        <v>3</v>
      </c>
      <c r="I265" s="2">
        <v>37</v>
      </c>
      <c r="J265" s="2" t="s">
        <v>38</v>
      </c>
      <c r="K265" s="2">
        <v>288</v>
      </c>
      <c r="L265" s="2">
        <v>29.5</v>
      </c>
      <c r="M265" s="2">
        <v>673520</v>
      </c>
      <c r="N265" s="2">
        <v>393394</v>
      </c>
      <c r="O265" s="2"/>
      <c r="P265" s="2"/>
      <c r="Q265">
        <f t="shared" si="8"/>
        <v>4630.3436911487761</v>
      </c>
      <c r="R265">
        <f t="shared" si="9"/>
        <v>3317.1788810086682</v>
      </c>
    </row>
    <row r="266" spans="1:18" ht="16" x14ac:dyDescent="0.4">
      <c r="A266" s="2">
        <v>153658</v>
      </c>
      <c r="B266" s="2" t="s">
        <v>311</v>
      </c>
      <c r="C266" s="2" t="s">
        <v>302</v>
      </c>
      <c r="D266" s="2">
        <v>21092</v>
      </c>
      <c r="E266" s="2">
        <v>54.2</v>
      </c>
      <c r="F266" s="2" t="s">
        <v>36</v>
      </c>
      <c r="G266" s="2" t="s">
        <v>37</v>
      </c>
      <c r="H266" s="2">
        <v>1</v>
      </c>
      <c r="I266" s="2">
        <v>38</v>
      </c>
      <c r="J266" s="2" t="s">
        <v>38</v>
      </c>
      <c r="K266" s="2">
        <v>824</v>
      </c>
      <c r="L266" s="2">
        <v>52.4</v>
      </c>
      <c r="M266" s="2">
        <v>60706749</v>
      </c>
      <c r="N266" s="2">
        <v>22170587</v>
      </c>
      <c r="O266" s="2"/>
      <c r="P266" s="2"/>
      <c r="Q266">
        <f t="shared" si="8"/>
        <v>51347.427832950416</v>
      </c>
      <c r="R266">
        <f t="shared" si="9"/>
        <v>154775.71234804598</v>
      </c>
    </row>
    <row r="267" spans="1:18" ht="16" x14ac:dyDescent="0.4">
      <c r="A267" s="2">
        <v>153825</v>
      </c>
      <c r="B267" s="2" t="s">
        <v>312</v>
      </c>
      <c r="C267" s="2" t="s">
        <v>302</v>
      </c>
      <c r="D267" s="2">
        <v>1260</v>
      </c>
      <c r="E267" s="2">
        <v>44</v>
      </c>
      <c r="F267" s="2" t="s">
        <v>47</v>
      </c>
      <c r="G267" s="2" t="s">
        <v>37</v>
      </c>
      <c r="H267" s="2">
        <v>3</v>
      </c>
      <c r="I267" s="2">
        <v>14</v>
      </c>
      <c r="J267" s="2" t="s">
        <v>38</v>
      </c>
      <c r="K267" s="2">
        <v>779</v>
      </c>
      <c r="L267" s="2">
        <v>36.799999999999997</v>
      </c>
      <c r="M267" s="2">
        <v>1799037</v>
      </c>
      <c r="N267" s="2">
        <v>909451</v>
      </c>
      <c r="O267" s="2"/>
      <c r="P267" s="2"/>
      <c r="Q267">
        <f t="shared" si="8"/>
        <v>3172.4444661494672</v>
      </c>
      <c r="R267">
        <f t="shared" si="9"/>
        <v>3654.1431728441198</v>
      </c>
    </row>
    <row r="268" spans="1:18" ht="16" x14ac:dyDescent="0.4">
      <c r="A268" s="2">
        <v>153834</v>
      </c>
      <c r="B268" s="2" t="s">
        <v>313</v>
      </c>
      <c r="C268" s="2" t="s">
        <v>302</v>
      </c>
      <c r="D268" s="2">
        <v>1913</v>
      </c>
      <c r="E268" s="2">
        <v>57.3</v>
      </c>
      <c r="F268" s="2" t="s">
        <v>47</v>
      </c>
      <c r="G268" s="2" t="s">
        <v>37</v>
      </c>
      <c r="H268" s="2">
        <v>3</v>
      </c>
      <c r="I268" s="2">
        <v>37</v>
      </c>
      <c r="J268" s="2" t="s">
        <v>38</v>
      </c>
      <c r="K268" s="2">
        <v>541</v>
      </c>
      <c r="L268" s="2">
        <v>39.6</v>
      </c>
      <c r="M268" s="2">
        <v>1543049</v>
      </c>
      <c r="N268" s="2">
        <v>708864</v>
      </c>
      <c r="O268" s="2"/>
      <c r="P268" s="2"/>
      <c r="Q268">
        <f t="shared" si="8"/>
        <v>3308.7996415168318</v>
      </c>
      <c r="R268">
        <f t="shared" si="9"/>
        <v>4722.2123612148216</v>
      </c>
    </row>
    <row r="269" spans="1:18" ht="16" x14ac:dyDescent="0.4">
      <c r="A269" s="2">
        <v>154095</v>
      </c>
      <c r="B269" s="2" t="s">
        <v>314</v>
      </c>
      <c r="C269" s="2" t="s">
        <v>302</v>
      </c>
      <c r="D269" s="2">
        <v>8216</v>
      </c>
      <c r="E269" s="2">
        <v>59.4</v>
      </c>
      <c r="F269" s="2" t="s">
        <v>36</v>
      </c>
      <c r="G269" s="2" t="s">
        <v>37</v>
      </c>
      <c r="H269" s="2">
        <v>1</v>
      </c>
      <c r="I269" s="2">
        <v>38</v>
      </c>
      <c r="J269" s="2" t="s">
        <v>38</v>
      </c>
      <c r="K269" s="2">
        <v>557</v>
      </c>
      <c r="L269" s="2">
        <v>51.3</v>
      </c>
      <c r="M269" s="2">
        <v>8608342</v>
      </c>
      <c r="N269" s="2">
        <v>4779517</v>
      </c>
      <c r="O269" s="2"/>
      <c r="P269" s="2"/>
      <c r="Q269">
        <f t="shared" si="8"/>
        <v>16726.745549291143</v>
      </c>
      <c r="R269">
        <f t="shared" si="9"/>
        <v>31734.770090577636</v>
      </c>
    </row>
    <row r="270" spans="1:18" ht="16" x14ac:dyDescent="0.4">
      <c r="A270" s="2">
        <v>154350</v>
      </c>
      <c r="B270" s="2" t="s">
        <v>315</v>
      </c>
      <c r="C270" s="2" t="s">
        <v>302</v>
      </c>
      <c r="D270" s="2">
        <v>1159</v>
      </c>
      <c r="E270" s="2">
        <v>53.2</v>
      </c>
      <c r="F270" s="2" t="s">
        <v>47</v>
      </c>
      <c r="G270" s="2" t="s">
        <v>37</v>
      </c>
      <c r="H270" s="2">
        <v>3</v>
      </c>
      <c r="I270" s="2">
        <v>15</v>
      </c>
      <c r="J270" s="2" t="s">
        <v>38</v>
      </c>
      <c r="K270" s="2">
        <v>599</v>
      </c>
      <c r="L270" s="2">
        <v>39.9</v>
      </c>
      <c r="M270" s="2">
        <v>1264682</v>
      </c>
      <c r="N270" s="2">
        <v>815639</v>
      </c>
      <c r="O270" s="2"/>
      <c r="P270" s="2"/>
      <c r="Q270">
        <f t="shared" si="8"/>
        <v>3412.7012020870206</v>
      </c>
      <c r="R270">
        <f t="shared" si="9"/>
        <v>3513.015313931428</v>
      </c>
    </row>
    <row r="271" spans="1:18" ht="16" x14ac:dyDescent="0.4">
      <c r="A271" s="2">
        <v>154493</v>
      </c>
      <c r="B271" s="2" t="s">
        <v>316</v>
      </c>
      <c r="C271" s="2" t="s">
        <v>302</v>
      </c>
      <c r="D271" s="2">
        <v>1856</v>
      </c>
      <c r="E271" s="2">
        <v>60.7</v>
      </c>
      <c r="F271" s="2" t="s">
        <v>47</v>
      </c>
      <c r="G271" s="2" t="s">
        <v>37</v>
      </c>
      <c r="H271" s="2">
        <v>2</v>
      </c>
      <c r="I271" s="2">
        <v>38</v>
      </c>
      <c r="J271" s="2" t="s">
        <v>38</v>
      </c>
      <c r="K271" s="2">
        <v>492</v>
      </c>
      <c r="L271" s="2">
        <v>29.9</v>
      </c>
      <c r="M271" s="2">
        <v>3659199</v>
      </c>
      <c r="N271" s="2">
        <v>2477110</v>
      </c>
      <c r="O271" s="2"/>
      <c r="P271" s="2"/>
      <c r="Q271">
        <f t="shared" si="8"/>
        <v>16838.717132990729</v>
      </c>
      <c r="R271">
        <f t="shared" si="9"/>
        <v>10609.695208934971</v>
      </c>
    </row>
    <row r="272" spans="1:18" ht="16" x14ac:dyDescent="0.4">
      <c r="A272" s="2">
        <v>154527</v>
      </c>
      <c r="B272" s="2" t="s">
        <v>317</v>
      </c>
      <c r="C272" s="2" t="s">
        <v>302</v>
      </c>
      <c r="D272" s="2">
        <v>1461</v>
      </c>
      <c r="E272" s="2">
        <v>54.8</v>
      </c>
      <c r="F272" s="2" t="s">
        <v>47</v>
      </c>
      <c r="G272" s="2" t="s">
        <v>37</v>
      </c>
      <c r="H272" s="2">
        <v>3</v>
      </c>
      <c r="I272" s="2">
        <v>38</v>
      </c>
      <c r="J272" s="2" t="s">
        <v>38</v>
      </c>
      <c r="K272" s="2">
        <v>810</v>
      </c>
      <c r="L272" s="2">
        <v>40.200000000000003</v>
      </c>
      <c r="M272" s="2">
        <v>1488394</v>
      </c>
      <c r="N272" s="2">
        <v>915433</v>
      </c>
      <c r="O272" s="2"/>
      <c r="P272" s="2"/>
      <c r="Q272">
        <f t="shared" si="8"/>
        <v>2811.3537252011547</v>
      </c>
      <c r="R272">
        <f t="shared" si="9"/>
        <v>3072.7817003179321</v>
      </c>
    </row>
    <row r="273" spans="1:18" ht="16" x14ac:dyDescent="0.4">
      <c r="A273" s="2">
        <v>155025</v>
      </c>
      <c r="B273" s="2" t="s">
        <v>318</v>
      </c>
      <c r="C273" s="2" t="s">
        <v>302</v>
      </c>
      <c r="D273" s="2">
        <v>3062</v>
      </c>
      <c r="E273" s="2">
        <v>63.5</v>
      </c>
      <c r="F273" s="2" t="s">
        <v>36</v>
      </c>
      <c r="G273" s="2" t="s">
        <v>37</v>
      </c>
      <c r="H273" s="2">
        <v>2</v>
      </c>
      <c r="I273" s="2">
        <v>38</v>
      </c>
      <c r="J273" s="2" t="s">
        <v>38</v>
      </c>
      <c r="K273" s="2">
        <v>537</v>
      </c>
      <c r="L273" s="2">
        <v>35</v>
      </c>
      <c r="M273" s="2">
        <v>2764084</v>
      </c>
      <c r="N273" s="2">
        <v>1464382</v>
      </c>
      <c r="O273" s="2"/>
      <c r="P273" s="2"/>
      <c r="Q273">
        <f t="shared" si="8"/>
        <v>7791.338121840914</v>
      </c>
      <c r="R273">
        <f t="shared" si="9"/>
        <v>7918.8769517261135</v>
      </c>
    </row>
    <row r="274" spans="1:18" ht="16" x14ac:dyDescent="0.4">
      <c r="A274" s="2">
        <v>155061</v>
      </c>
      <c r="B274" s="2" t="s">
        <v>319</v>
      </c>
      <c r="C274" s="2" t="s">
        <v>302</v>
      </c>
      <c r="D274" s="2">
        <v>5622</v>
      </c>
      <c r="E274" s="2">
        <v>59.6</v>
      </c>
      <c r="F274" s="2" t="s">
        <v>36</v>
      </c>
      <c r="G274" s="2" t="s">
        <v>37</v>
      </c>
      <c r="H274" s="2">
        <v>2</v>
      </c>
      <c r="I274" s="2">
        <v>38</v>
      </c>
      <c r="J274" s="2" t="s">
        <v>38</v>
      </c>
      <c r="K274" s="2">
        <v>561</v>
      </c>
      <c r="L274" s="2">
        <v>34</v>
      </c>
      <c r="M274" s="2">
        <v>3817102</v>
      </c>
      <c r="N274" s="2">
        <v>1808306</v>
      </c>
      <c r="O274" s="2"/>
      <c r="P274" s="2"/>
      <c r="Q274">
        <f t="shared" si="8"/>
        <v>9480.4760406836522</v>
      </c>
      <c r="R274">
        <f t="shared" si="9"/>
        <v>10309.247555771621</v>
      </c>
    </row>
    <row r="275" spans="1:18" ht="16" x14ac:dyDescent="0.4">
      <c r="A275" s="2">
        <v>155177</v>
      </c>
      <c r="B275" s="2" t="s">
        <v>320</v>
      </c>
      <c r="C275" s="2" t="s">
        <v>302</v>
      </c>
      <c r="D275" s="2">
        <v>343</v>
      </c>
      <c r="E275" s="2">
        <v>58</v>
      </c>
      <c r="F275" s="2" t="s">
        <v>47</v>
      </c>
      <c r="G275" s="2" t="s">
        <v>37</v>
      </c>
      <c r="H275" s="2">
        <v>2</v>
      </c>
      <c r="I275" s="2">
        <v>38</v>
      </c>
      <c r="J275" s="2" t="s">
        <v>41</v>
      </c>
      <c r="K275" s="2">
        <v>136</v>
      </c>
      <c r="L275" s="2">
        <v>42.6</v>
      </c>
      <c r="M275" s="2">
        <v>743365</v>
      </c>
      <c r="N275" s="2">
        <v>649856</v>
      </c>
      <c r="O275" s="2"/>
      <c r="P275" s="2"/>
      <c r="Q275">
        <f t="shared" si="8"/>
        <v>11216.790941728803</v>
      </c>
      <c r="R275">
        <f t="shared" si="9"/>
        <v>9522.5071736011487</v>
      </c>
    </row>
    <row r="276" spans="1:18" ht="16" x14ac:dyDescent="0.4">
      <c r="A276" s="2">
        <v>155317</v>
      </c>
      <c r="B276" s="2" t="s">
        <v>321</v>
      </c>
      <c r="C276" s="2" t="s">
        <v>302</v>
      </c>
      <c r="D276" s="2">
        <v>17157</v>
      </c>
      <c r="E276" s="2">
        <v>52.1</v>
      </c>
      <c r="F276" s="2" t="s">
        <v>36</v>
      </c>
      <c r="G276" s="2" t="s">
        <v>37</v>
      </c>
      <c r="H276" s="2">
        <v>1</v>
      </c>
      <c r="I276" s="2">
        <v>11</v>
      </c>
      <c r="J276" s="2" t="s">
        <v>38</v>
      </c>
      <c r="K276" s="2">
        <v>643</v>
      </c>
      <c r="L276" s="2">
        <v>50.4</v>
      </c>
      <c r="M276" s="2">
        <v>38195219</v>
      </c>
      <c r="N276" s="2">
        <v>16395897</v>
      </c>
      <c r="O276" s="2"/>
      <c r="P276" s="2"/>
      <c r="Q276">
        <f t="shared" si="8"/>
        <v>50593.377397615346</v>
      </c>
      <c r="R276">
        <f t="shared" si="9"/>
        <v>119761.25959464203</v>
      </c>
    </row>
    <row r="277" spans="1:18" ht="16" x14ac:dyDescent="0.4">
      <c r="A277" s="2">
        <v>155335</v>
      </c>
      <c r="B277" s="2" t="s">
        <v>322</v>
      </c>
      <c r="C277" s="2" t="s">
        <v>302</v>
      </c>
      <c r="D277" s="2">
        <v>907</v>
      </c>
      <c r="E277" s="2">
        <v>64.400000000000006</v>
      </c>
      <c r="F277" s="2" t="s">
        <v>47</v>
      </c>
      <c r="G277" s="2" t="s">
        <v>37</v>
      </c>
      <c r="H277" s="2">
        <v>2</v>
      </c>
      <c r="I277" s="2">
        <v>9</v>
      </c>
      <c r="J277" s="2" t="s">
        <v>41</v>
      </c>
      <c r="K277" s="2">
        <v>221</v>
      </c>
      <c r="L277" s="2">
        <v>43</v>
      </c>
      <c r="M277" s="2">
        <v>2149794</v>
      </c>
      <c r="N277" s="2">
        <v>2067763</v>
      </c>
      <c r="O277" s="2"/>
      <c r="P277" s="2"/>
      <c r="Q277">
        <f t="shared" si="8"/>
        <v>21759.055035252026</v>
      </c>
      <c r="R277">
        <f t="shared" si="9"/>
        <v>17065.920457251726</v>
      </c>
    </row>
    <row r="278" spans="1:18" ht="16" x14ac:dyDescent="0.4">
      <c r="A278" s="2">
        <v>155399</v>
      </c>
      <c r="B278" s="2" t="s">
        <v>323</v>
      </c>
      <c r="C278" s="2" t="s">
        <v>302</v>
      </c>
      <c r="D278" s="2">
        <v>15475</v>
      </c>
      <c r="E278" s="2">
        <v>47.5</v>
      </c>
      <c r="F278" s="2" t="s">
        <v>36</v>
      </c>
      <c r="G278" s="2" t="s">
        <v>37</v>
      </c>
      <c r="H278" s="2">
        <v>1</v>
      </c>
      <c r="I278" s="2">
        <v>38</v>
      </c>
      <c r="J278" s="2" t="s">
        <v>38</v>
      </c>
      <c r="K278" s="2">
        <v>567</v>
      </c>
      <c r="L278" s="2">
        <v>46.9</v>
      </c>
      <c r="M278" s="2">
        <v>35136395</v>
      </c>
      <c r="N278" s="2">
        <v>11967900</v>
      </c>
      <c r="O278" s="2"/>
      <c r="P278" s="2"/>
      <c r="Q278">
        <f t="shared" si="8"/>
        <v>45005.133064834554</v>
      </c>
      <c r="R278">
        <f t="shared" si="9"/>
        <v>116702.35521145753</v>
      </c>
    </row>
    <row r="279" spans="1:18" ht="16" x14ac:dyDescent="0.4">
      <c r="A279" s="2">
        <v>155681</v>
      </c>
      <c r="B279" s="2" t="s">
        <v>324</v>
      </c>
      <c r="C279" s="2" t="s">
        <v>302</v>
      </c>
      <c r="D279" s="2">
        <v>4586</v>
      </c>
      <c r="E279" s="2">
        <v>48.7</v>
      </c>
      <c r="F279" s="2" t="s">
        <v>36</v>
      </c>
      <c r="G279" s="2" t="s">
        <v>37</v>
      </c>
      <c r="H279" s="2">
        <v>2</v>
      </c>
      <c r="I279" s="2">
        <v>38</v>
      </c>
      <c r="J279" s="2" t="s">
        <v>38</v>
      </c>
      <c r="K279" s="2">
        <v>513</v>
      </c>
      <c r="L279" s="2">
        <v>32.200000000000003</v>
      </c>
      <c r="M279" s="2">
        <v>3870134</v>
      </c>
      <c r="N279" s="2">
        <v>1467676</v>
      </c>
      <c r="O279" s="2"/>
      <c r="P279" s="2"/>
      <c r="Q279">
        <f t="shared" si="8"/>
        <v>8884.9902534113062</v>
      </c>
      <c r="R279">
        <f t="shared" si="9"/>
        <v>11127.021914011513</v>
      </c>
    </row>
    <row r="280" spans="1:18" ht="16" x14ac:dyDescent="0.4">
      <c r="A280" s="2">
        <v>156082</v>
      </c>
      <c r="B280" s="2" t="s">
        <v>325</v>
      </c>
      <c r="C280" s="2" t="s">
        <v>302</v>
      </c>
      <c r="D280" s="2">
        <v>3552</v>
      </c>
      <c r="E280" s="2">
        <v>60.4</v>
      </c>
      <c r="F280" s="2" t="s">
        <v>36</v>
      </c>
      <c r="G280" s="2" t="s">
        <v>37</v>
      </c>
      <c r="H280" s="2">
        <v>2</v>
      </c>
      <c r="I280" s="2">
        <v>38</v>
      </c>
      <c r="J280" s="2" t="s">
        <v>38</v>
      </c>
      <c r="K280" s="2">
        <v>539</v>
      </c>
      <c r="L280" s="2">
        <v>34</v>
      </c>
      <c r="M280" s="2">
        <v>3442681</v>
      </c>
      <c r="N280" s="2">
        <v>2184620</v>
      </c>
      <c r="O280" s="2"/>
      <c r="P280" s="2"/>
      <c r="Q280">
        <f t="shared" si="8"/>
        <v>11920.877441885845</v>
      </c>
      <c r="R280">
        <f t="shared" si="9"/>
        <v>9677.5200989486693</v>
      </c>
    </row>
    <row r="281" spans="1:18" ht="16" x14ac:dyDescent="0.4">
      <c r="A281" s="2">
        <v>156125</v>
      </c>
      <c r="B281" s="2" t="s">
        <v>326</v>
      </c>
      <c r="C281" s="2" t="s">
        <v>302</v>
      </c>
      <c r="D281" s="2">
        <v>8927</v>
      </c>
      <c r="E281" s="2">
        <v>54</v>
      </c>
      <c r="F281" s="2" t="s">
        <v>36</v>
      </c>
      <c r="G281" s="2" t="s">
        <v>37</v>
      </c>
      <c r="H281" s="2">
        <v>1</v>
      </c>
      <c r="I281" s="2">
        <v>7</v>
      </c>
      <c r="J281" s="2" t="s">
        <v>41</v>
      </c>
      <c r="K281" s="2">
        <v>443</v>
      </c>
      <c r="L281" s="2">
        <v>49.7</v>
      </c>
      <c r="M281" s="2">
        <v>11691975</v>
      </c>
      <c r="N281" s="2">
        <v>7011215</v>
      </c>
      <c r="O281" s="2"/>
      <c r="P281" s="2"/>
      <c r="Q281">
        <f t="shared" si="8"/>
        <v>31844.407301597392</v>
      </c>
      <c r="R281">
        <f t="shared" si="9"/>
        <v>52470.616481696728</v>
      </c>
    </row>
    <row r="282" spans="1:18" ht="16" x14ac:dyDescent="0.4">
      <c r="A282" s="2">
        <v>156286</v>
      </c>
      <c r="B282" s="2" t="s">
        <v>327</v>
      </c>
      <c r="C282" s="2" t="s">
        <v>35</v>
      </c>
      <c r="D282" s="2">
        <v>2405</v>
      </c>
      <c r="E282" s="2">
        <v>64.7</v>
      </c>
      <c r="F282" s="2" t="s">
        <v>47</v>
      </c>
      <c r="G282" s="2" t="s">
        <v>37</v>
      </c>
      <c r="H282" s="2">
        <v>2</v>
      </c>
      <c r="I282" s="2">
        <v>38</v>
      </c>
      <c r="J282" s="2" t="s">
        <v>41</v>
      </c>
      <c r="K282" s="2">
        <v>470</v>
      </c>
      <c r="L282" s="2">
        <v>45.3</v>
      </c>
      <c r="M282" s="2">
        <v>4516877</v>
      </c>
      <c r="N282" s="2">
        <v>2655802</v>
      </c>
      <c r="O282" s="2"/>
      <c r="P282" s="2"/>
      <c r="Q282">
        <f t="shared" si="8"/>
        <v>12473.824620731766</v>
      </c>
      <c r="R282">
        <f t="shared" si="9"/>
        <v>17569.244233536891</v>
      </c>
    </row>
    <row r="283" spans="1:18" ht="16" x14ac:dyDescent="0.4">
      <c r="A283" s="2">
        <v>156295</v>
      </c>
      <c r="B283" s="2" t="s">
        <v>328</v>
      </c>
      <c r="C283" s="2" t="s">
        <v>35</v>
      </c>
      <c r="D283" s="2">
        <v>1649</v>
      </c>
      <c r="E283" s="2">
        <v>58</v>
      </c>
      <c r="F283" s="2" t="s">
        <v>47</v>
      </c>
      <c r="G283" s="2" t="s">
        <v>37</v>
      </c>
      <c r="H283" s="2">
        <v>3</v>
      </c>
      <c r="I283" s="2">
        <v>9</v>
      </c>
      <c r="J283" s="2" t="s">
        <v>41</v>
      </c>
      <c r="K283" s="2">
        <v>225</v>
      </c>
      <c r="L283" s="2">
        <v>53.3</v>
      </c>
      <c r="M283" s="2">
        <v>381722</v>
      </c>
      <c r="N283" s="2">
        <v>439924</v>
      </c>
      <c r="O283" s="2"/>
      <c r="P283" s="2"/>
      <c r="Q283">
        <f t="shared" si="8"/>
        <v>3668.3260371065244</v>
      </c>
      <c r="R283">
        <f t="shared" si="9"/>
        <v>3632.8527242445871</v>
      </c>
    </row>
    <row r="284" spans="1:18" ht="16" x14ac:dyDescent="0.4">
      <c r="A284" s="2">
        <v>156408</v>
      </c>
      <c r="B284" s="2" t="s">
        <v>329</v>
      </c>
      <c r="C284" s="2" t="s">
        <v>35</v>
      </c>
      <c r="D284" s="2">
        <v>1401</v>
      </c>
      <c r="E284" s="2">
        <v>51.7</v>
      </c>
      <c r="F284" s="2" t="s">
        <v>47</v>
      </c>
      <c r="G284" s="2" t="s">
        <v>37</v>
      </c>
      <c r="H284" s="2">
        <v>3</v>
      </c>
      <c r="I284" s="2">
        <v>38</v>
      </c>
      <c r="J284" s="2" t="s">
        <v>38</v>
      </c>
      <c r="K284" s="2">
        <v>642</v>
      </c>
      <c r="L284" s="2">
        <v>41.1</v>
      </c>
      <c r="M284" s="2">
        <v>1514332</v>
      </c>
      <c r="N284" s="2">
        <v>941459</v>
      </c>
      <c r="O284" s="2"/>
      <c r="P284" s="2"/>
      <c r="Q284">
        <f t="shared" si="8"/>
        <v>3567.9976654463317</v>
      </c>
      <c r="R284">
        <f t="shared" si="9"/>
        <v>4004.7072761795962</v>
      </c>
    </row>
    <row r="285" spans="1:18" ht="16" x14ac:dyDescent="0.4">
      <c r="A285" s="2">
        <v>156620</v>
      </c>
      <c r="B285" s="2" t="s">
        <v>330</v>
      </c>
      <c r="C285" s="2" t="s">
        <v>35</v>
      </c>
      <c r="D285" s="2">
        <v>9904</v>
      </c>
      <c r="E285" s="2">
        <v>57.9</v>
      </c>
      <c r="F285" s="2" t="s">
        <v>36</v>
      </c>
      <c r="G285" s="2" t="s">
        <v>37</v>
      </c>
      <c r="H285" s="2">
        <v>1</v>
      </c>
      <c r="I285" s="2">
        <v>38</v>
      </c>
      <c r="J285" s="2" t="s">
        <v>38</v>
      </c>
      <c r="K285" s="2">
        <v>472</v>
      </c>
      <c r="L285" s="2">
        <v>38.1</v>
      </c>
      <c r="M285" s="2">
        <v>7438095</v>
      </c>
      <c r="N285" s="2">
        <v>4129020</v>
      </c>
      <c r="O285" s="2"/>
      <c r="P285" s="2"/>
      <c r="Q285">
        <f t="shared" si="8"/>
        <v>22960.429734418791</v>
      </c>
      <c r="R285">
        <f t="shared" si="9"/>
        <v>25458.280852112483</v>
      </c>
    </row>
    <row r="286" spans="1:18" ht="16" x14ac:dyDescent="0.4">
      <c r="A286" s="2">
        <v>157058</v>
      </c>
      <c r="B286" s="2" t="s">
        <v>331</v>
      </c>
      <c r="C286" s="2" t="s">
        <v>35</v>
      </c>
      <c r="D286" s="2">
        <v>1139</v>
      </c>
      <c r="E286" s="2">
        <v>54.9</v>
      </c>
      <c r="F286" s="2" t="s">
        <v>36</v>
      </c>
      <c r="G286" s="2" t="s">
        <v>37</v>
      </c>
      <c r="H286" s="2">
        <v>2</v>
      </c>
      <c r="I286" s="2">
        <v>8</v>
      </c>
      <c r="J286" s="2" t="s">
        <v>38</v>
      </c>
      <c r="K286" s="2">
        <v>312</v>
      </c>
      <c r="L286" s="2">
        <v>29.5</v>
      </c>
      <c r="M286" s="2">
        <v>2536535</v>
      </c>
      <c r="N286" s="2">
        <v>1228619</v>
      </c>
      <c r="O286" s="2"/>
      <c r="P286" s="2"/>
      <c r="Q286">
        <f t="shared" si="8"/>
        <v>13348.750543242069</v>
      </c>
      <c r="R286">
        <f t="shared" si="9"/>
        <v>11531.801236588472</v>
      </c>
    </row>
    <row r="287" spans="1:18" ht="16" x14ac:dyDescent="0.4">
      <c r="A287" s="2">
        <v>157076</v>
      </c>
      <c r="B287" s="2" t="s">
        <v>332</v>
      </c>
      <c r="C287" s="2" t="s">
        <v>35</v>
      </c>
      <c r="D287" s="2">
        <v>803</v>
      </c>
      <c r="E287" s="2">
        <v>48.8</v>
      </c>
      <c r="F287" s="2" t="s">
        <v>47</v>
      </c>
      <c r="G287" s="2" t="s">
        <v>37</v>
      </c>
      <c r="H287" s="2">
        <v>2</v>
      </c>
      <c r="I287" s="2">
        <v>38</v>
      </c>
      <c r="J287" s="2" t="s">
        <v>38</v>
      </c>
      <c r="K287" s="2">
        <v>473</v>
      </c>
      <c r="L287" s="2">
        <v>33.799999999999997</v>
      </c>
      <c r="M287" s="2">
        <v>3762571</v>
      </c>
      <c r="N287" s="2">
        <v>1870845</v>
      </c>
      <c r="O287" s="2"/>
      <c r="P287" s="2"/>
      <c r="Q287">
        <f t="shared" si="8"/>
        <v>11701.996572300686</v>
      </c>
      <c r="R287">
        <f t="shared" si="9"/>
        <v>12016.156435428547</v>
      </c>
    </row>
    <row r="288" spans="1:18" ht="16" x14ac:dyDescent="0.4">
      <c r="A288" s="2">
        <v>157085</v>
      </c>
      <c r="B288" s="2" t="s">
        <v>333</v>
      </c>
      <c r="C288" s="2" t="s">
        <v>35</v>
      </c>
      <c r="D288" s="2">
        <v>20537</v>
      </c>
      <c r="E288" s="2">
        <v>56.2</v>
      </c>
      <c r="F288" s="2" t="s">
        <v>36</v>
      </c>
      <c r="G288" s="2" t="s">
        <v>37</v>
      </c>
      <c r="H288" s="2">
        <v>1</v>
      </c>
      <c r="I288" s="2">
        <v>38</v>
      </c>
      <c r="J288" s="2" t="s">
        <v>38</v>
      </c>
      <c r="K288" s="2">
        <v>546</v>
      </c>
      <c r="L288" s="2">
        <v>42.7</v>
      </c>
      <c r="M288" s="2">
        <v>57981585</v>
      </c>
      <c r="N288" s="2">
        <v>18749917</v>
      </c>
      <c r="O288" s="2"/>
      <c r="P288" s="2"/>
      <c r="Q288">
        <f t="shared" si="8"/>
        <v>80422.733784560478</v>
      </c>
      <c r="R288">
        <f t="shared" si="9"/>
        <v>185328.75937326203</v>
      </c>
    </row>
    <row r="289" spans="1:18" ht="16" x14ac:dyDescent="0.4">
      <c r="A289" s="2">
        <v>157289</v>
      </c>
      <c r="B289" s="2" t="s">
        <v>334</v>
      </c>
      <c r="C289" s="2" t="s">
        <v>35</v>
      </c>
      <c r="D289" s="2">
        <v>11499</v>
      </c>
      <c r="E289" s="2">
        <v>55.1</v>
      </c>
      <c r="F289" s="2" t="s">
        <v>36</v>
      </c>
      <c r="G289" s="2" t="s">
        <v>37</v>
      </c>
      <c r="H289" s="2">
        <v>1</v>
      </c>
      <c r="I289" s="2">
        <v>38</v>
      </c>
      <c r="J289" s="2" t="s">
        <v>38</v>
      </c>
      <c r="K289" s="2">
        <v>672</v>
      </c>
      <c r="L289" s="2">
        <v>50.9</v>
      </c>
      <c r="M289" s="2">
        <v>57265600</v>
      </c>
      <c r="N289" s="2">
        <v>19690499</v>
      </c>
      <c r="O289" s="2"/>
      <c r="P289" s="2"/>
      <c r="Q289">
        <f t="shared" si="8"/>
        <v>57566.478973711295</v>
      </c>
      <c r="R289">
        <f t="shared" si="9"/>
        <v>173557.36591989134</v>
      </c>
    </row>
    <row r="290" spans="1:18" ht="16" x14ac:dyDescent="0.4">
      <c r="A290" s="2">
        <v>157386</v>
      </c>
      <c r="B290" s="2" t="s">
        <v>335</v>
      </c>
      <c r="C290" s="2" t="s">
        <v>35</v>
      </c>
      <c r="D290" s="2">
        <v>5217</v>
      </c>
      <c r="E290" s="2">
        <v>60.7</v>
      </c>
      <c r="F290" s="2" t="s">
        <v>36</v>
      </c>
      <c r="G290" s="2" t="s">
        <v>37</v>
      </c>
      <c r="H290" s="2">
        <v>1</v>
      </c>
      <c r="I290" s="2">
        <v>38</v>
      </c>
      <c r="J290" s="2" t="s">
        <v>38</v>
      </c>
      <c r="K290" s="2">
        <v>348</v>
      </c>
      <c r="L290" s="2">
        <v>46.3</v>
      </c>
      <c r="M290" s="2">
        <v>3220268</v>
      </c>
      <c r="N290" s="2">
        <v>2960295</v>
      </c>
      <c r="O290" s="2"/>
      <c r="P290" s="2"/>
      <c r="Q290">
        <f t="shared" si="8"/>
        <v>18372.775005585761</v>
      </c>
      <c r="R290">
        <f t="shared" si="9"/>
        <v>17232.111132515678</v>
      </c>
    </row>
    <row r="291" spans="1:18" ht="16" x14ac:dyDescent="0.4">
      <c r="A291" s="2">
        <v>157401</v>
      </c>
      <c r="B291" s="2" t="s">
        <v>336</v>
      </c>
      <c r="C291" s="2" t="s">
        <v>35</v>
      </c>
      <c r="D291" s="2">
        <v>6127</v>
      </c>
      <c r="E291" s="2">
        <v>60.4</v>
      </c>
      <c r="F291" s="2" t="s">
        <v>36</v>
      </c>
      <c r="G291" s="2" t="s">
        <v>37</v>
      </c>
      <c r="H291" s="2">
        <v>1</v>
      </c>
      <c r="I291" s="2">
        <v>13</v>
      </c>
      <c r="J291" s="2" t="s">
        <v>38</v>
      </c>
      <c r="K291" s="2">
        <v>385</v>
      </c>
      <c r="L291" s="2">
        <v>57.4</v>
      </c>
      <c r="M291" s="2">
        <v>6896027</v>
      </c>
      <c r="N291" s="2">
        <v>4447257</v>
      </c>
      <c r="O291" s="2"/>
      <c r="P291" s="2"/>
      <c r="Q291">
        <f t="shared" si="8"/>
        <v>20124.245440970182</v>
      </c>
      <c r="R291">
        <f t="shared" si="9"/>
        <v>42046.381318212298</v>
      </c>
    </row>
    <row r="292" spans="1:18" ht="16" x14ac:dyDescent="0.4">
      <c r="A292" s="2">
        <v>157447</v>
      </c>
      <c r="B292" s="2" t="s">
        <v>337</v>
      </c>
      <c r="C292" s="2" t="s">
        <v>35</v>
      </c>
      <c r="D292" s="2">
        <v>8162</v>
      </c>
      <c r="E292" s="2">
        <v>57.8</v>
      </c>
      <c r="F292" s="2" t="s">
        <v>36</v>
      </c>
      <c r="G292" s="2" t="s">
        <v>37</v>
      </c>
      <c r="H292" s="2">
        <v>1</v>
      </c>
      <c r="I292" s="2">
        <v>38</v>
      </c>
      <c r="J292" s="2" t="s">
        <v>41</v>
      </c>
      <c r="K292" s="2">
        <v>255</v>
      </c>
      <c r="L292" s="2">
        <v>52.9</v>
      </c>
      <c r="M292" s="2">
        <v>4474244</v>
      </c>
      <c r="N292" s="2">
        <v>4319682</v>
      </c>
      <c r="O292" s="2"/>
      <c r="P292" s="2"/>
      <c r="Q292">
        <f t="shared" si="8"/>
        <v>32022.550872901142</v>
      </c>
      <c r="R292">
        <f t="shared" si="9"/>
        <v>37252.770492485739</v>
      </c>
    </row>
    <row r="293" spans="1:18" ht="16" x14ac:dyDescent="0.4">
      <c r="A293" s="2">
        <v>157757</v>
      </c>
      <c r="B293" s="2" t="s">
        <v>338</v>
      </c>
      <c r="C293" s="2" t="s">
        <v>35</v>
      </c>
      <c r="D293" s="2">
        <v>744</v>
      </c>
      <c r="E293" s="2">
        <v>68.3</v>
      </c>
      <c r="F293" s="2" t="s">
        <v>47</v>
      </c>
      <c r="G293" s="2" t="s">
        <v>37</v>
      </c>
      <c r="H293" s="2">
        <v>3</v>
      </c>
      <c r="I293" s="2">
        <v>11</v>
      </c>
      <c r="J293" s="2" t="s">
        <v>41</v>
      </c>
      <c r="K293" s="2">
        <v>223</v>
      </c>
      <c r="L293" s="2">
        <v>42.6</v>
      </c>
      <c r="M293" s="2">
        <v>435588</v>
      </c>
      <c r="N293" s="2">
        <v>411005</v>
      </c>
      <c r="O293" s="2"/>
      <c r="P293" s="2"/>
      <c r="Q293">
        <f t="shared" si="8"/>
        <v>4326.459504410619</v>
      </c>
      <c r="R293">
        <f t="shared" si="9"/>
        <v>3402.9780784675245</v>
      </c>
    </row>
    <row r="294" spans="1:18" ht="16" x14ac:dyDescent="0.4">
      <c r="A294" s="2">
        <v>157818</v>
      </c>
      <c r="B294" s="2" t="s">
        <v>339</v>
      </c>
      <c r="C294" s="2" t="s">
        <v>35</v>
      </c>
      <c r="D294" s="2">
        <v>943</v>
      </c>
      <c r="E294" s="2">
        <v>60.1</v>
      </c>
      <c r="F294" s="2" t="s">
        <v>47</v>
      </c>
      <c r="G294" s="2" t="s">
        <v>37</v>
      </c>
      <c r="H294" s="2">
        <v>3</v>
      </c>
      <c r="I294" s="2">
        <v>37</v>
      </c>
      <c r="J294" s="2" t="s">
        <v>41</v>
      </c>
      <c r="K294" s="2">
        <v>358</v>
      </c>
      <c r="L294" s="2">
        <v>49.7</v>
      </c>
      <c r="M294" s="2">
        <v>978146</v>
      </c>
      <c r="N294" s="2">
        <v>1189480</v>
      </c>
      <c r="O294" s="2"/>
      <c r="P294" s="2"/>
      <c r="Q294">
        <f t="shared" si="8"/>
        <v>6685.2511718354817</v>
      </c>
      <c r="R294">
        <f t="shared" si="9"/>
        <v>5431.9113253440246</v>
      </c>
    </row>
    <row r="295" spans="1:18" ht="16" x14ac:dyDescent="0.4">
      <c r="A295" s="2">
        <v>157951</v>
      </c>
      <c r="B295" s="2" t="s">
        <v>340</v>
      </c>
      <c r="C295" s="2" t="s">
        <v>35</v>
      </c>
      <c r="D295" s="2">
        <v>11604</v>
      </c>
      <c r="E295" s="2">
        <v>59</v>
      </c>
      <c r="F295" s="2" t="s">
        <v>36</v>
      </c>
      <c r="G295" s="2" t="s">
        <v>37</v>
      </c>
      <c r="H295" s="2">
        <v>1</v>
      </c>
      <c r="I295" s="2">
        <v>9</v>
      </c>
      <c r="J295" s="2" t="s">
        <v>38</v>
      </c>
      <c r="K295" s="2">
        <v>421</v>
      </c>
      <c r="L295" s="2">
        <v>38.700000000000003</v>
      </c>
      <c r="M295" s="2">
        <v>14776010</v>
      </c>
      <c r="N295" s="2">
        <v>5011713</v>
      </c>
      <c r="O295" s="2"/>
      <c r="P295" s="2"/>
      <c r="Q295">
        <f t="shared" si="8"/>
        <v>30760.481688117994</v>
      </c>
      <c r="R295">
        <f t="shared" si="9"/>
        <v>57255.156486730506</v>
      </c>
    </row>
    <row r="296" spans="1:18" ht="16" x14ac:dyDescent="0.4">
      <c r="A296" s="2">
        <v>158477</v>
      </c>
      <c r="B296" s="2" t="s">
        <v>341</v>
      </c>
      <c r="C296" s="2" t="s">
        <v>68</v>
      </c>
      <c r="D296" s="2">
        <v>535</v>
      </c>
      <c r="E296" s="2">
        <v>59.8</v>
      </c>
      <c r="F296" s="2" t="s">
        <v>47</v>
      </c>
      <c r="G296" s="2" t="s">
        <v>37</v>
      </c>
      <c r="H296" s="2">
        <v>3</v>
      </c>
      <c r="I296" s="2">
        <v>38</v>
      </c>
      <c r="J296" s="2" t="s">
        <v>41</v>
      </c>
      <c r="K296" s="2">
        <v>244</v>
      </c>
      <c r="L296" s="2">
        <v>46.3</v>
      </c>
      <c r="M296" s="2">
        <v>611660</v>
      </c>
      <c r="N296" s="2">
        <v>608935</v>
      </c>
      <c r="O296" s="2"/>
      <c r="P296" s="2"/>
      <c r="Q296">
        <f t="shared" si="8"/>
        <v>5390.1409198739511</v>
      </c>
      <c r="R296">
        <f t="shared" si="9"/>
        <v>4668.1625301462273</v>
      </c>
    </row>
    <row r="297" spans="1:18" ht="16" x14ac:dyDescent="0.4">
      <c r="A297" s="2">
        <v>159009</v>
      </c>
      <c r="B297" s="2" t="s">
        <v>342</v>
      </c>
      <c r="C297" s="2" t="s">
        <v>68</v>
      </c>
      <c r="D297" s="2">
        <v>3813</v>
      </c>
      <c r="E297" s="2">
        <v>62.7</v>
      </c>
      <c r="F297" s="2" t="s">
        <v>36</v>
      </c>
      <c r="G297" s="2" t="s">
        <v>37</v>
      </c>
      <c r="H297" s="2">
        <v>1</v>
      </c>
      <c r="I297" s="2">
        <v>12</v>
      </c>
      <c r="J297" s="2" t="s">
        <v>38</v>
      </c>
      <c r="K297" s="2">
        <v>367</v>
      </c>
      <c r="L297" s="2">
        <v>44.4</v>
      </c>
      <c r="M297" s="2">
        <v>5321345</v>
      </c>
      <c r="N297" s="2">
        <v>2680568</v>
      </c>
      <c r="O297" s="2"/>
      <c r="P297" s="2"/>
      <c r="Q297">
        <f t="shared" si="8"/>
        <v>16450.450450450451</v>
      </c>
      <c r="R297">
        <f t="shared" si="9"/>
        <v>26078.377080352064</v>
      </c>
    </row>
    <row r="298" spans="1:18" ht="16" x14ac:dyDescent="0.4">
      <c r="A298" s="2">
        <v>159391</v>
      </c>
      <c r="B298" s="2" t="s">
        <v>343</v>
      </c>
      <c r="C298" s="2" t="s">
        <v>68</v>
      </c>
      <c r="D298" s="2">
        <v>22585</v>
      </c>
      <c r="E298" s="2">
        <v>53.3</v>
      </c>
      <c r="F298" s="2" t="s">
        <v>36</v>
      </c>
      <c r="G298" s="2" t="s">
        <v>37</v>
      </c>
      <c r="H298" s="2">
        <v>1</v>
      </c>
      <c r="I298" s="2">
        <v>38</v>
      </c>
      <c r="J298" s="2" t="s">
        <v>38</v>
      </c>
      <c r="K298" s="2">
        <v>558</v>
      </c>
      <c r="L298" s="2">
        <v>49.1</v>
      </c>
      <c r="M298" s="2">
        <v>61360375</v>
      </c>
      <c r="N298" s="2">
        <v>21254601</v>
      </c>
      <c r="O298" s="2"/>
      <c r="P298" s="2"/>
      <c r="Q298">
        <f t="shared" si="8"/>
        <v>77577.765368022243</v>
      </c>
      <c r="R298">
        <f t="shared" si="9"/>
        <v>216040.92288625528</v>
      </c>
    </row>
    <row r="299" spans="1:18" ht="16" x14ac:dyDescent="0.4">
      <c r="A299" s="2">
        <v>159568</v>
      </c>
      <c r="B299" s="2" t="s">
        <v>344</v>
      </c>
      <c r="C299" s="2" t="s">
        <v>68</v>
      </c>
      <c r="D299" s="2">
        <v>889</v>
      </c>
      <c r="E299" s="2">
        <v>47.2</v>
      </c>
      <c r="F299" s="2" t="s">
        <v>47</v>
      </c>
      <c r="G299" s="2" t="s">
        <v>37</v>
      </c>
      <c r="H299" s="2">
        <v>3</v>
      </c>
      <c r="I299" s="2">
        <v>38</v>
      </c>
      <c r="J299" s="2" t="s">
        <v>38</v>
      </c>
      <c r="K299" s="2">
        <v>337</v>
      </c>
      <c r="L299" s="2">
        <v>28.2</v>
      </c>
      <c r="M299" s="2">
        <v>1077612</v>
      </c>
      <c r="N299" s="2">
        <v>489702</v>
      </c>
      <c r="O299" s="2"/>
      <c r="P299" s="2"/>
      <c r="Q299">
        <f t="shared" si="8"/>
        <v>5152.9136940463413</v>
      </c>
      <c r="R299">
        <f t="shared" si="9"/>
        <v>4453.5678566410161</v>
      </c>
    </row>
    <row r="300" spans="1:18" ht="16" x14ac:dyDescent="0.4">
      <c r="A300" s="2">
        <v>159647</v>
      </c>
      <c r="B300" s="2" t="s">
        <v>345</v>
      </c>
      <c r="C300" s="2" t="s">
        <v>68</v>
      </c>
      <c r="D300" s="2">
        <v>7701</v>
      </c>
      <c r="E300" s="2">
        <v>44.5</v>
      </c>
      <c r="F300" s="2" t="s">
        <v>36</v>
      </c>
      <c r="G300" s="2" t="s">
        <v>37</v>
      </c>
      <c r="H300" s="2">
        <v>1</v>
      </c>
      <c r="I300" s="2">
        <v>37</v>
      </c>
      <c r="J300" s="2" t="s">
        <v>38</v>
      </c>
      <c r="K300" s="2">
        <v>442</v>
      </c>
      <c r="L300" s="2">
        <v>40.700000000000003</v>
      </c>
      <c r="M300" s="2">
        <v>12277993</v>
      </c>
      <c r="N300" s="2">
        <v>4944029</v>
      </c>
      <c r="O300" s="2"/>
      <c r="P300" s="2"/>
      <c r="Q300">
        <f t="shared" si="8"/>
        <v>27483.012218306336</v>
      </c>
      <c r="R300">
        <f t="shared" si="9"/>
        <v>46843.616704691995</v>
      </c>
    </row>
    <row r="301" spans="1:18" ht="16" x14ac:dyDescent="0.4">
      <c r="A301" s="2">
        <v>159717</v>
      </c>
      <c r="B301" s="2" t="s">
        <v>346</v>
      </c>
      <c r="C301" s="2" t="s">
        <v>68</v>
      </c>
      <c r="D301" s="2">
        <v>5231</v>
      </c>
      <c r="E301" s="2">
        <v>59.1</v>
      </c>
      <c r="F301" s="2" t="s">
        <v>36</v>
      </c>
      <c r="G301" s="2" t="s">
        <v>37</v>
      </c>
      <c r="H301" s="2">
        <v>1</v>
      </c>
      <c r="I301" s="2">
        <v>38</v>
      </c>
      <c r="J301" s="2" t="s">
        <v>38</v>
      </c>
      <c r="K301" s="2">
        <v>478</v>
      </c>
      <c r="L301" s="2">
        <v>41.6</v>
      </c>
      <c r="M301" s="2">
        <v>6279052</v>
      </c>
      <c r="N301" s="2">
        <v>3782389</v>
      </c>
      <c r="O301" s="2"/>
      <c r="P301" s="2"/>
      <c r="Q301">
        <f t="shared" si="8"/>
        <v>19021.508891213387</v>
      </c>
      <c r="R301">
        <f t="shared" si="9"/>
        <v>22493.30830515275</v>
      </c>
    </row>
    <row r="302" spans="1:18" ht="16" x14ac:dyDescent="0.4">
      <c r="A302" s="2">
        <v>159939</v>
      </c>
      <c r="B302" s="2" t="s">
        <v>347</v>
      </c>
      <c r="C302" s="2" t="s">
        <v>68</v>
      </c>
      <c r="D302" s="2">
        <v>4855</v>
      </c>
      <c r="E302" s="2">
        <v>50.4</v>
      </c>
      <c r="F302" s="2" t="s">
        <v>36</v>
      </c>
      <c r="G302" s="2" t="s">
        <v>37</v>
      </c>
      <c r="H302" s="2">
        <v>1</v>
      </c>
      <c r="I302" s="2">
        <v>38</v>
      </c>
      <c r="J302" s="2" t="s">
        <v>41</v>
      </c>
      <c r="K302" s="2">
        <v>268</v>
      </c>
      <c r="L302" s="2">
        <v>47</v>
      </c>
      <c r="M302" s="2">
        <v>2221606</v>
      </c>
      <c r="N302" s="2">
        <v>1883722</v>
      </c>
      <c r="O302" s="2"/>
      <c r="P302" s="2"/>
      <c r="Q302">
        <f t="shared" si="8"/>
        <v>14954.922197523023</v>
      </c>
      <c r="R302">
        <f t="shared" si="9"/>
        <v>15640.706843142774</v>
      </c>
    </row>
    <row r="303" spans="1:18" ht="16" x14ac:dyDescent="0.4">
      <c r="A303" s="2">
        <v>159966</v>
      </c>
      <c r="B303" s="2" t="s">
        <v>348</v>
      </c>
      <c r="C303" s="2" t="s">
        <v>68</v>
      </c>
      <c r="D303" s="2">
        <v>4971</v>
      </c>
      <c r="E303" s="2">
        <v>63.5</v>
      </c>
      <c r="F303" s="2" t="s">
        <v>36</v>
      </c>
      <c r="G303" s="2" t="s">
        <v>37</v>
      </c>
      <c r="H303" s="2">
        <v>1</v>
      </c>
      <c r="I303" s="2">
        <v>10</v>
      </c>
      <c r="J303" s="2" t="s">
        <v>38</v>
      </c>
      <c r="K303" s="2">
        <v>418</v>
      </c>
      <c r="L303" s="2">
        <v>42.8</v>
      </c>
      <c r="M303" s="2">
        <v>4900943</v>
      </c>
      <c r="N303" s="2">
        <v>2441377</v>
      </c>
      <c r="O303" s="2"/>
      <c r="P303" s="2"/>
      <c r="Q303">
        <f t="shared" si="8"/>
        <v>13646.296337700667</v>
      </c>
      <c r="R303">
        <f t="shared" si="9"/>
        <v>20497.804229263558</v>
      </c>
    </row>
    <row r="304" spans="1:18" ht="16" x14ac:dyDescent="0.4">
      <c r="A304" s="2">
        <v>159993</v>
      </c>
      <c r="B304" s="2" t="s">
        <v>349</v>
      </c>
      <c r="C304" s="2" t="s">
        <v>68</v>
      </c>
      <c r="D304" s="2">
        <v>4734</v>
      </c>
      <c r="E304" s="2">
        <v>63.6</v>
      </c>
      <c r="F304" s="2" t="s">
        <v>36</v>
      </c>
      <c r="G304" s="2" t="s">
        <v>37</v>
      </c>
      <c r="H304" s="2">
        <v>1</v>
      </c>
      <c r="I304" s="2">
        <v>38</v>
      </c>
      <c r="J304" s="2" t="s">
        <v>38</v>
      </c>
      <c r="K304" s="2">
        <v>467</v>
      </c>
      <c r="L304" s="2">
        <v>44.8</v>
      </c>
      <c r="M304" s="2">
        <v>8803161</v>
      </c>
      <c r="N304" s="2">
        <v>3871439</v>
      </c>
      <c r="O304" s="2"/>
      <c r="P304" s="2"/>
      <c r="Q304">
        <f t="shared" si="8"/>
        <v>18504.507303456718</v>
      </c>
      <c r="R304">
        <f t="shared" si="9"/>
        <v>34149.369239363179</v>
      </c>
    </row>
    <row r="305" spans="1:18" ht="16" x14ac:dyDescent="0.4">
      <c r="A305" s="2">
        <v>160038</v>
      </c>
      <c r="B305" s="2" t="s">
        <v>350</v>
      </c>
      <c r="C305" s="2" t="s">
        <v>68</v>
      </c>
      <c r="D305" s="2">
        <v>6196</v>
      </c>
      <c r="E305" s="2">
        <v>70.2</v>
      </c>
      <c r="F305" s="2" t="s">
        <v>36</v>
      </c>
      <c r="G305" s="2" t="s">
        <v>37</v>
      </c>
      <c r="H305" s="2">
        <v>1</v>
      </c>
      <c r="I305" s="2">
        <v>38</v>
      </c>
      <c r="J305" s="2" t="s">
        <v>38</v>
      </c>
      <c r="K305" s="2">
        <v>463</v>
      </c>
      <c r="L305" s="2">
        <v>39.1</v>
      </c>
      <c r="M305" s="2">
        <v>5599034</v>
      </c>
      <c r="N305" s="2">
        <v>3803690</v>
      </c>
      <c r="O305" s="2"/>
      <c r="P305" s="2"/>
      <c r="Q305">
        <f t="shared" si="8"/>
        <v>21011.031137969319</v>
      </c>
      <c r="R305">
        <f t="shared" si="9"/>
        <v>19857.054194285149</v>
      </c>
    </row>
    <row r="306" spans="1:18" ht="16" x14ac:dyDescent="0.4">
      <c r="A306" s="2">
        <v>160612</v>
      </c>
      <c r="B306" s="2" t="s">
        <v>351</v>
      </c>
      <c r="C306" s="2" t="s">
        <v>68</v>
      </c>
      <c r="D306" s="2">
        <v>9240</v>
      </c>
      <c r="E306" s="2">
        <v>62.3</v>
      </c>
      <c r="F306" s="2" t="s">
        <v>36</v>
      </c>
      <c r="G306" s="2" t="s">
        <v>37</v>
      </c>
      <c r="H306" s="2">
        <v>1</v>
      </c>
      <c r="I306" s="2">
        <v>38</v>
      </c>
      <c r="J306" s="2" t="s">
        <v>38</v>
      </c>
      <c r="K306" s="2">
        <v>397</v>
      </c>
      <c r="L306" s="2">
        <v>40.1</v>
      </c>
      <c r="M306" s="2">
        <v>6531888</v>
      </c>
      <c r="N306" s="2">
        <v>3534526</v>
      </c>
      <c r="O306" s="2"/>
      <c r="P306" s="2"/>
      <c r="Q306">
        <f t="shared" si="8"/>
        <v>22202.214865858026</v>
      </c>
      <c r="R306">
        <f t="shared" si="9"/>
        <v>27467.643385491352</v>
      </c>
    </row>
    <row r="307" spans="1:18" ht="16" x14ac:dyDescent="0.4">
      <c r="A307" s="2">
        <v>160621</v>
      </c>
      <c r="B307" s="2" t="s">
        <v>352</v>
      </c>
      <c r="C307" s="2" t="s">
        <v>68</v>
      </c>
      <c r="D307" s="2">
        <v>4873</v>
      </c>
      <c r="E307" s="2">
        <v>65.3</v>
      </c>
      <c r="F307" s="2" t="s">
        <v>36</v>
      </c>
      <c r="G307" s="2" t="s">
        <v>37</v>
      </c>
      <c r="H307" s="2">
        <v>1</v>
      </c>
      <c r="I307" s="2">
        <v>38</v>
      </c>
      <c r="J307" s="2" t="s">
        <v>38</v>
      </c>
      <c r="K307" s="2">
        <v>424</v>
      </c>
      <c r="L307" s="2">
        <v>42</v>
      </c>
      <c r="M307" s="2">
        <v>6181719</v>
      </c>
      <c r="N307" s="2">
        <v>2655581</v>
      </c>
      <c r="O307" s="2"/>
      <c r="P307" s="2"/>
      <c r="Q307">
        <f t="shared" si="8"/>
        <v>14912.292228212042</v>
      </c>
      <c r="R307">
        <f t="shared" si="9"/>
        <v>25137.113695510736</v>
      </c>
    </row>
    <row r="308" spans="1:18" ht="16" x14ac:dyDescent="0.4">
      <c r="A308" s="2">
        <v>160658</v>
      </c>
      <c r="B308" s="2" t="s">
        <v>353</v>
      </c>
      <c r="C308" s="2" t="s">
        <v>68</v>
      </c>
      <c r="D308" s="2">
        <v>11901</v>
      </c>
      <c r="E308" s="2">
        <v>55.8</v>
      </c>
      <c r="F308" s="2" t="s">
        <v>36</v>
      </c>
      <c r="G308" s="2" t="s">
        <v>37</v>
      </c>
      <c r="H308" s="2">
        <v>1</v>
      </c>
      <c r="I308" s="2">
        <v>38</v>
      </c>
      <c r="J308" s="2" t="s">
        <v>38</v>
      </c>
      <c r="K308" s="2">
        <v>496</v>
      </c>
      <c r="L308" s="2">
        <v>40.299999999999997</v>
      </c>
      <c r="M308" s="2">
        <v>18507071</v>
      </c>
      <c r="N308" s="2">
        <v>6444309</v>
      </c>
      <c r="O308" s="2"/>
      <c r="P308" s="2"/>
      <c r="Q308">
        <f t="shared" si="8"/>
        <v>32239.599175538304</v>
      </c>
      <c r="R308">
        <f t="shared" si="9"/>
        <v>62500.239774139511</v>
      </c>
    </row>
    <row r="309" spans="1:18" ht="16" x14ac:dyDescent="0.4">
      <c r="A309" s="2">
        <v>160755</v>
      </c>
      <c r="B309" s="2" t="s">
        <v>354</v>
      </c>
      <c r="C309" s="2" t="s">
        <v>68</v>
      </c>
      <c r="D309" s="2">
        <v>7260</v>
      </c>
      <c r="E309" s="2">
        <v>58.5</v>
      </c>
      <c r="F309" s="2" t="s">
        <v>47</v>
      </c>
      <c r="G309" s="2" t="s">
        <v>37</v>
      </c>
      <c r="H309" s="2">
        <v>1</v>
      </c>
      <c r="I309" s="2">
        <v>13</v>
      </c>
      <c r="J309" s="2" t="s">
        <v>38</v>
      </c>
      <c r="K309" s="2">
        <v>427</v>
      </c>
      <c r="L309" s="2">
        <v>48.7</v>
      </c>
      <c r="M309" s="2">
        <v>19650171</v>
      </c>
      <c r="N309" s="2">
        <v>10261906</v>
      </c>
      <c r="O309" s="2"/>
      <c r="P309" s="2"/>
      <c r="Q309">
        <f t="shared" si="8"/>
        <v>49348.186334149235</v>
      </c>
      <c r="R309">
        <f t="shared" si="9"/>
        <v>89705.917799964387</v>
      </c>
    </row>
    <row r="310" spans="1:18" ht="16" x14ac:dyDescent="0.4">
      <c r="A310" s="2">
        <v>160977</v>
      </c>
      <c r="B310" s="2" t="s">
        <v>355</v>
      </c>
      <c r="C310" s="2" t="s">
        <v>152</v>
      </c>
      <c r="D310" s="2">
        <v>1820</v>
      </c>
      <c r="E310" s="2">
        <v>49.8</v>
      </c>
      <c r="F310" s="2" t="s">
        <v>47</v>
      </c>
      <c r="G310" s="2" t="s">
        <v>37</v>
      </c>
      <c r="H310" s="2">
        <v>3</v>
      </c>
      <c r="I310" s="2">
        <v>38</v>
      </c>
      <c r="J310" s="2" t="s">
        <v>38</v>
      </c>
      <c r="K310" s="2">
        <v>813</v>
      </c>
      <c r="L310" s="2">
        <v>45.8</v>
      </c>
      <c r="M310" s="2">
        <v>2498516</v>
      </c>
      <c r="N310" s="2">
        <v>1997791</v>
      </c>
      <c r="O310" s="2"/>
      <c r="P310" s="2"/>
      <c r="Q310">
        <f t="shared" si="8"/>
        <v>5365.3002250546524</v>
      </c>
      <c r="R310">
        <f t="shared" si="9"/>
        <v>5670.1206864467167</v>
      </c>
    </row>
    <row r="311" spans="1:18" ht="16" x14ac:dyDescent="0.4">
      <c r="A311" s="2">
        <v>161004</v>
      </c>
      <c r="B311" s="2" t="s">
        <v>356</v>
      </c>
      <c r="C311" s="2" t="s">
        <v>152</v>
      </c>
      <c r="D311" s="2">
        <v>1832</v>
      </c>
      <c r="E311" s="2">
        <v>51.2</v>
      </c>
      <c r="F311" s="2" t="s">
        <v>47</v>
      </c>
      <c r="G311" s="2" t="s">
        <v>37</v>
      </c>
      <c r="H311" s="2">
        <v>3</v>
      </c>
      <c r="I311" s="2">
        <v>38</v>
      </c>
      <c r="J311" s="2" t="s">
        <v>38</v>
      </c>
      <c r="K311" s="2">
        <v>820</v>
      </c>
      <c r="L311" s="2">
        <v>48.4</v>
      </c>
      <c r="M311" s="2">
        <v>2848177</v>
      </c>
      <c r="N311" s="2">
        <v>2376578</v>
      </c>
      <c r="O311" s="2"/>
      <c r="P311" s="2"/>
      <c r="Q311">
        <f t="shared" si="8"/>
        <v>5988.1525902035883</v>
      </c>
      <c r="R311">
        <f t="shared" si="9"/>
        <v>6731.3693514842125</v>
      </c>
    </row>
    <row r="312" spans="1:18" ht="16" x14ac:dyDescent="0.4">
      <c r="A312" s="2">
        <v>161086</v>
      </c>
      <c r="B312" s="2" t="s">
        <v>357</v>
      </c>
      <c r="C312" s="2" t="s">
        <v>152</v>
      </c>
      <c r="D312" s="2">
        <v>2003</v>
      </c>
      <c r="E312" s="2">
        <v>53.7</v>
      </c>
      <c r="F312" s="2" t="s">
        <v>47</v>
      </c>
      <c r="G312" s="2" t="s">
        <v>37</v>
      </c>
      <c r="H312" s="2">
        <v>3</v>
      </c>
      <c r="I312" s="2">
        <v>38</v>
      </c>
      <c r="J312" s="2" t="s">
        <v>38</v>
      </c>
      <c r="K312" s="2">
        <v>775</v>
      </c>
      <c r="L312" s="2">
        <v>43.4</v>
      </c>
      <c r="M312" s="2">
        <v>3504495</v>
      </c>
      <c r="N312" s="2">
        <v>2891063</v>
      </c>
      <c r="O312" s="2"/>
      <c r="P312" s="2"/>
      <c r="Q312">
        <f t="shared" si="8"/>
        <v>8595.4006243496351</v>
      </c>
      <c r="R312">
        <f t="shared" si="9"/>
        <v>7989.2739085831527</v>
      </c>
    </row>
    <row r="313" spans="1:18" ht="16" x14ac:dyDescent="0.4">
      <c r="A313" s="2">
        <v>161226</v>
      </c>
      <c r="B313" s="2" t="s">
        <v>358</v>
      </c>
      <c r="C313" s="2" t="s">
        <v>152</v>
      </c>
      <c r="D313" s="2">
        <v>1503</v>
      </c>
      <c r="E313" s="2">
        <v>66.7</v>
      </c>
      <c r="F313" s="2" t="s">
        <v>36</v>
      </c>
      <c r="G313" s="2" t="s">
        <v>37</v>
      </c>
      <c r="H313" s="2">
        <v>3</v>
      </c>
      <c r="I313" s="2">
        <v>38</v>
      </c>
      <c r="J313" s="2" t="s">
        <v>41</v>
      </c>
      <c r="K313" s="2">
        <v>232</v>
      </c>
      <c r="L313" s="2">
        <v>56.5</v>
      </c>
      <c r="M313" s="2">
        <v>284657</v>
      </c>
      <c r="N313" s="2">
        <v>408063</v>
      </c>
      <c r="O313" s="2"/>
      <c r="P313" s="2"/>
      <c r="Q313">
        <f t="shared" si="8"/>
        <v>3113.0836130607258</v>
      </c>
      <c r="R313">
        <f t="shared" si="9"/>
        <v>2820.6202933016252</v>
      </c>
    </row>
    <row r="314" spans="1:18" ht="16" x14ac:dyDescent="0.4">
      <c r="A314" s="2">
        <v>161253</v>
      </c>
      <c r="B314" s="2" t="s">
        <v>359</v>
      </c>
      <c r="C314" s="2" t="s">
        <v>152</v>
      </c>
      <c r="D314" s="2">
        <v>8028</v>
      </c>
      <c r="E314" s="2">
        <v>46.6</v>
      </c>
      <c r="F314" s="2" t="s">
        <v>36</v>
      </c>
      <c r="G314" s="2" t="s">
        <v>37</v>
      </c>
      <c r="H314" s="2">
        <v>1</v>
      </c>
      <c r="I314" s="2">
        <v>38</v>
      </c>
      <c r="J314" s="2" t="s">
        <v>38</v>
      </c>
      <c r="K314" s="2">
        <v>550</v>
      </c>
      <c r="L314" s="2">
        <v>46.7</v>
      </c>
      <c r="M314" s="2">
        <v>9499799</v>
      </c>
      <c r="N314" s="2">
        <v>6012575</v>
      </c>
      <c r="O314" s="2"/>
      <c r="P314" s="2"/>
      <c r="Q314">
        <f t="shared" si="8"/>
        <v>23408.896242943349</v>
      </c>
      <c r="R314">
        <f t="shared" si="9"/>
        <v>32405.932116663822</v>
      </c>
    </row>
    <row r="315" spans="1:18" ht="16" x14ac:dyDescent="0.4">
      <c r="A315" s="2">
        <v>161299</v>
      </c>
      <c r="B315" s="2" t="s">
        <v>360</v>
      </c>
      <c r="C315" s="2" t="s">
        <v>152</v>
      </c>
      <c r="D315" s="2">
        <v>967</v>
      </c>
      <c r="E315" s="2">
        <v>16.100000000000001</v>
      </c>
      <c r="F315" s="2" t="s">
        <v>36</v>
      </c>
      <c r="G315" s="2" t="s">
        <v>37</v>
      </c>
      <c r="H315" s="2">
        <v>3</v>
      </c>
      <c r="I315" s="2">
        <v>38</v>
      </c>
      <c r="J315" s="2" t="s">
        <v>38</v>
      </c>
      <c r="K315" s="2">
        <v>302</v>
      </c>
      <c r="L315" s="2">
        <v>31.8</v>
      </c>
      <c r="M315" s="2">
        <v>885892</v>
      </c>
      <c r="N315" s="2">
        <v>509827</v>
      </c>
      <c r="O315" s="2"/>
      <c r="P315" s="2"/>
      <c r="Q315">
        <f t="shared" si="8"/>
        <v>5308.7071514848594</v>
      </c>
      <c r="R315">
        <f t="shared" si="9"/>
        <v>4301.1982676584248</v>
      </c>
    </row>
    <row r="316" spans="1:18" ht="16" x14ac:dyDescent="0.4">
      <c r="A316" s="2">
        <v>161341</v>
      </c>
      <c r="B316" s="2" t="s">
        <v>361</v>
      </c>
      <c r="C316" s="2" t="s">
        <v>152</v>
      </c>
      <c r="D316" s="2">
        <v>596</v>
      </c>
      <c r="E316" s="2">
        <v>60.1</v>
      </c>
      <c r="F316" s="2" t="s">
        <v>36</v>
      </c>
      <c r="G316" s="2" t="s">
        <v>37</v>
      </c>
      <c r="H316" s="2">
        <v>3</v>
      </c>
      <c r="I316" s="2">
        <v>35</v>
      </c>
      <c r="J316" s="2" t="s">
        <v>41</v>
      </c>
      <c r="K316" s="2">
        <v>113</v>
      </c>
      <c r="L316" s="2">
        <v>46.9</v>
      </c>
      <c r="M316" s="2">
        <v>150428</v>
      </c>
      <c r="N316" s="2">
        <v>153117</v>
      </c>
      <c r="O316" s="2"/>
      <c r="P316" s="2"/>
      <c r="Q316">
        <f t="shared" si="8"/>
        <v>2889.1635375587298</v>
      </c>
      <c r="R316">
        <f t="shared" si="9"/>
        <v>2507.0079829341867</v>
      </c>
    </row>
    <row r="317" spans="1:18" ht="16" x14ac:dyDescent="0.4">
      <c r="A317" s="2">
        <v>161457</v>
      </c>
      <c r="B317" s="2" t="s">
        <v>362</v>
      </c>
      <c r="C317" s="2" t="s">
        <v>152</v>
      </c>
      <c r="D317" s="2">
        <v>2409</v>
      </c>
      <c r="E317" s="2">
        <v>69.3</v>
      </c>
      <c r="F317" s="2" t="s">
        <v>47</v>
      </c>
      <c r="G317" s="2" t="s">
        <v>37</v>
      </c>
      <c r="H317" s="2">
        <v>3</v>
      </c>
      <c r="I317" s="2">
        <v>38</v>
      </c>
      <c r="J317" s="2" t="s">
        <v>38</v>
      </c>
      <c r="K317" s="2">
        <v>484</v>
      </c>
      <c r="L317" s="2">
        <v>46.9</v>
      </c>
      <c r="M317" s="2">
        <v>1336685</v>
      </c>
      <c r="N317" s="2">
        <v>1018632</v>
      </c>
      <c r="O317" s="2"/>
      <c r="P317" s="2"/>
      <c r="Q317">
        <f t="shared" si="8"/>
        <v>4487.4447126821624</v>
      </c>
      <c r="R317">
        <f t="shared" si="9"/>
        <v>5201.0279995642086</v>
      </c>
    </row>
    <row r="318" spans="1:18" ht="16" x14ac:dyDescent="0.4">
      <c r="A318" s="2">
        <v>161518</v>
      </c>
      <c r="B318" s="2" t="s">
        <v>363</v>
      </c>
      <c r="C318" s="2" t="s">
        <v>152</v>
      </c>
      <c r="D318" s="2">
        <v>880</v>
      </c>
      <c r="E318" s="2">
        <v>62.6</v>
      </c>
      <c r="F318" s="2" t="s">
        <v>47</v>
      </c>
      <c r="G318" s="2" t="s">
        <v>37</v>
      </c>
      <c r="H318" s="2">
        <v>3</v>
      </c>
      <c r="I318" s="2">
        <v>36</v>
      </c>
      <c r="J318" s="2" t="s">
        <v>41</v>
      </c>
      <c r="K318" s="2">
        <v>359</v>
      </c>
      <c r="L318" s="2">
        <v>51.5</v>
      </c>
      <c r="M318" s="2">
        <v>466058</v>
      </c>
      <c r="N318" s="2">
        <v>350857</v>
      </c>
      <c r="O318" s="2"/>
      <c r="P318" s="2"/>
      <c r="Q318">
        <f t="shared" si="8"/>
        <v>1897.7039781485789</v>
      </c>
      <c r="R318">
        <f t="shared" si="9"/>
        <v>2676.7251529161758</v>
      </c>
    </row>
    <row r="319" spans="1:18" ht="16" x14ac:dyDescent="0.4">
      <c r="A319" s="2">
        <v>161554</v>
      </c>
      <c r="B319" s="2" t="s">
        <v>364</v>
      </c>
      <c r="C319" s="2" t="s">
        <v>152</v>
      </c>
      <c r="D319" s="2">
        <v>4040</v>
      </c>
      <c r="E319" s="2">
        <v>59</v>
      </c>
      <c r="F319" s="2" t="s">
        <v>36</v>
      </c>
      <c r="G319" s="2" t="s">
        <v>37</v>
      </c>
      <c r="H319" s="2">
        <v>3</v>
      </c>
      <c r="I319" s="2">
        <v>38</v>
      </c>
      <c r="J319" s="2" t="s">
        <v>41</v>
      </c>
      <c r="K319" s="2">
        <v>505</v>
      </c>
      <c r="L319" s="2">
        <v>45.3</v>
      </c>
      <c r="M319" s="2">
        <v>932316</v>
      </c>
      <c r="N319" s="2">
        <v>1018400</v>
      </c>
      <c r="O319" s="2"/>
      <c r="P319" s="2"/>
      <c r="Q319">
        <f t="shared" si="8"/>
        <v>4451.7299412060411</v>
      </c>
      <c r="R319">
        <f t="shared" si="9"/>
        <v>3375.0828099263308</v>
      </c>
    </row>
    <row r="320" spans="1:18" ht="16" x14ac:dyDescent="0.4">
      <c r="A320" s="2">
        <v>161563</v>
      </c>
      <c r="B320" s="2" t="s">
        <v>365</v>
      </c>
      <c r="C320" s="2" t="s">
        <v>152</v>
      </c>
      <c r="D320" s="2">
        <v>724</v>
      </c>
      <c r="E320" s="2">
        <v>48.8</v>
      </c>
      <c r="F320" s="2" t="s">
        <v>47</v>
      </c>
      <c r="G320" s="2" t="s">
        <v>37</v>
      </c>
      <c r="H320" s="2">
        <v>3</v>
      </c>
      <c r="I320" s="2">
        <v>8</v>
      </c>
      <c r="J320" s="2" t="s">
        <v>41</v>
      </c>
      <c r="K320" s="2">
        <v>199</v>
      </c>
      <c r="L320" s="2">
        <v>50.8</v>
      </c>
      <c r="M320" s="2">
        <v>232316</v>
      </c>
      <c r="N320" s="2">
        <v>304772</v>
      </c>
      <c r="O320" s="2"/>
      <c r="P320" s="2"/>
      <c r="Q320">
        <f t="shared" si="8"/>
        <v>3014.7984014560993</v>
      </c>
      <c r="R320">
        <f t="shared" si="9"/>
        <v>2372.7989541201941</v>
      </c>
    </row>
    <row r="321" spans="1:18" ht="16" x14ac:dyDescent="0.4">
      <c r="A321" s="2">
        <v>162007</v>
      </c>
      <c r="B321" s="2" t="s">
        <v>366</v>
      </c>
      <c r="C321" s="2" t="s">
        <v>172</v>
      </c>
      <c r="D321" s="2">
        <v>4325</v>
      </c>
      <c r="E321" s="2">
        <v>60.6</v>
      </c>
      <c r="F321" s="2" t="s">
        <v>36</v>
      </c>
      <c r="G321" s="2" t="s">
        <v>37</v>
      </c>
      <c r="H321" s="2">
        <v>2</v>
      </c>
      <c r="I321" s="2">
        <v>10</v>
      </c>
      <c r="J321" s="2" t="s">
        <v>38</v>
      </c>
      <c r="K321" s="2">
        <v>359</v>
      </c>
      <c r="L321" s="2">
        <v>37</v>
      </c>
      <c r="M321" s="2">
        <v>1866580</v>
      </c>
      <c r="N321" s="2">
        <v>1142260</v>
      </c>
      <c r="O321" s="2"/>
      <c r="P321" s="2"/>
      <c r="Q321">
        <f t="shared" si="8"/>
        <v>8599.4127832567938</v>
      </c>
      <c r="R321">
        <f t="shared" si="9"/>
        <v>8252.9955343325819</v>
      </c>
    </row>
    <row r="322" spans="1:18" ht="16" x14ac:dyDescent="0.4">
      <c r="A322" s="2">
        <v>162283</v>
      </c>
      <c r="B322" s="2" t="s">
        <v>367</v>
      </c>
      <c r="C322" s="2" t="s">
        <v>172</v>
      </c>
      <c r="D322" s="2">
        <v>1803</v>
      </c>
      <c r="E322" s="2">
        <v>76</v>
      </c>
      <c r="F322" s="2" t="s">
        <v>36</v>
      </c>
      <c r="G322" s="2" t="s">
        <v>37</v>
      </c>
      <c r="H322" s="2">
        <v>1</v>
      </c>
      <c r="I322" s="2">
        <v>35</v>
      </c>
      <c r="J322" s="2" t="s">
        <v>41</v>
      </c>
      <c r="K322" s="2">
        <v>161</v>
      </c>
      <c r="L322" s="2">
        <v>49.7</v>
      </c>
      <c r="M322" s="2">
        <v>1633570</v>
      </c>
      <c r="N322" s="2">
        <v>1488966</v>
      </c>
      <c r="O322" s="2"/>
      <c r="P322" s="2"/>
      <c r="Q322">
        <f t="shared" si="8"/>
        <v>18608.12077433545</v>
      </c>
      <c r="R322">
        <f t="shared" si="9"/>
        <v>20171.764444389562</v>
      </c>
    </row>
    <row r="323" spans="1:18" ht="16" x14ac:dyDescent="0.4">
      <c r="A323" s="2">
        <v>162584</v>
      </c>
      <c r="B323" s="2" t="s">
        <v>368</v>
      </c>
      <c r="C323" s="2" t="s">
        <v>172</v>
      </c>
      <c r="D323" s="2">
        <v>3414</v>
      </c>
      <c r="E323" s="2">
        <v>47.3</v>
      </c>
      <c r="F323" s="2" t="s">
        <v>36</v>
      </c>
      <c r="G323" s="2" t="s">
        <v>37</v>
      </c>
      <c r="H323" s="2">
        <v>3</v>
      </c>
      <c r="I323" s="2">
        <v>37</v>
      </c>
      <c r="J323" s="2" t="s">
        <v>38</v>
      </c>
      <c r="K323" s="2">
        <v>545</v>
      </c>
      <c r="L323" s="2">
        <v>34.1</v>
      </c>
      <c r="M323" s="2">
        <v>1618061</v>
      </c>
      <c r="N323" s="2">
        <v>1023849</v>
      </c>
      <c r="O323" s="2"/>
      <c r="P323" s="2"/>
      <c r="Q323">
        <f t="shared" ref="Q323:Q386" si="10">N323/(K323*(0.01*L323))</f>
        <v>5509.1554790282216</v>
      </c>
      <c r="R323">
        <f t="shared" ref="R323:R386" si="11">M323/(K323*(0.01*(100-L323)))</f>
        <v>4505.1885676100846</v>
      </c>
    </row>
    <row r="324" spans="1:18" ht="16" x14ac:dyDescent="0.4">
      <c r="A324" s="2">
        <v>162654</v>
      </c>
      <c r="B324" s="2" t="s">
        <v>369</v>
      </c>
      <c r="C324" s="2" t="s">
        <v>172</v>
      </c>
      <c r="D324" s="2">
        <v>1320</v>
      </c>
      <c r="E324" s="2">
        <v>68</v>
      </c>
      <c r="F324" s="2" t="s">
        <v>47</v>
      </c>
      <c r="G324" s="2" t="s">
        <v>37</v>
      </c>
      <c r="H324" s="2">
        <v>3</v>
      </c>
      <c r="I324" s="2">
        <v>38</v>
      </c>
      <c r="J324" s="2" t="s">
        <v>41</v>
      </c>
      <c r="K324" s="2">
        <v>314</v>
      </c>
      <c r="L324" s="2">
        <v>58.3</v>
      </c>
      <c r="M324" s="2">
        <v>638292</v>
      </c>
      <c r="N324" s="2">
        <v>734130</v>
      </c>
      <c r="O324" s="2"/>
      <c r="P324" s="2"/>
      <c r="Q324">
        <f t="shared" si="10"/>
        <v>4010.2806699369617</v>
      </c>
      <c r="R324">
        <f t="shared" si="11"/>
        <v>4874.7651560280428</v>
      </c>
    </row>
    <row r="325" spans="1:18" ht="16" x14ac:dyDescent="0.4">
      <c r="A325" s="2">
        <v>162760</v>
      </c>
      <c r="B325" s="2" t="s">
        <v>370</v>
      </c>
      <c r="C325" s="2" t="s">
        <v>172</v>
      </c>
      <c r="D325" s="2">
        <v>1057</v>
      </c>
      <c r="E325" s="2">
        <v>63.7</v>
      </c>
      <c r="F325" s="2" t="s">
        <v>47</v>
      </c>
      <c r="G325" s="2" t="s">
        <v>37</v>
      </c>
      <c r="H325" s="2">
        <v>3</v>
      </c>
      <c r="I325" s="2">
        <v>38</v>
      </c>
      <c r="J325" s="2" t="s">
        <v>41</v>
      </c>
      <c r="K325" s="2">
        <v>368</v>
      </c>
      <c r="L325" s="2">
        <v>47</v>
      </c>
      <c r="M325" s="2">
        <v>357236</v>
      </c>
      <c r="N325" s="2">
        <v>348716</v>
      </c>
      <c r="O325" s="2"/>
      <c r="P325" s="2"/>
      <c r="Q325">
        <f t="shared" si="10"/>
        <v>2016.1655874190562</v>
      </c>
      <c r="R325">
        <f t="shared" si="11"/>
        <v>1831.6037735849054</v>
      </c>
    </row>
    <row r="326" spans="1:18" ht="16" x14ac:dyDescent="0.4">
      <c r="A326" s="2">
        <v>163046</v>
      </c>
      <c r="B326" s="2" t="s">
        <v>371</v>
      </c>
      <c r="C326" s="2" t="s">
        <v>172</v>
      </c>
      <c r="D326" s="2">
        <v>3874</v>
      </c>
      <c r="E326" s="2">
        <v>57.6</v>
      </c>
      <c r="F326" s="2" t="s">
        <v>47</v>
      </c>
      <c r="G326" s="2" t="s">
        <v>37</v>
      </c>
      <c r="H326" s="2">
        <v>1</v>
      </c>
      <c r="I326" s="2">
        <v>38</v>
      </c>
      <c r="J326" s="2" t="s">
        <v>41</v>
      </c>
      <c r="K326" s="2">
        <v>465</v>
      </c>
      <c r="L326" s="2">
        <v>56.1</v>
      </c>
      <c r="M326" s="2">
        <v>6432090</v>
      </c>
      <c r="N326" s="2">
        <v>6329258</v>
      </c>
      <c r="O326" s="2"/>
      <c r="P326" s="2"/>
      <c r="Q326">
        <f t="shared" si="10"/>
        <v>24262.580261821247</v>
      </c>
      <c r="R326">
        <f t="shared" si="11"/>
        <v>31509.00139613491</v>
      </c>
    </row>
    <row r="327" spans="1:18" ht="16" x14ac:dyDescent="0.4">
      <c r="A327" s="2">
        <v>163268</v>
      </c>
      <c r="B327" s="2" t="s">
        <v>372</v>
      </c>
      <c r="C327" s="2" t="s">
        <v>172</v>
      </c>
      <c r="D327" s="2">
        <v>9422</v>
      </c>
      <c r="E327" s="2">
        <v>44.5</v>
      </c>
      <c r="F327" s="2" t="s">
        <v>36</v>
      </c>
      <c r="G327" s="2" t="s">
        <v>37</v>
      </c>
      <c r="H327" s="2">
        <v>1</v>
      </c>
      <c r="I327" s="2">
        <v>38</v>
      </c>
      <c r="J327" s="2" t="s">
        <v>41</v>
      </c>
      <c r="K327" s="2">
        <v>488</v>
      </c>
      <c r="L327" s="2">
        <v>46.3</v>
      </c>
      <c r="M327" s="2">
        <v>5617475</v>
      </c>
      <c r="N327" s="2">
        <v>5495743</v>
      </c>
      <c r="O327" s="2"/>
      <c r="P327" s="2"/>
      <c r="Q327">
        <f t="shared" si="10"/>
        <v>24323.473958148923</v>
      </c>
      <c r="R327">
        <f t="shared" si="11"/>
        <v>21436.1624996184</v>
      </c>
    </row>
    <row r="328" spans="1:18" ht="16" x14ac:dyDescent="0.4">
      <c r="A328" s="2">
        <v>163286</v>
      </c>
      <c r="B328" s="2" t="s">
        <v>373</v>
      </c>
      <c r="C328" s="2" t="s">
        <v>172</v>
      </c>
      <c r="D328" s="2">
        <v>28228</v>
      </c>
      <c r="E328" s="2">
        <v>48.3</v>
      </c>
      <c r="F328" s="2" t="s">
        <v>36</v>
      </c>
      <c r="G328" s="2" t="s">
        <v>37</v>
      </c>
      <c r="H328" s="2">
        <v>1</v>
      </c>
      <c r="I328" s="2">
        <v>38</v>
      </c>
      <c r="J328" s="2" t="s">
        <v>38</v>
      </c>
      <c r="K328" s="2">
        <v>560</v>
      </c>
      <c r="L328" s="2">
        <v>45</v>
      </c>
      <c r="M328" s="2">
        <v>37394675</v>
      </c>
      <c r="N328" s="2">
        <v>16756389</v>
      </c>
      <c r="O328" s="2"/>
      <c r="P328" s="2"/>
      <c r="Q328">
        <f t="shared" si="10"/>
        <v>66493.607142857145</v>
      </c>
      <c r="R328">
        <f t="shared" si="11"/>
        <v>121411.28246753247</v>
      </c>
    </row>
    <row r="329" spans="1:18" ht="16" x14ac:dyDescent="0.4">
      <c r="A329" s="2">
        <v>163338</v>
      </c>
      <c r="B329" s="2" t="s">
        <v>374</v>
      </c>
      <c r="C329" s="2" t="s">
        <v>172</v>
      </c>
      <c r="D329" s="2">
        <v>2095</v>
      </c>
      <c r="E329" s="2">
        <v>55.2</v>
      </c>
      <c r="F329" s="2" t="s">
        <v>36</v>
      </c>
      <c r="G329" s="2" t="s">
        <v>37</v>
      </c>
      <c r="H329" s="2">
        <v>1</v>
      </c>
      <c r="I329" s="2">
        <v>8</v>
      </c>
      <c r="J329" s="2" t="s">
        <v>41</v>
      </c>
      <c r="K329" s="2">
        <v>255</v>
      </c>
      <c r="L329" s="2">
        <v>49</v>
      </c>
      <c r="M329" s="2">
        <v>1846869</v>
      </c>
      <c r="N329" s="2">
        <v>2275368</v>
      </c>
      <c r="O329" s="2"/>
      <c r="P329" s="2"/>
      <c r="Q329">
        <f t="shared" si="10"/>
        <v>18210.228091236495</v>
      </c>
      <c r="R329">
        <f t="shared" si="11"/>
        <v>14201.222606689733</v>
      </c>
    </row>
    <row r="330" spans="1:18" ht="16" x14ac:dyDescent="0.4">
      <c r="A330" s="2">
        <v>163453</v>
      </c>
      <c r="B330" s="2" t="s">
        <v>375</v>
      </c>
      <c r="C330" s="2" t="s">
        <v>172</v>
      </c>
      <c r="D330" s="2">
        <v>5756</v>
      </c>
      <c r="E330" s="2">
        <v>57.3</v>
      </c>
      <c r="F330" s="2" t="s">
        <v>36</v>
      </c>
      <c r="G330" s="2" t="s">
        <v>37</v>
      </c>
      <c r="H330" s="2">
        <v>1</v>
      </c>
      <c r="I330" s="2">
        <v>38</v>
      </c>
      <c r="J330" s="2" t="s">
        <v>38</v>
      </c>
      <c r="K330" s="2">
        <v>380</v>
      </c>
      <c r="L330" s="2">
        <v>37.6</v>
      </c>
      <c r="M330" s="2">
        <v>5786138</v>
      </c>
      <c r="N330" s="2">
        <v>3121325</v>
      </c>
      <c r="O330" s="2"/>
      <c r="P330" s="2"/>
      <c r="Q330">
        <f t="shared" si="10"/>
        <v>21845.779675251961</v>
      </c>
      <c r="R330">
        <f t="shared" si="11"/>
        <v>24401.729082321188</v>
      </c>
    </row>
    <row r="331" spans="1:18" ht="16" x14ac:dyDescent="0.4">
      <c r="A331" s="2">
        <v>163462</v>
      </c>
      <c r="B331" s="2" t="s">
        <v>376</v>
      </c>
      <c r="C331" s="2" t="s">
        <v>172</v>
      </c>
      <c r="D331" s="2">
        <v>1734</v>
      </c>
      <c r="E331" s="2">
        <v>50.2</v>
      </c>
      <c r="F331" s="2" t="s">
        <v>47</v>
      </c>
      <c r="G331" s="2" t="s">
        <v>37</v>
      </c>
      <c r="H331" s="2">
        <v>1</v>
      </c>
      <c r="I331" s="2">
        <v>38</v>
      </c>
      <c r="J331" s="2" t="s">
        <v>41</v>
      </c>
      <c r="K331" s="2">
        <v>647</v>
      </c>
      <c r="L331" s="2">
        <v>43.7</v>
      </c>
      <c r="M331" s="2">
        <v>5018207</v>
      </c>
      <c r="N331" s="2">
        <v>4474662</v>
      </c>
      <c r="O331" s="2"/>
      <c r="P331" s="2"/>
      <c r="Q331">
        <f t="shared" si="10"/>
        <v>15826.122324829612</v>
      </c>
      <c r="R331">
        <f t="shared" si="11"/>
        <v>13776.404830602234</v>
      </c>
    </row>
    <row r="332" spans="1:18" ht="16" x14ac:dyDescent="0.4">
      <c r="A332" s="2">
        <v>163851</v>
      </c>
      <c r="B332" s="2" t="s">
        <v>377</v>
      </c>
      <c r="C332" s="2" t="s">
        <v>172</v>
      </c>
      <c r="D332" s="2">
        <v>7081</v>
      </c>
      <c r="E332" s="2">
        <v>55.8</v>
      </c>
      <c r="F332" s="2" t="s">
        <v>36</v>
      </c>
      <c r="G332" s="2" t="s">
        <v>37</v>
      </c>
      <c r="H332" s="2">
        <v>3</v>
      </c>
      <c r="I332" s="2">
        <v>38</v>
      </c>
      <c r="J332" s="2" t="s">
        <v>38</v>
      </c>
      <c r="K332" s="2">
        <v>633</v>
      </c>
      <c r="L332" s="2">
        <v>41.9</v>
      </c>
      <c r="M332" s="2">
        <v>1514074</v>
      </c>
      <c r="N332" s="2">
        <v>1170339</v>
      </c>
      <c r="O332" s="2"/>
      <c r="P332" s="2"/>
      <c r="Q332">
        <f t="shared" si="10"/>
        <v>4412.5937404562892</v>
      </c>
      <c r="R332">
        <f t="shared" si="11"/>
        <v>4116.8710046686401</v>
      </c>
    </row>
    <row r="333" spans="1:18" ht="16" x14ac:dyDescent="0.4">
      <c r="A333" s="2">
        <v>163912</v>
      </c>
      <c r="B333" s="2" t="s">
        <v>378</v>
      </c>
      <c r="C333" s="2" t="s">
        <v>172</v>
      </c>
      <c r="D333" s="2">
        <v>1432</v>
      </c>
      <c r="E333" s="2">
        <v>59</v>
      </c>
      <c r="F333" s="2" t="s">
        <v>36</v>
      </c>
      <c r="G333" s="2" t="s">
        <v>37</v>
      </c>
      <c r="H333" s="2">
        <v>3</v>
      </c>
      <c r="I333" s="2">
        <v>11</v>
      </c>
      <c r="J333" s="2" t="s">
        <v>41</v>
      </c>
      <c r="K333" s="2">
        <v>344</v>
      </c>
      <c r="L333" s="2">
        <v>50.3</v>
      </c>
      <c r="M333" s="2">
        <v>797033</v>
      </c>
      <c r="N333" s="2">
        <v>976582</v>
      </c>
      <c r="O333" s="2"/>
      <c r="P333" s="2"/>
      <c r="Q333">
        <f t="shared" si="10"/>
        <v>5643.9386934208696</v>
      </c>
      <c r="R333">
        <f t="shared" si="11"/>
        <v>4661.8840952692899</v>
      </c>
    </row>
    <row r="334" spans="1:18" ht="16" x14ac:dyDescent="0.4">
      <c r="A334" s="2">
        <v>164076</v>
      </c>
      <c r="B334" s="2" t="s">
        <v>379</v>
      </c>
      <c r="C334" s="2" t="s">
        <v>172</v>
      </c>
      <c r="D334" s="2">
        <v>17171</v>
      </c>
      <c r="E334" s="2">
        <v>60</v>
      </c>
      <c r="F334" s="2" t="s">
        <v>36</v>
      </c>
      <c r="G334" s="2" t="s">
        <v>37</v>
      </c>
      <c r="H334" s="2">
        <v>1</v>
      </c>
      <c r="I334" s="2">
        <v>38</v>
      </c>
      <c r="J334" s="2" t="s">
        <v>38</v>
      </c>
      <c r="K334" s="2">
        <v>530</v>
      </c>
      <c r="L334" s="2">
        <v>54.3</v>
      </c>
      <c r="M334" s="2">
        <v>10143000</v>
      </c>
      <c r="N334" s="2">
        <v>8813826</v>
      </c>
      <c r="O334" s="2"/>
      <c r="P334" s="2"/>
      <c r="Q334">
        <f t="shared" si="10"/>
        <v>30625.89388095486</v>
      </c>
      <c r="R334">
        <f t="shared" si="11"/>
        <v>41876.883695966309</v>
      </c>
    </row>
    <row r="335" spans="1:18" ht="16" x14ac:dyDescent="0.4">
      <c r="A335" s="2">
        <v>164173</v>
      </c>
      <c r="B335" s="2" t="s">
        <v>380</v>
      </c>
      <c r="C335" s="2" t="s">
        <v>172</v>
      </c>
      <c r="D335" s="2">
        <v>2724</v>
      </c>
      <c r="E335" s="2">
        <v>61.8</v>
      </c>
      <c r="F335" s="2" t="s">
        <v>47</v>
      </c>
      <c r="G335" s="2" t="s">
        <v>37</v>
      </c>
      <c r="H335" s="2">
        <v>3</v>
      </c>
      <c r="I335" s="2">
        <v>38</v>
      </c>
      <c r="J335" s="2" t="s">
        <v>38</v>
      </c>
      <c r="K335" s="2">
        <v>695</v>
      </c>
      <c r="L335" s="2">
        <v>41</v>
      </c>
      <c r="M335" s="2">
        <v>1949323</v>
      </c>
      <c r="N335" s="2">
        <v>1363086</v>
      </c>
      <c r="O335" s="2"/>
      <c r="P335" s="2"/>
      <c r="Q335">
        <f t="shared" si="10"/>
        <v>4783.5971223021579</v>
      </c>
      <c r="R335">
        <f t="shared" si="11"/>
        <v>4753.8666016339475</v>
      </c>
    </row>
    <row r="336" spans="1:18" ht="16" x14ac:dyDescent="0.4">
      <c r="A336" s="2">
        <v>164216</v>
      </c>
      <c r="B336" s="2" t="s">
        <v>381</v>
      </c>
      <c r="C336" s="2" t="s">
        <v>172</v>
      </c>
      <c r="D336" s="2">
        <v>1253</v>
      </c>
      <c r="E336" s="2">
        <v>60</v>
      </c>
      <c r="F336" s="2" t="s">
        <v>47</v>
      </c>
      <c r="G336" s="2" t="s">
        <v>37</v>
      </c>
      <c r="H336" s="2">
        <v>3</v>
      </c>
      <c r="I336" s="2">
        <v>38</v>
      </c>
      <c r="J336" s="2" t="s">
        <v>41</v>
      </c>
      <c r="K336" s="2">
        <v>367</v>
      </c>
      <c r="L336" s="2">
        <v>53.1</v>
      </c>
      <c r="M336" s="2">
        <v>937578</v>
      </c>
      <c r="N336" s="2">
        <v>1004844</v>
      </c>
      <c r="O336" s="2"/>
      <c r="P336" s="2"/>
      <c r="Q336">
        <f t="shared" si="10"/>
        <v>5156.2985883403371</v>
      </c>
      <c r="R336">
        <f t="shared" si="11"/>
        <v>5447.1395455575375</v>
      </c>
    </row>
    <row r="337" spans="1:18" ht="16" x14ac:dyDescent="0.4">
      <c r="A337" s="2">
        <v>164270</v>
      </c>
      <c r="B337" s="2" t="s">
        <v>382</v>
      </c>
      <c r="C337" s="2" t="s">
        <v>172</v>
      </c>
      <c r="D337" s="2">
        <v>1649</v>
      </c>
      <c r="E337" s="2">
        <v>51.8</v>
      </c>
      <c r="F337" s="2" t="s">
        <v>47</v>
      </c>
      <c r="G337" s="2" t="s">
        <v>37</v>
      </c>
      <c r="H337" s="2">
        <v>3</v>
      </c>
      <c r="I337" s="2">
        <v>38</v>
      </c>
      <c r="J337" s="2" t="s">
        <v>38</v>
      </c>
      <c r="K337" s="2">
        <v>561</v>
      </c>
      <c r="L337" s="2">
        <v>34</v>
      </c>
      <c r="M337" s="2">
        <v>1437634</v>
      </c>
      <c r="N337" s="2">
        <v>1013429</v>
      </c>
      <c r="O337" s="2"/>
      <c r="P337" s="2"/>
      <c r="Q337">
        <f t="shared" si="10"/>
        <v>5313.1435461885285</v>
      </c>
      <c r="R337">
        <f t="shared" si="11"/>
        <v>3882.7688651218064</v>
      </c>
    </row>
    <row r="338" spans="1:18" ht="16" x14ac:dyDescent="0.4">
      <c r="A338" s="2">
        <v>164447</v>
      </c>
      <c r="B338" s="2" t="s">
        <v>383</v>
      </c>
      <c r="C338" s="2" t="s">
        <v>152</v>
      </c>
      <c r="D338" s="2">
        <v>1271</v>
      </c>
      <c r="E338" s="2">
        <v>60.9</v>
      </c>
      <c r="F338" s="2" t="s">
        <v>47</v>
      </c>
      <c r="G338" s="2" t="s">
        <v>37</v>
      </c>
      <c r="H338" s="2">
        <v>2</v>
      </c>
      <c r="I338" s="2">
        <v>14</v>
      </c>
      <c r="J338" s="2" t="s">
        <v>38</v>
      </c>
      <c r="K338" s="2">
        <v>622</v>
      </c>
      <c r="L338" s="2">
        <v>38.6</v>
      </c>
      <c r="M338" s="2">
        <v>5353323</v>
      </c>
      <c r="N338" s="2">
        <v>3214913</v>
      </c>
      <c r="O338" s="2"/>
      <c r="P338" s="2"/>
      <c r="Q338">
        <f t="shared" si="10"/>
        <v>13390.337870482981</v>
      </c>
      <c r="R338">
        <f t="shared" si="11"/>
        <v>14017.31045173183</v>
      </c>
    </row>
    <row r="339" spans="1:18" ht="16" x14ac:dyDescent="0.4">
      <c r="A339" s="2">
        <v>164465</v>
      </c>
      <c r="B339" s="2" t="s">
        <v>384</v>
      </c>
      <c r="C339" s="2" t="s">
        <v>152</v>
      </c>
      <c r="D339" s="2">
        <v>1839</v>
      </c>
      <c r="E339" s="2">
        <v>50.2</v>
      </c>
      <c r="F339" s="2" t="s">
        <v>47</v>
      </c>
      <c r="G339" s="2" t="s">
        <v>37</v>
      </c>
      <c r="H339" s="2">
        <v>3</v>
      </c>
      <c r="I339" s="2">
        <v>38</v>
      </c>
      <c r="J339" s="2" t="s">
        <v>38</v>
      </c>
      <c r="K339" s="2">
        <v>618</v>
      </c>
      <c r="L339" s="2">
        <v>43.5</v>
      </c>
      <c r="M339" s="2">
        <v>2816257</v>
      </c>
      <c r="N339" s="2">
        <v>2477656</v>
      </c>
      <c r="O339" s="2"/>
      <c r="P339" s="2"/>
      <c r="Q339">
        <f t="shared" si="10"/>
        <v>9216.4416173790141</v>
      </c>
      <c r="R339">
        <f t="shared" si="11"/>
        <v>8065.5755076323849</v>
      </c>
    </row>
    <row r="340" spans="1:18" ht="16" x14ac:dyDescent="0.4">
      <c r="A340" s="2">
        <v>164492</v>
      </c>
      <c r="B340" s="2" t="s">
        <v>385</v>
      </c>
      <c r="C340" s="2" t="s">
        <v>152</v>
      </c>
      <c r="D340" s="2">
        <v>924</v>
      </c>
      <c r="E340" s="2">
        <v>54.4</v>
      </c>
      <c r="F340" s="2" t="s">
        <v>47</v>
      </c>
      <c r="G340" s="2" t="s">
        <v>37</v>
      </c>
      <c r="H340" s="2">
        <v>3</v>
      </c>
      <c r="I340" s="2">
        <v>38</v>
      </c>
      <c r="J340" s="2" t="s">
        <v>38</v>
      </c>
      <c r="K340" s="2">
        <v>399</v>
      </c>
      <c r="L340" s="2">
        <v>31.8</v>
      </c>
      <c r="M340" s="2">
        <v>835273</v>
      </c>
      <c r="N340" s="2">
        <v>408521</v>
      </c>
      <c r="O340" s="2"/>
      <c r="P340" s="2"/>
      <c r="Q340">
        <f t="shared" si="10"/>
        <v>3219.6923125423623</v>
      </c>
      <c r="R340">
        <f t="shared" si="11"/>
        <v>3069.5249854842386</v>
      </c>
    </row>
    <row r="341" spans="1:18" ht="16" x14ac:dyDescent="0.4">
      <c r="A341" s="2">
        <v>164562</v>
      </c>
      <c r="B341" s="2" t="s">
        <v>386</v>
      </c>
      <c r="C341" s="2" t="s">
        <v>152</v>
      </c>
      <c r="D341" s="2">
        <v>1946</v>
      </c>
      <c r="E341" s="2">
        <v>56.5</v>
      </c>
      <c r="F341" s="2" t="s">
        <v>47</v>
      </c>
      <c r="G341" s="2" t="s">
        <v>37</v>
      </c>
      <c r="H341" s="2">
        <v>2</v>
      </c>
      <c r="I341" s="2">
        <v>14</v>
      </c>
      <c r="J341" s="2" t="s">
        <v>38</v>
      </c>
      <c r="K341" s="2">
        <v>744</v>
      </c>
      <c r="L341" s="2">
        <v>45</v>
      </c>
      <c r="M341" s="2">
        <v>2987434</v>
      </c>
      <c r="N341" s="2">
        <v>2361342</v>
      </c>
      <c r="O341" s="2"/>
      <c r="P341" s="2"/>
      <c r="Q341">
        <f t="shared" si="10"/>
        <v>7052.992831541218</v>
      </c>
      <c r="R341">
        <f t="shared" si="11"/>
        <v>7300.6695992179857</v>
      </c>
    </row>
    <row r="342" spans="1:18" ht="16" x14ac:dyDescent="0.4">
      <c r="A342" s="2">
        <v>164580</v>
      </c>
      <c r="B342" s="2" t="s">
        <v>387</v>
      </c>
      <c r="C342" s="2" t="s">
        <v>152</v>
      </c>
      <c r="D342" s="2">
        <v>2324</v>
      </c>
      <c r="E342" s="2">
        <v>46.2</v>
      </c>
      <c r="F342" s="2" t="s">
        <v>47</v>
      </c>
      <c r="G342" s="2" t="s">
        <v>37</v>
      </c>
      <c r="H342" s="2">
        <v>3</v>
      </c>
      <c r="I342" s="2">
        <v>38</v>
      </c>
      <c r="J342" s="2" t="s">
        <v>41</v>
      </c>
      <c r="K342" s="2">
        <v>426</v>
      </c>
      <c r="L342" s="2">
        <v>44.6</v>
      </c>
      <c r="M342" s="2">
        <v>1569364</v>
      </c>
      <c r="N342" s="2">
        <v>1484106</v>
      </c>
      <c r="O342" s="2"/>
      <c r="P342" s="2"/>
      <c r="Q342">
        <f t="shared" si="10"/>
        <v>7811.2486578664812</v>
      </c>
      <c r="R342">
        <f t="shared" si="11"/>
        <v>6649.7347502584698</v>
      </c>
    </row>
    <row r="343" spans="1:18" ht="16" x14ac:dyDescent="0.4">
      <c r="A343" s="2">
        <v>164720</v>
      </c>
      <c r="B343" s="2" t="s">
        <v>388</v>
      </c>
      <c r="C343" s="2" t="s">
        <v>152</v>
      </c>
      <c r="D343" s="2">
        <v>1321</v>
      </c>
      <c r="E343" s="2">
        <v>52.8</v>
      </c>
      <c r="F343" s="2" t="s">
        <v>47</v>
      </c>
      <c r="G343" s="2" t="s">
        <v>37</v>
      </c>
      <c r="H343" s="2">
        <v>3</v>
      </c>
      <c r="I343" s="2">
        <v>38</v>
      </c>
      <c r="J343" s="2" t="s">
        <v>38</v>
      </c>
      <c r="K343" s="2">
        <v>386</v>
      </c>
      <c r="L343" s="2">
        <v>48.4</v>
      </c>
      <c r="M343" s="2">
        <v>465977</v>
      </c>
      <c r="N343" s="2">
        <v>362098</v>
      </c>
      <c r="O343" s="2"/>
      <c r="P343" s="2"/>
      <c r="Q343">
        <f t="shared" si="10"/>
        <v>1938.1771078662273</v>
      </c>
      <c r="R343">
        <f t="shared" si="11"/>
        <v>2339.5238382134394</v>
      </c>
    </row>
    <row r="344" spans="1:18" ht="16" x14ac:dyDescent="0.4">
      <c r="A344" s="2">
        <v>164739</v>
      </c>
      <c r="B344" s="2" t="s">
        <v>389</v>
      </c>
      <c r="C344" s="2" t="s">
        <v>152</v>
      </c>
      <c r="D344" s="2">
        <v>4108</v>
      </c>
      <c r="E344" s="2">
        <v>40.799999999999997</v>
      </c>
      <c r="F344" s="2" t="s">
        <v>47</v>
      </c>
      <c r="G344" s="2" t="s">
        <v>37</v>
      </c>
      <c r="H344" s="2">
        <v>2</v>
      </c>
      <c r="I344" s="2">
        <v>38</v>
      </c>
      <c r="J344" s="2" t="s">
        <v>38</v>
      </c>
      <c r="K344" s="2">
        <v>676</v>
      </c>
      <c r="L344" s="2">
        <v>36.700000000000003</v>
      </c>
      <c r="M344" s="2">
        <v>5590133</v>
      </c>
      <c r="N344" s="2">
        <v>2863193</v>
      </c>
      <c r="O344" s="2"/>
      <c r="P344" s="2"/>
      <c r="Q344">
        <f t="shared" si="10"/>
        <v>11540.851780790996</v>
      </c>
      <c r="R344">
        <f t="shared" si="11"/>
        <v>13063.866532058293</v>
      </c>
    </row>
    <row r="345" spans="1:18" ht="16" x14ac:dyDescent="0.4">
      <c r="A345" s="2">
        <v>164924</v>
      </c>
      <c r="B345" s="2" t="s">
        <v>390</v>
      </c>
      <c r="C345" s="2" t="s">
        <v>152</v>
      </c>
      <c r="D345" s="2">
        <v>9515</v>
      </c>
      <c r="E345" s="2">
        <v>53.1</v>
      </c>
      <c r="F345" s="2" t="s">
        <v>47</v>
      </c>
      <c r="G345" s="2" t="s">
        <v>37</v>
      </c>
      <c r="H345" s="2">
        <v>1</v>
      </c>
      <c r="I345" s="2">
        <v>38</v>
      </c>
      <c r="J345" s="2" t="s">
        <v>38</v>
      </c>
      <c r="K345" s="2">
        <v>835</v>
      </c>
      <c r="L345" s="2">
        <v>53.1</v>
      </c>
      <c r="M345" s="2">
        <v>43269163</v>
      </c>
      <c r="N345" s="2">
        <v>18959875</v>
      </c>
      <c r="O345" s="2"/>
      <c r="P345" s="2"/>
      <c r="Q345">
        <f t="shared" si="10"/>
        <v>42761.651837567799</v>
      </c>
      <c r="R345">
        <f t="shared" si="11"/>
        <v>110489.03387255341</v>
      </c>
    </row>
    <row r="346" spans="1:18" ht="16" x14ac:dyDescent="0.4">
      <c r="A346" s="2">
        <v>164988</v>
      </c>
      <c r="B346" s="2" t="s">
        <v>391</v>
      </c>
      <c r="C346" s="2" t="s">
        <v>152</v>
      </c>
      <c r="D346" s="2">
        <v>16599</v>
      </c>
      <c r="E346" s="2">
        <v>59.1</v>
      </c>
      <c r="F346" s="2" t="s">
        <v>47</v>
      </c>
      <c r="G346" s="2" t="s">
        <v>37</v>
      </c>
      <c r="H346" s="2">
        <v>1</v>
      </c>
      <c r="I346" s="2">
        <v>11</v>
      </c>
      <c r="J346" s="2" t="s">
        <v>41</v>
      </c>
      <c r="K346" s="2">
        <v>731</v>
      </c>
      <c r="L346" s="2">
        <v>54.2</v>
      </c>
      <c r="M346" s="2">
        <v>13401125</v>
      </c>
      <c r="N346" s="2">
        <v>15964608</v>
      </c>
      <c r="O346" s="2"/>
      <c r="P346" s="2"/>
      <c r="Q346">
        <f t="shared" si="10"/>
        <v>40294.112599128719</v>
      </c>
      <c r="R346">
        <f t="shared" si="11"/>
        <v>40027.494190526835</v>
      </c>
    </row>
    <row r="347" spans="1:18" ht="16" x14ac:dyDescent="0.4">
      <c r="A347" s="2">
        <v>165015</v>
      </c>
      <c r="B347" s="2" t="s">
        <v>392</v>
      </c>
      <c r="C347" s="2" t="s">
        <v>152</v>
      </c>
      <c r="D347" s="2">
        <v>3673</v>
      </c>
      <c r="E347" s="2">
        <v>60.9</v>
      </c>
      <c r="F347" s="2" t="s">
        <v>47</v>
      </c>
      <c r="G347" s="2" t="s">
        <v>37</v>
      </c>
      <c r="H347" s="2">
        <v>3</v>
      </c>
      <c r="I347" s="2">
        <v>10</v>
      </c>
      <c r="J347" s="2" t="s">
        <v>41</v>
      </c>
      <c r="K347" s="2">
        <v>415</v>
      </c>
      <c r="L347" s="2">
        <v>47</v>
      </c>
      <c r="M347" s="2">
        <v>1304894</v>
      </c>
      <c r="N347" s="2">
        <v>1431804</v>
      </c>
      <c r="O347" s="2"/>
      <c r="P347" s="2"/>
      <c r="Q347">
        <f t="shared" si="10"/>
        <v>7340.7023840041011</v>
      </c>
      <c r="R347">
        <f t="shared" si="11"/>
        <v>5932.6847010684241</v>
      </c>
    </row>
    <row r="348" spans="1:18" ht="16" x14ac:dyDescent="0.4">
      <c r="A348" s="2">
        <v>165024</v>
      </c>
      <c r="B348" s="2" t="s">
        <v>393</v>
      </c>
      <c r="C348" s="2" t="s">
        <v>152</v>
      </c>
      <c r="D348" s="2">
        <v>7627</v>
      </c>
      <c r="E348" s="2">
        <v>59.1</v>
      </c>
      <c r="F348" s="2" t="s">
        <v>36</v>
      </c>
      <c r="G348" s="2" t="s">
        <v>37</v>
      </c>
      <c r="H348" s="2">
        <v>3</v>
      </c>
      <c r="I348" s="2">
        <v>37</v>
      </c>
      <c r="J348" s="2" t="s">
        <v>38</v>
      </c>
      <c r="K348" s="2">
        <v>477</v>
      </c>
      <c r="L348" s="2">
        <v>44</v>
      </c>
      <c r="M348" s="2">
        <v>602945</v>
      </c>
      <c r="N348" s="2">
        <v>608993</v>
      </c>
      <c r="O348" s="2"/>
      <c r="P348" s="2"/>
      <c r="Q348">
        <f t="shared" si="10"/>
        <v>2901.6247379454926</v>
      </c>
      <c r="R348">
        <f t="shared" si="11"/>
        <v>2257.2064989517821</v>
      </c>
    </row>
    <row r="349" spans="1:18" ht="16" x14ac:dyDescent="0.4">
      <c r="A349" s="2">
        <v>165334</v>
      </c>
      <c r="B349" s="2" t="s">
        <v>394</v>
      </c>
      <c r="C349" s="2" t="s">
        <v>152</v>
      </c>
      <c r="D349" s="2">
        <v>2263</v>
      </c>
      <c r="E349" s="2">
        <v>60.9</v>
      </c>
      <c r="F349" s="2" t="s">
        <v>47</v>
      </c>
      <c r="G349" s="2" t="s">
        <v>37</v>
      </c>
      <c r="H349" s="2">
        <v>3</v>
      </c>
      <c r="I349" s="2">
        <v>38</v>
      </c>
      <c r="J349" s="2" t="s">
        <v>41</v>
      </c>
      <c r="K349" s="2">
        <v>351</v>
      </c>
      <c r="L349" s="2">
        <v>55.3</v>
      </c>
      <c r="M349" s="2">
        <v>720907</v>
      </c>
      <c r="N349" s="2">
        <v>823417</v>
      </c>
      <c r="O349" s="2"/>
      <c r="P349" s="2"/>
      <c r="Q349">
        <f t="shared" si="10"/>
        <v>4242.1652421652425</v>
      </c>
      <c r="R349">
        <f t="shared" si="11"/>
        <v>4594.7787401926098</v>
      </c>
    </row>
    <row r="350" spans="1:18" ht="16" x14ac:dyDescent="0.4">
      <c r="A350" s="2">
        <v>165529</v>
      </c>
      <c r="B350" s="2" t="s">
        <v>395</v>
      </c>
      <c r="C350" s="2" t="s">
        <v>152</v>
      </c>
      <c r="D350" s="2">
        <v>1955</v>
      </c>
      <c r="E350" s="2">
        <v>56.2</v>
      </c>
      <c r="F350" s="2" t="s">
        <v>47</v>
      </c>
      <c r="G350" s="2" t="s">
        <v>37</v>
      </c>
      <c r="H350" s="2">
        <v>3</v>
      </c>
      <c r="I350" s="2">
        <v>38</v>
      </c>
      <c r="J350" s="2" t="s">
        <v>38</v>
      </c>
      <c r="K350" s="2">
        <v>372</v>
      </c>
      <c r="L350" s="2">
        <v>31.2</v>
      </c>
      <c r="M350" s="2">
        <v>926239</v>
      </c>
      <c r="N350" s="2">
        <v>347393</v>
      </c>
      <c r="O350" s="2"/>
      <c r="P350" s="2"/>
      <c r="Q350">
        <f t="shared" si="10"/>
        <v>2993.1158671078028</v>
      </c>
      <c r="R350">
        <f t="shared" si="11"/>
        <v>3619.0258502125535</v>
      </c>
    </row>
    <row r="351" spans="1:18" ht="16" x14ac:dyDescent="0.4">
      <c r="A351" s="2">
        <v>165574</v>
      </c>
      <c r="B351" s="2" t="s">
        <v>396</v>
      </c>
      <c r="C351" s="2" t="s">
        <v>152</v>
      </c>
      <c r="D351" s="2">
        <v>1184</v>
      </c>
      <c r="E351" s="2">
        <v>50.8</v>
      </c>
      <c r="F351" s="2" t="s">
        <v>47</v>
      </c>
      <c r="G351" s="2" t="s">
        <v>37</v>
      </c>
      <c r="H351" s="2">
        <v>3</v>
      </c>
      <c r="I351" s="2">
        <v>38</v>
      </c>
      <c r="J351" s="2" t="s">
        <v>38</v>
      </c>
      <c r="K351" s="2">
        <v>349</v>
      </c>
      <c r="L351" s="2">
        <v>32.700000000000003</v>
      </c>
      <c r="M351" s="2">
        <v>564257</v>
      </c>
      <c r="N351" s="2">
        <v>330381</v>
      </c>
      <c r="O351" s="2"/>
      <c r="P351" s="2"/>
      <c r="Q351">
        <f t="shared" si="10"/>
        <v>2894.9554428117031</v>
      </c>
      <c r="R351">
        <f t="shared" si="11"/>
        <v>2402.3510177667463</v>
      </c>
    </row>
    <row r="352" spans="1:18" ht="16" x14ac:dyDescent="0.4">
      <c r="A352" s="2">
        <v>165644</v>
      </c>
      <c r="B352" s="2" t="s">
        <v>397</v>
      </c>
      <c r="C352" s="2" t="s">
        <v>152</v>
      </c>
      <c r="D352" s="2">
        <v>550</v>
      </c>
      <c r="E352" s="2">
        <v>51.1</v>
      </c>
      <c r="F352" s="2" t="s">
        <v>47</v>
      </c>
      <c r="G352" s="2" t="s">
        <v>37</v>
      </c>
      <c r="H352" s="2">
        <v>3</v>
      </c>
      <c r="I352" s="2">
        <v>38</v>
      </c>
      <c r="J352" s="2" t="s">
        <v>41</v>
      </c>
      <c r="K352" s="2">
        <v>194</v>
      </c>
      <c r="L352" s="2">
        <v>43.3</v>
      </c>
      <c r="M352" s="2">
        <v>318528</v>
      </c>
      <c r="N352" s="2">
        <v>300283</v>
      </c>
      <c r="O352" s="2"/>
      <c r="P352" s="2"/>
      <c r="Q352">
        <f t="shared" si="10"/>
        <v>3574.7125068450755</v>
      </c>
      <c r="R352">
        <f t="shared" si="11"/>
        <v>2895.7617411225656</v>
      </c>
    </row>
    <row r="353" spans="1:18" ht="16" x14ac:dyDescent="0.4">
      <c r="A353" s="2">
        <v>165662</v>
      </c>
      <c r="B353" s="2" t="s">
        <v>398</v>
      </c>
      <c r="C353" s="2" t="s">
        <v>152</v>
      </c>
      <c r="D353" s="2">
        <v>3827</v>
      </c>
      <c r="E353" s="2">
        <v>61.4</v>
      </c>
      <c r="F353" s="2" t="s">
        <v>47</v>
      </c>
      <c r="G353" s="2" t="s">
        <v>37</v>
      </c>
      <c r="H353" s="2">
        <v>3</v>
      </c>
      <c r="I353" s="2">
        <v>38</v>
      </c>
      <c r="J353" s="2" t="s">
        <v>41</v>
      </c>
      <c r="K353" s="2">
        <v>222</v>
      </c>
      <c r="L353" s="2">
        <v>45</v>
      </c>
      <c r="M353" s="2">
        <v>821513</v>
      </c>
      <c r="N353" s="2">
        <v>782737</v>
      </c>
      <c r="O353" s="2"/>
      <c r="P353" s="2"/>
      <c r="Q353">
        <f t="shared" si="10"/>
        <v>7835.2052052052049</v>
      </c>
      <c r="R353">
        <f t="shared" si="11"/>
        <v>6728.198198198198</v>
      </c>
    </row>
    <row r="354" spans="1:18" ht="16" x14ac:dyDescent="0.4">
      <c r="A354" s="2">
        <v>165671</v>
      </c>
      <c r="B354" s="2" t="s">
        <v>215</v>
      </c>
      <c r="C354" s="2" t="s">
        <v>152</v>
      </c>
      <c r="D354" s="2">
        <v>1953</v>
      </c>
      <c r="E354" s="2">
        <v>74.900000000000006</v>
      </c>
      <c r="F354" s="2" t="s">
        <v>47</v>
      </c>
      <c r="G354" s="2" t="s">
        <v>37</v>
      </c>
      <c r="H354" s="2">
        <v>3</v>
      </c>
      <c r="I354" s="2">
        <v>38</v>
      </c>
      <c r="J354" s="2" t="s">
        <v>41</v>
      </c>
      <c r="K354" s="2">
        <v>298</v>
      </c>
      <c r="L354" s="2">
        <v>55.4</v>
      </c>
      <c r="M354" s="2">
        <v>335244</v>
      </c>
      <c r="N354" s="2">
        <v>383993</v>
      </c>
      <c r="O354" s="2"/>
      <c r="P354" s="2"/>
      <c r="Q354">
        <f t="shared" si="10"/>
        <v>2325.9334189421652</v>
      </c>
      <c r="R354">
        <f t="shared" si="11"/>
        <v>2522.376380654287</v>
      </c>
    </row>
    <row r="355" spans="1:18" ht="16" x14ac:dyDescent="0.4">
      <c r="A355" s="2">
        <v>165699</v>
      </c>
      <c r="B355" s="2" t="s">
        <v>399</v>
      </c>
      <c r="C355" s="2" t="s">
        <v>152</v>
      </c>
      <c r="D355" s="2">
        <v>2798</v>
      </c>
      <c r="E355" s="2">
        <v>62.9</v>
      </c>
      <c r="F355" s="2" t="s">
        <v>47</v>
      </c>
      <c r="G355" s="2" t="s">
        <v>37</v>
      </c>
      <c r="H355" s="2">
        <v>3</v>
      </c>
      <c r="I355" s="2">
        <v>38</v>
      </c>
      <c r="J355" s="2" t="s">
        <v>38</v>
      </c>
      <c r="K355" s="2">
        <v>588</v>
      </c>
      <c r="L355" s="2">
        <v>41.2</v>
      </c>
      <c r="M355" s="2">
        <v>1129178</v>
      </c>
      <c r="N355" s="2">
        <v>866648</v>
      </c>
      <c r="O355" s="2"/>
      <c r="P355" s="2"/>
      <c r="Q355">
        <f t="shared" si="10"/>
        <v>3577.4057195693808</v>
      </c>
      <c r="R355">
        <f t="shared" si="11"/>
        <v>3265.9366467675509</v>
      </c>
    </row>
    <row r="356" spans="1:18" ht="16" x14ac:dyDescent="0.4">
      <c r="A356" s="2">
        <v>165820</v>
      </c>
      <c r="B356" s="2" t="s">
        <v>400</v>
      </c>
      <c r="C356" s="2" t="s">
        <v>152</v>
      </c>
      <c r="D356" s="2">
        <v>3145</v>
      </c>
      <c r="E356" s="2">
        <v>52</v>
      </c>
      <c r="F356" s="2" t="s">
        <v>36</v>
      </c>
      <c r="G356" s="2" t="s">
        <v>37</v>
      </c>
      <c r="H356" s="2">
        <v>3</v>
      </c>
      <c r="I356" s="2">
        <v>12</v>
      </c>
      <c r="J356" s="2" t="s">
        <v>38</v>
      </c>
      <c r="K356" s="2">
        <v>377</v>
      </c>
      <c r="L356" s="2">
        <v>37.9</v>
      </c>
      <c r="M356" s="2">
        <v>541973</v>
      </c>
      <c r="N356" s="2">
        <v>284261</v>
      </c>
      <c r="O356" s="2"/>
      <c r="P356" s="2"/>
      <c r="Q356">
        <f t="shared" si="10"/>
        <v>1989.4669064899251</v>
      </c>
      <c r="R356">
        <f t="shared" si="11"/>
        <v>2314.9664483997317</v>
      </c>
    </row>
    <row r="357" spans="1:18" ht="16" x14ac:dyDescent="0.4">
      <c r="A357" s="2">
        <v>165866</v>
      </c>
      <c r="B357" s="2" t="s">
        <v>401</v>
      </c>
      <c r="C357" s="2" t="s">
        <v>152</v>
      </c>
      <c r="D357" s="2">
        <v>3359</v>
      </c>
      <c r="E357" s="2">
        <v>56.7</v>
      </c>
      <c r="F357" s="2" t="s">
        <v>36</v>
      </c>
      <c r="G357" s="2" t="s">
        <v>37</v>
      </c>
      <c r="H357" s="2">
        <v>3</v>
      </c>
      <c r="I357" s="2">
        <v>37</v>
      </c>
      <c r="J357" s="2" t="s">
        <v>38</v>
      </c>
      <c r="K357" s="2">
        <v>327</v>
      </c>
      <c r="L357" s="2">
        <v>33.9</v>
      </c>
      <c r="M357" s="2">
        <v>521923</v>
      </c>
      <c r="N357" s="2">
        <v>363004</v>
      </c>
      <c r="O357" s="2"/>
      <c r="P357" s="2"/>
      <c r="Q357">
        <f t="shared" si="10"/>
        <v>3274.6429956789625</v>
      </c>
      <c r="R357">
        <f t="shared" si="11"/>
        <v>2414.6668702318334</v>
      </c>
    </row>
    <row r="358" spans="1:18" ht="16" x14ac:dyDescent="0.4">
      <c r="A358" s="2">
        <v>165936</v>
      </c>
      <c r="B358" s="2" t="s">
        <v>402</v>
      </c>
      <c r="C358" s="2" t="s">
        <v>152</v>
      </c>
      <c r="D358" s="2">
        <v>1433</v>
      </c>
      <c r="E358" s="2">
        <v>61.9</v>
      </c>
      <c r="F358" s="2" t="s">
        <v>47</v>
      </c>
      <c r="G358" s="2" t="s">
        <v>37</v>
      </c>
      <c r="H358" s="2">
        <v>3</v>
      </c>
      <c r="I358" s="2">
        <v>38</v>
      </c>
      <c r="J358" s="2" t="s">
        <v>41</v>
      </c>
      <c r="K358" s="2">
        <v>330</v>
      </c>
      <c r="L358" s="2">
        <v>51.8</v>
      </c>
      <c r="M358" s="2">
        <v>596242</v>
      </c>
      <c r="N358" s="2">
        <v>806997</v>
      </c>
      <c r="O358" s="2"/>
      <c r="P358" s="2"/>
      <c r="Q358">
        <f t="shared" si="10"/>
        <v>4720.9371709371708</v>
      </c>
      <c r="R358">
        <f t="shared" si="11"/>
        <v>3748.5351439708284</v>
      </c>
    </row>
    <row r="359" spans="1:18" ht="16" x14ac:dyDescent="0.4">
      <c r="A359" s="2">
        <v>166027</v>
      </c>
      <c r="B359" s="2" t="s">
        <v>403</v>
      </c>
      <c r="C359" s="2" t="s">
        <v>152</v>
      </c>
      <c r="D359" s="2">
        <v>6985</v>
      </c>
      <c r="E359" s="2">
        <v>49.4</v>
      </c>
      <c r="F359" s="2" t="s">
        <v>47</v>
      </c>
      <c r="G359" s="2" t="s">
        <v>37</v>
      </c>
      <c r="H359" s="2">
        <v>1</v>
      </c>
      <c r="I359" s="2">
        <v>38</v>
      </c>
      <c r="J359" s="2" t="s">
        <v>38</v>
      </c>
      <c r="K359" s="2">
        <v>1222</v>
      </c>
      <c r="L359" s="2">
        <v>45.8</v>
      </c>
      <c r="M359" s="2">
        <v>13162673</v>
      </c>
      <c r="N359" s="2">
        <v>8571905</v>
      </c>
      <c r="O359" s="2"/>
      <c r="P359" s="2"/>
      <c r="Q359">
        <f t="shared" si="10"/>
        <v>15315.834518542873</v>
      </c>
      <c r="R359">
        <f t="shared" si="11"/>
        <v>19873.465252655798</v>
      </c>
    </row>
    <row r="360" spans="1:18" ht="16" x14ac:dyDescent="0.4">
      <c r="A360" s="2">
        <v>166124</v>
      </c>
      <c r="B360" s="2" t="s">
        <v>404</v>
      </c>
      <c r="C360" s="2" t="s">
        <v>152</v>
      </c>
      <c r="D360" s="2">
        <v>2931</v>
      </c>
      <c r="E360" s="2">
        <v>52.1</v>
      </c>
      <c r="F360" s="2" t="s">
        <v>47</v>
      </c>
      <c r="G360" s="2" t="s">
        <v>37</v>
      </c>
      <c r="H360" s="2">
        <v>1</v>
      </c>
      <c r="I360" s="2">
        <v>38</v>
      </c>
      <c r="J360" s="2" t="s">
        <v>38</v>
      </c>
      <c r="K360" s="2">
        <v>885</v>
      </c>
      <c r="L360" s="2">
        <v>52</v>
      </c>
      <c r="M360" s="2">
        <v>12599572</v>
      </c>
      <c r="N360" s="2">
        <v>8853492</v>
      </c>
      <c r="O360" s="2"/>
      <c r="P360" s="2"/>
      <c r="Q360">
        <f t="shared" si="10"/>
        <v>19238.357235984357</v>
      </c>
      <c r="R360">
        <f t="shared" si="11"/>
        <v>29660.009416195855</v>
      </c>
    </row>
    <row r="361" spans="1:18" ht="16" x14ac:dyDescent="0.4">
      <c r="A361" s="2">
        <v>166391</v>
      </c>
      <c r="B361" s="2" t="s">
        <v>405</v>
      </c>
      <c r="C361" s="2" t="s">
        <v>152</v>
      </c>
      <c r="D361" s="2">
        <v>1604</v>
      </c>
      <c r="E361" s="2">
        <v>64.099999999999994</v>
      </c>
      <c r="F361" s="2" t="s">
        <v>47</v>
      </c>
      <c r="G361" s="2" t="s">
        <v>37</v>
      </c>
      <c r="H361" s="2">
        <v>3</v>
      </c>
      <c r="I361" s="2">
        <v>38</v>
      </c>
      <c r="J361" s="2" t="s">
        <v>41</v>
      </c>
      <c r="K361" s="2">
        <v>337</v>
      </c>
      <c r="L361" s="2">
        <v>48.4</v>
      </c>
      <c r="M361" s="2">
        <v>283703</v>
      </c>
      <c r="N361" s="2">
        <v>330547</v>
      </c>
      <c r="O361" s="2"/>
      <c r="P361" s="2"/>
      <c r="Q361">
        <f t="shared" si="10"/>
        <v>2026.5529587757803</v>
      </c>
      <c r="R361">
        <f t="shared" si="11"/>
        <v>1631.4896602488902</v>
      </c>
    </row>
    <row r="362" spans="1:18" ht="16" x14ac:dyDescent="0.4">
      <c r="A362" s="2">
        <v>166452</v>
      </c>
      <c r="B362" s="2" t="s">
        <v>406</v>
      </c>
      <c r="C362" s="2" t="s">
        <v>152</v>
      </c>
      <c r="D362" s="2">
        <v>1586</v>
      </c>
      <c r="E362" s="2">
        <v>77</v>
      </c>
      <c r="F362" s="2" t="s">
        <v>47</v>
      </c>
      <c r="G362" s="2" t="s">
        <v>37</v>
      </c>
      <c r="H362" s="2">
        <v>3</v>
      </c>
      <c r="I362" s="2">
        <v>9</v>
      </c>
      <c r="J362" s="2" t="s">
        <v>41</v>
      </c>
      <c r="K362" s="2">
        <v>144</v>
      </c>
      <c r="L362" s="2">
        <v>52.8</v>
      </c>
      <c r="M362" s="2">
        <v>149090</v>
      </c>
      <c r="N362" s="2">
        <v>141463</v>
      </c>
      <c r="O362" s="2"/>
      <c r="P362" s="2"/>
      <c r="Q362">
        <f t="shared" si="10"/>
        <v>1860.5718644781143</v>
      </c>
      <c r="R362">
        <f t="shared" si="11"/>
        <v>2193.5322504708097</v>
      </c>
    </row>
    <row r="363" spans="1:18" ht="16" x14ac:dyDescent="0.4">
      <c r="A363" s="2">
        <v>166513</v>
      </c>
      <c r="B363" s="2" t="s">
        <v>407</v>
      </c>
      <c r="C363" s="2" t="s">
        <v>152</v>
      </c>
      <c r="D363" s="2">
        <v>10794</v>
      </c>
      <c r="E363" s="2">
        <v>39.4</v>
      </c>
      <c r="F363" s="2" t="s">
        <v>36</v>
      </c>
      <c r="G363" s="2" t="s">
        <v>37</v>
      </c>
      <c r="H363" s="2">
        <v>1</v>
      </c>
      <c r="I363" s="2">
        <v>38</v>
      </c>
      <c r="J363" s="2" t="s">
        <v>41</v>
      </c>
      <c r="K363" s="2">
        <v>523</v>
      </c>
      <c r="L363" s="2">
        <v>40.5</v>
      </c>
      <c r="M363" s="2">
        <v>8732676</v>
      </c>
      <c r="N363" s="2">
        <v>5644581</v>
      </c>
      <c r="O363" s="2"/>
      <c r="P363" s="2"/>
      <c r="Q363">
        <f t="shared" si="10"/>
        <v>26648.636782097583</v>
      </c>
      <c r="R363">
        <f t="shared" si="11"/>
        <v>28062.650834712469</v>
      </c>
    </row>
    <row r="364" spans="1:18" ht="16" x14ac:dyDescent="0.4">
      <c r="A364" s="2">
        <v>166629</v>
      </c>
      <c r="B364" s="2" t="s">
        <v>408</v>
      </c>
      <c r="C364" s="2" t="s">
        <v>152</v>
      </c>
      <c r="D364" s="2">
        <v>22417</v>
      </c>
      <c r="E364" s="2">
        <v>49.1</v>
      </c>
      <c r="F364" s="2" t="s">
        <v>36</v>
      </c>
      <c r="G364" s="2" t="s">
        <v>37</v>
      </c>
      <c r="H364" s="2">
        <v>1</v>
      </c>
      <c r="I364" s="2">
        <v>38</v>
      </c>
      <c r="J364" s="2" t="s">
        <v>38</v>
      </c>
      <c r="K364" s="2">
        <v>693</v>
      </c>
      <c r="L364" s="2">
        <v>44.2</v>
      </c>
      <c r="M364" s="2">
        <v>20817082</v>
      </c>
      <c r="N364" s="2">
        <v>10458827</v>
      </c>
      <c r="O364" s="2"/>
      <c r="P364" s="2"/>
      <c r="Q364">
        <f t="shared" si="10"/>
        <v>34145.028174439933</v>
      </c>
      <c r="R364">
        <f t="shared" si="11"/>
        <v>53833.475564658365</v>
      </c>
    </row>
    <row r="365" spans="1:18" ht="16" x14ac:dyDescent="0.4">
      <c r="A365" s="2">
        <v>166638</v>
      </c>
      <c r="B365" s="2" t="s">
        <v>409</v>
      </c>
      <c r="C365" s="2" t="s">
        <v>152</v>
      </c>
      <c r="D365" s="2">
        <v>9890</v>
      </c>
      <c r="E365" s="2">
        <v>55.8</v>
      </c>
      <c r="F365" s="2" t="s">
        <v>36</v>
      </c>
      <c r="G365" s="2" t="s">
        <v>37</v>
      </c>
      <c r="H365" s="2">
        <v>3</v>
      </c>
      <c r="I365" s="2">
        <v>11</v>
      </c>
      <c r="J365" s="2" t="s">
        <v>41</v>
      </c>
      <c r="K365" s="2">
        <v>317</v>
      </c>
      <c r="L365" s="2">
        <v>39.1</v>
      </c>
      <c r="M365" s="2">
        <v>996813</v>
      </c>
      <c r="N365" s="2">
        <v>792946</v>
      </c>
      <c r="O365" s="2"/>
      <c r="P365" s="2"/>
      <c r="Q365">
        <f t="shared" si="10"/>
        <v>6397.4602047649396</v>
      </c>
      <c r="R365">
        <f t="shared" si="11"/>
        <v>5163.4162639275228</v>
      </c>
    </row>
    <row r="366" spans="1:18" ht="16" x14ac:dyDescent="0.4">
      <c r="A366" s="2">
        <v>166683</v>
      </c>
      <c r="B366" s="2" t="s">
        <v>410</v>
      </c>
      <c r="C366" s="2" t="s">
        <v>152</v>
      </c>
      <c r="D366" s="2">
        <v>4487</v>
      </c>
      <c r="E366" s="2">
        <v>46.8</v>
      </c>
      <c r="F366" s="2" t="s">
        <v>47</v>
      </c>
      <c r="G366" s="2" t="s">
        <v>37</v>
      </c>
      <c r="H366" s="2">
        <v>3</v>
      </c>
      <c r="I366" s="2">
        <v>17</v>
      </c>
      <c r="J366" s="2" t="s">
        <v>38</v>
      </c>
      <c r="K366" s="2">
        <v>767</v>
      </c>
      <c r="L366" s="2">
        <v>46.5</v>
      </c>
      <c r="M366" s="2">
        <v>1896183</v>
      </c>
      <c r="N366" s="2">
        <v>1553240</v>
      </c>
      <c r="O366" s="2"/>
      <c r="P366" s="2"/>
      <c r="Q366">
        <f t="shared" si="10"/>
        <v>4355.0209586294877</v>
      </c>
      <c r="R366">
        <f t="shared" si="11"/>
        <v>4620.9482264923417</v>
      </c>
    </row>
    <row r="367" spans="1:18" ht="16" x14ac:dyDescent="0.4">
      <c r="A367" s="2">
        <v>166692</v>
      </c>
      <c r="B367" s="2" t="s">
        <v>411</v>
      </c>
      <c r="C367" s="2" t="s">
        <v>152</v>
      </c>
      <c r="D367" s="2">
        <v>1616</v>
      </c>
      <c r="E367" s="2">
        <v>11.8</v>
      </c>
      <c r="F367" s="2" t="s">
        <v>36</v>
      </c>
      <c r="G367" s="2" t="s">
        <v>37</v>
      </c>
      <c r="H367" s="2">
        <v>3</v>
      </c>
      <c r="I367" s="2">
        <v>10</v>
      </c>
      <c r="J367" s="2" t="s">
        <v>38</v>
      </c>
      <c r="K367" s="2">
        <v>457</v>
      </c>
      <c r="L367" s="2">
        <v>24.1</v>
      </c>
      <c r="M367" s="2">
        <v>333716</v>
      </c>
      <c r="N367" s="2">
        <v>150771</v>
      </c>
      <c r="O367" s="2"/>
      <c r="P367" s="2"/>
      <c r="Q367">
        <f t="shared" si="10"/>
        <v>1368.9405013755593</v>
      </c>
      <c r="R367">
        <f t="shared" si="11"/>
        <v>962.09742751460931</v>
      </c>
    </row>
    <row r="368" spans="1:18" ht="16" x14ac:dyDescent="0.4">
      <c r="A368" s="2">
        <v>166850</v>
      </c>
      <c r="B368" s="2" t="s">
        <v>412</v>
      </c>
      <c r="C368" s="2" t="s">
        <v>152</v>
      </c>
      <c r="D368" s="2">
        <v>3883</v>
      </c>
      <c r="E368" s="2">
        <v>52.3</v>
      </c>
      <c r="F368" s="2" t="s">
        <v>47</v>
      </c>
      <c r="G368" s="2" t="s">
        <v>37</v>
      </c>
      <c r="H368" s="2">
        <v>1</v>
      </c>
      <c r="I368" s="2">
        <v>38</v>
      </c>
      <c r="J368" s="2" t="s">
        <v>38</v>
      </c>
      <c r="K368" s="2">
        <v>835</v>
      </c>
      <c r="L368" s="2">
        <v>50.2</v>
      </c>
      <c r="M368" s="2">
        <v>10041609</v>
      </c>
      <c r="N368" s="2">
        <v>8691156</v>
      </c>
      <c r="O368" s="2"/>
      <c r="P368" s="2"/>
      <c r="Q368">
        <f t="shared" si="10"/>
        <v>20734.203306534342</v>
      </c>
      <c r="R368">
        <f t="shared" si="11"/>
        <v>24148.351489791501</v>
      </c>
    </row>
    <row r="369" spans="1:18" ht="16" x14ac:dyDescent="0.4">
      <c r="A369" s="2">
        <v>167260</v>
      </c>
      <c r="B369" s="2" t="s">
        <v>413</v>
      </c>
      <c r="C369" s="2" t="s">
        <v>152</v>
      </c>
      <c r="D369" s="2">
        <v>1217</v>
      </c>
      <c r="E369" s="2">
        <v>36</v>
      </c>
      <c r="F369" s="2" t="s">
        <v>47</v>
      </c>
      <c r="G369" s="2" t="s">
        <v>37</v>
      </c>
      <c r="H369" s="2">
        <v>3</v>
      </c>
      <c r="I369" s="2">
        <v>38</v>
      </c>
      <c r="J369" s="2" t="s">
        <v>38</v>
      </c>
      <c r="K369" s="2">
        <v>555</v>
      </c>
      <c r="L369" s="2">
        <v>31</v>
      </c>
      <c r="M369" s="2">
        <v>1419356</v>
      </c>
      <c r="N369" s="2">
        <v>825476</v>
      </c>
      <c r="O369" s="2"/>
      <c r="P369" s="2"/>
      <c r="Q369">
        <f t="shared" si="10"/>
        <v>4797.8843359488519</v>
      </c>
      <c r="R369">
        <f t="shared" si="11"/>
        <v>3706.3742002872432</v>
      </c>
    </row>
    <row r="370" spans="1:18" ht="16" x14ac:dyDescent="0.4">
      <c r="A370" s="2">
        <v>167288</v>
      </c>
      <c r="B370" s="2" t="s">
        <v>414</v>
      </c>
      <c r="C370" s="2" t="s">
        <v>152</v>
      </c>
      <c r="D370" s="2">
        <v>1145</v>
      </c>
      <c r="E370" s="2">
        <v>60.8</v>
      </c>
      <c r="F370" s="2" t="s">
        <v>36</v>
      </c>
      <c r="G370" s="2" t="s">
        <v>37</v>
      </c>
      <c r="H370" s="2">
        <v>3</v>
      </c>
      <c r="I370" s="2">
        <v>38</v>
      </c>
      <c r="J370" s="2" t="s">
        <v>41</v>
      </c>
      <c r="K370" s="2">
        <v>211</v>
      </c>
      <c r="L370" s="2">
        <v>45.5</v>
      </c>
      <c r="M370" s="2">
        <v>255661</v>
      </c>
      <c r="N370" s="2">
        <v>266953</v>
      </c>
      <c r="O370" s="2"/>
      <c r="P370" s="2"/>
      <c r="Q370">
        <f t="shared" si="10"/>
        <v>2780.6155929378674</v>
      </c>
      <c r="R370">
        <f t="shared" si="11"/>
        <v>2223.2357928605593</v>
      </c>
    </row>
    <row r="371" spans="1:18" ht="16" x14ac:dyDescent="0.4">
      <c r="A371" s="2">
        <v>167358</v>
      </c>
      <c r="B371" s="2" t="s">
        <v>415</v>
      </c>
      <c r="C371" s="2" t="s">
        <v>152</v>
      </c>
      <c r="D371" s="2">
        <v>14034</v>
      </c>
      <c r="E371" s="2">
        <v>51.5</v>
      </c>
      <c r="F371" s="2" t="s">
        <v>47</v>
      </c>
      <c r="G371" s="2" t="s">
        <v>37</v>
      </c>
      <c r="H371" s="2">
        <v>1</v>
      </c>
      <c r="I371" s="2">
        <v>38</v>
      </c>
      <c r="J371" s="2" t="s">
        <v>41</v>
      </c>
      <c r="K371" s="2">
        <v>565</v>
      </c>
      <c r="L371" s="2">
        <v>51.9</v>
      </c>
      <c r="M371" s="2">
        <v>12424966</v>
      </c>
      <c r="N371" s="2">
        <v>12217743</v>
      </c>
      <c r="O371" s="2"/>
      <c r="P371" s="2"/>
      <c r="Q371">
        <f t="shared" si="10"/>
        <v>41665.363957235662</v>
      </c>
      <c r="R371">
        <f t="shared" si="11"/>
        <v>45719.52238146928</v>
      </c>
    </row>
    <row r="372" spans="1:18" ht="16" x14ac:dyDescent="0.4">
      <c r="A372" s="2">
        <v>167394</v>
      </c>
      <c r="B372" s="2" t="s">
        <v>416</v>
      </c>
      <c r="C372" s="2" t="s">
        <v>152</v>
      </c>
      <c r="D372" s="2">
        <v>996</v>
      </c>
      <c r="E372" s="2">
        <v>75.7</v>
      </c>
      <c r="F372" s="2" t="s">
        <v>47</v>
      </c>
      <c r="G372" s="2" t="s">
        <v>37</v>
      </c>
      <c r="H372" s="2">
        <v>3</v>
      </c>
      <c r="I372" s="2">
        <v>11</v>
      </c>
      <c r="J372" s="2" t="s">
        <v>41</v>
      </c>
      <c r="K372" s="2">
        <v>213</v>
      </c>
      <c r="L372" s="2">
        <v>54.9</v>
      </c>
      <c r="M372" s="2">
        <v>226616</v>
      </c>
      <c r="N372" s="2">
        <v>289823</v>
      </c>
      <c r="O372" s="2"/>
      <c r="P372" s="2"/>
      <c r="Q372">
        <f t="shared" si="10"/>
        <v>2478.4542103867893</v>
      </c>
      <c r="R372">
        <f t="shared" si="11"/>
        <v>2359.0352164725232</v>
      </c>
    </row>
    <row r="373" spans="1:18" ht="16" x14ac:dyDescent="0.4">
      <c r="A373" s="2">
        <v>167455</v>
      </c>
      <c r="B373" s="2" t="s">
        <v>417</v>
      </c>
      <c r="C373" s="2" t="s">
        <v>152</v>
      </c>
      <c r="D373" s="2">
        <v>244</v>
      </c>
      <c r="E373" s="2">
        <v>43.9</v>
      </c>
      <c r="F373" s="2" t="s">
        <v>47</v>
      </c>
      <c r="G373" s="2" t="s">
        <v>37</v>
      </c>
      <c r="H373" s="2">
        <v>3</v>
      </c>
      <c r="I373" s="2">
        <v>4</v>
      </c>
      <c r="J373" s="2" t="s">
        <v>41</v>
      </c>
      <c r="K373" s="2">
        <v>90</v>
      </c>
      <c r="L373" s="2">
        <v>16.7</v>
      </c>
      <c r="M373" s="2">
        <v>247171</v>
      </c>
      <c r="N373" s="2">
        <v>130875</v>
      </c>
      <c r="O373" s="2"/>
      <c r="P373" s="2"/>
      <c r="Q373">
        <f t="shared" si="10"/>
        <v>8707.5848303393213</v>
      </c>
      <c r="R373">
        <f t="shared" si="11"/>
        <v>3296.9321061758037</v>
      </c>
    </row>
    <row r="374" spans="1:18" ht="16" x14ac:dyDescent="0.4">
      <c r="A374" s="2">
        <v>167598</v>
      </c>
      <c r="B374" s="2" t="s">
        <v>418</v>
      </c>
      <c r="C374" s="2" t="s">
        <v>152</v>
      </c>
      <c r="D374" s="2">
        <v>1124</v>
      </c>
      <c r="E374" s="2">
        <v>80</v>
      </c>
      <c r="F374" s="2" t="s">
        <v>47</v>
      </c>
      <c r="G374" s="2" t="s">
        <v>37</v>
      </c>
      <c r="H374" s="2">
        <v>3</v>
      </c>
      <c r="I374" s="2">
        <v>12</v>
      </c>
      <c r="J374" s="2" t="s">
        <v>41</v>
      </c>
      <c r="K374" s="2">
        <v>274</v>
      </c>
      <c r="L374" s="2">
        <v>58.8</v>
      </c>
      <c r="M374" s="2">
        <v>396758</v>
      </c>
      <c r="N374" s="2">
        <v>521172</v>
      </c>
      <c r="O374" s="2"/>
      <c r="P374" s="2"/>
      <c r="Q374">
        <f t="shared" si="10"/>
        <v>3234.8428422463876</v>
      </c>
      <c r="R374">
        <f t="shared" si="11"/>
        <v>3514.6162568209197</v>
      </c>
    </row>
    <row r="375" spans="1:18" ht="16" x14ac:dyDescent="0.4">
      <c r="A375" s="2">
        <v>167729</v>
      </c>
      <c r="B375" s="2" t="s">
        <v>419</v>
      </c>
      <c r="C375" s="2" t="s">
        <v>152</v>
      </c>
      <c r="D375" s="2">
        <v>4980</v>
      </c>
      <c r="E375" s="2">
        <v>62.8</v>
      </c>
      <c r="F375" s="2" t="s">
        <v>36</v>
      </c>
      <c r="G375" s="2" t="s">
        <v>37</v>
      </c>
      <c r="H375" s="2">
        <v>3</v>
      </c>
      <c r="I375" s="2">
        <v>37</v>
      </c>
      <c r="J375" s="2" t="s">
        <v>41</v>
      </c>
      <c r="K375" s="2">
        <v>241</v>
      </c>
      <c r="L375" s="2">
        <v>44.8</v>
      </c>
      <c r="M375" s="2">
        <v>252130</v>
      </c>
      <c r="N375" s="2">
        <v>248862</v>
      </c>
      <c r="O375" s="2"/>
      <c r="P375" s="2"/>
      <c r="Q375">
        <f t="shared" si="10"/>
        <v>2304.9607291049201</v>
      </c>
      <c r="R375">
        <f t="shared" si="11"/>
        <v>1895.2582837212099</v>
      </c>
    </row>
    <row r="376" spans="1:18" ht="16" x14ac:dyDescent="0.4">
      <c r="A376" s="2">
        <v>167899</v>
      </c>
      <c r="B376" s="2" t="s">
        <v>420</v>
      </c>
      <c r="C376" s="2" t="s">
        <v>152</v>
      </c>
      <c r="D376" s="2">
        <v>2139</v>
      </c>
      <c r="E376" s="2">
        <v>50.1</v>
      </c>
      <c r="F376" s="2" t="s">
        <v>47</v>
      </c>
      <c r="G376" s="2" t="s">
        <v>37</v>
      </c>
      <c r="H376" s="2">
        <v>3</v>
      </c>
      <c r="I376" s="2">
        <v>14</v>
      </c>
      <c r="J376" s="2" t="s">
        <v>38</v>
      </c>
      <c r="K376" s="2">
        <v>795</v>
      </c>
      <c r="L376" s="2">
        <v>40.4</v>
      </c>
      <c r="M376" s="2">
        <v>2646094</v>
      </c>
      <c r="N376" s="2">
        <v>1763532</v>
      </c>
      <c r="O376" s="2"/>
      <c r="P376" s="2"/>
      <c r="Q376">
        <f t="shared" si="10"/>
        <v>5490.7902110965824</v>
      </c>
      <c r="R376">
        <f t="shared" si="11"/>
        <v>5584.5975264868521</v>
      </c>
    </row>
    <row r="377" spans="1:18" ht="16" x14ac:dyDescent="0.4">
      <c r="A377" s="2">
        <v>167987</v>
      </c>
      <c r="B377" s="2" t="s">
        <v>421</v>
      </c>
      <c r="C377" s="2" t="s">
        <v>152</v>
      </c>
      <c r="D377" s="2">
        <v>5439</v>
      </c>
      <c r="E377" s="2">
        <v>48.7</v>
      </c>
      <c r="F377" s="2" t="s">
        <v>36</v>
      </c>
      <c r="G377" s="2" t="s">
        <v>37</v>
      </c>
      <c r="H377" s="2">
        <v>3</v>
      </c>
      <c r="I377" s="2">
        <v>18</v>
      </c>
      <c r="J377" s="2" t="s">
        <v>38</v>
      </c>
      <c r="K377" s="2">
        <v>575</v>
      </c>
      <c r="L377" s="2">
        <v>37.700000000000003</v>
      </c>
      <c r="M377" s="2">
        <v>844310</v>
      </c>
      <c r="N377" s="2">
        <v>602537</v>
      </c>
      <c r="O377" s="2"/>
      <c r="P377" s="2"/>
      <c r="Q377">
        <f t="shared" si="10"/>
        <v>2779.5502248875559</v>
      </c>
      <c r="R377">
        <f t="shared" si="11"/>
        <v>2356.9265126666201</v>
      </c>
    </row>
    <row r="378" spans="1:18" ht="16" x14ac:dyDescent="0.4">
      <c r="A378" s="2">
        <v>167996</v>
      </c>
      <c r="B378" s="2" t="s">
        <v>422</v>
      </c>
      <c r="C378" s="2" t="s">
        <v>152</v>
      </c>
      <c r="D378" s="2">
        <v>2438</v>
      </c>
      <c r="E378" s="2">
        <v>58.8</v>
      </c>
      <c r="F378" s="2" t="s">
        <v>47</v>
      </c>
      <c r="G378" s="2" t="s">
        <v>37</v>
      </c>
      <c r="H378" s="2">
        <v>2</v>
      </c>
      <c r="I378" s="2">
        <v>17</v>
      </c>
      <c r="J378" s="2" t="s">
        <v>38</v>
      </c>
      <c r="K378" s="2">
        <v>554</v>
      </c>
      <c r="L378" s="2">
        <v>45.8</v>
      </c>
      <c r="M378" s="2">
        <v>3125202</v>
      </c>
      <c r="N378" s="2">
        <v>2658273</v>
      </c>
      <c r="O378" s="2"/>
      <c r="P378" s="2"/>
      <c r="Q378">
        <f t="shared" si="10"/>
        <v>10476.695883845949</v>
      </c>
      <c r="R378">
        <f t="shared" si="11"/>
        <v>10408.042149013547</v>
      </c>
    </row>
    <row r="379" spans="1:18" ht="16" x14ac:dyDescent="0.4">
      <c r="A379" s="2">
        <v>168005</v>
      </c>
      <c r="B379" s="2" t="s">
        <v>423</v>
      </c>
      <c r="C379" s="2" t="s">
        <v>152</v>
      </c>
      <c r="D379" s="2">
        <v>4665</v>
      </c>
      <c r="E379" s="2">
        <v>56.2</v>
      </c>
      <c r="F379" s="2" t="s">
        <v>47</v>
      </c>
      <c r="G379" s="2" t="s">
        <v>37</v>
      </c>
      <c r="H379" s="2">
        <v>3</v>
      </c>
      <c r="I379" s="2">
        <v>38</v>
      </c>
      <c r="J379" s="2" t="s">
        <v>41</v>
      </c>
      <c r="K379" s="2">
        <v>346</v>
      </c>
      <c r="L379" s="2">
        <v>44.8</v>
      </c>
      <c r="M379" s="2">
        <v>654396</v>
      </c>
      <c r="N379" s="2">
        <v>657596</v>
      </c>
      <c r="O379" s="2"/>
      <c r="P379" s="2"/>
      <c r="Q379">
        <f t="shared" si="10"/>
        <v>4242.3358794384812</v>
      </c>
      <c r="R379">
        <f t="shared" si="11"/>
        <v>3426.3005780346816</v>
      </c>
    </row>
    <row r="380" spans="1:18" ht="16" x14ac:dyDescent="0.4">
      <c r="A380" s="2">
        <v>168148</v>
      </c>
      <c r="B380" s="2" t="s">
        <v>424</v>
      </c>
      <c r="C380" s="2" t="s">
        <v>152</v>
      </c>
      <c r="D380" s="2">
        <v>5723</v>
      </c>
      <c r="E380" s="2">
        <v>53.3</v>
      </c>
      <c r="F380" s="2" t="s">
        <v>47</v>
      </c>
      <c r="G380" s="2" t="s">
        <v>37</v>
      </c>
      <c r="H380" s="2">
        <v>3</v>
      </c>
      <c r="I380" s="2">
        <v>17</v>
      </c>
      <c r="J380" s="2" t="s">
        <v>38</v>
      </c>
      <c r="K380" s="2">
        <v>965</v>
      </c>
      <c r="L380" s="2">
        <v>47.8</v>
      </c>
      <c r="M380" s="2">
        <v>2857675</v>
      </c>
      <c r="N380" s="2">
        <v>1781249</v>
      </c>
      <c r="O380" s="2"/>
      <c r="P380" s="2"/>
      <c r="Q380">
        <f t="shared" si="10"/>
        <v>3861.6190083898805</v>
      </c>
      <c r="R380">
        <f t="shared" si="11"/>
        <v>5673.0292021519463</v>
      </c>
    </row>
    <row r="381" spans="1:18" ht="16" x14ac:dyDescent="0.4">
      <c r="A381" s="2">
        <v>168227</v>
      </c>
      <c r="B381" s="2" t="s">
        <v>425</v>
      </c>
      <c r="C381" s="2" t="s">
        <v>152</v>
      </c>
      <c r="D381" s="2">
        <v>3893</v>
      </c>
      <c r="E381" s="2">
        <v>21.9</v>
      </c>
      <c r="F381" s="2" t="s">
        <v>47</v>
      </c>
      <c r="G381" s="2" t="s">
        <v>37</v>
      </c>
      <c r="H381" s="2">
        <v>3</v>
      </c>
      <c r="I381" s="2">
        <v>13</v>
      </c>
      <c r="J381" s="2" t="s">
        <v>41</v>
      </c>
      <c r="K381" s="2">
        <v>336</v>
      </c>
      <c r="L381" s="2">
        <v>31.3</v>
      </c>
      <c r="M381" s="2">
        <v>1277446</v>
      </c>
      <c r="N381" s="2">
        <v>479883</v>
      </c>
      <c r="O381" s="2"/>
      <c r="P381" s="2"/>
      <c r="Q381">
        <f t="shared" si="10"/>
        <v>4563.0134641716113</v>
      </c>
      <c r="R381">
        <f t="shared" si="11"/>
        <v>5534.0940597490808</v>
      </c>
    </row>
    <row r="382" spans="1:18" ht="16" x14ac:dyDescent="0.4">
      <c r="A382" s="2">
        <v>168254</v>
      </c>
      <c r="B382" s="2" t="s">
        <v>426</v>
      </c>
      <c r="C382" s="2" t="s">
        <v>152</v>
      </c>
      <c r="D382" s="2">
        <v>2580</v>
      </c>
      <c r="E382" s="2">
        <v>39.200000000000003</v>
      </c>
      <c r="F382" s="2" t="s">
        <v>47</v>
      </c>
      <c r="G382" s="2" t="s">
        <v>37</v>
      </c>
      <c r="H382" s="2">
        <v>3</v>
      </c>
      <c r="I382" s="2">
        <v>38</v>
      </c>
      <c r="J382" s="2" t="s">
        <v>38</v>
      </c>
      <c r="K382" s="2">
        <v>524</v>
      </c>
      <c r="L382" s="2">
        <v>32.299999999999997</v>
      </c>
      <c r="M382" s="2">
        <v>2454454</v>
      </c>
      <c r="N382" s="2">
        <v>1529211</v>
      </c>
      <c r="O382" s="2"/>
      <c r="P382" s="2"/>
      <c r="Q382">
        <f t="shared" si="10"/>
        <v>9035.113322146859</v>
      </c>
      <c r="R382">
        <f t="shared" si="11"/>
        <v>6918.8663501978863</v>
      </c>
    </row>
    <row r="383" spans="1:18" ht="16" x14ac:dyDescent="0.4">
      <c r="A383" s="2">
        <v>168263</v>
      </c>
      <c r="B383" s="2" t="s">
        <v>427</v>
      </c>
      <c r="C383" s="2" t="s">
        <v>152</v>
      </c>
      <c r="D383" s="2">
        <v>4239</v>
      </c>
      <c r="E383" s="2">
        <v>54.6</v>
      </c>
      <c r="F383" s="2" t="s">
        <v>36</v>
      </c>
      <c r="G383" s="2" t="s">
        <v>37</v>
      </c>
      <c r="H383" s="2">
        <v>3</v>
      </c>
      <c r="I383" s="2">
        <v>38</v>
      </c>
      <c r="J383" s="2" t="s">
        <v>38</v>
      </c>
      <c r="K383" s="2">
        <v>510</v>
      </c>
      <c r="L383" s="2">
        <v>42.7</v>
      </c>
      <c r="M383" s="2">
        <v>846718</v>
      </c>
      <c r="N383" s="2">
        <v>586460</v>
      </c>
      <c r="O383" s="2"/>
      <c r="P383" s="2"/>
      <c r="Q383">
        <f t="shared" si="10"/>
        <v>2693.0247508839602</v>
      </c>
      <c r="R383">
        <f t="shared" si="11"/>
        <v>2897.4369503473295</v>
      </c>
    </row>
    <row r="384" spans="1:18" ht="16" x14ac:dyDescent="0.4">
      <c r="A384" s="2">
        <v>168281</v>
      </c>
      <c r="B384" s="2" t="s">
        <v>280</v>
      </c>
      <c r="C384" s="2" t="s">
        <v>152</v>
      </c>
      <c r="D384" s="2">
        <v>1756</v>
      </c>
      <c r="E384" s="2">
        <v>60.4</v>
      </c>
      <c r="F384" s="2" t="s">
        <v>47</v>
      </c>
      <c r="G384" s="2" t="s">
        <v>37</v>
      </c>
      <c r="H384" s="2">
        <v>3</v>
      </c>
      <c r="I384" s="2">
        <v>13</v>
      </c>
      <c r="J384" s="2" t="s">
        <v>41</v>
      </c>
      <c r="K384" s="2">
        <v>465</v>
      </c>
      <c r="L384" s="2">
        <v>54</v>
      </c>
      <c r="M384" s="2">
        <v>938084</v>
      </c>
      <c r="N384" s="2">
        <v>1249120</v>
      </c>
      <c r="O384" s="2"/>
      <c r="P384" s="2"/>
      <c r="Q384">
        <f t="shared" si="10"/>
        <v>4974.5917960971719</v>
      </c>
      <c r="R384">
        <f t="shared" si="11"/>
        <v>4385.619448340346</v>
      </c>
    </row>
    <row r="385" spans="1:18" ht="16" x14ac:dyDescent="0.4">
      <c r="A385" s="2">
        <v>168342</v>
      </c>
      <c r="B385" s="2" t="s">
        <v>428</v>
      </c>
      <c r="C385" s="2" t="s">
        <v>152</v>
      </c>
      <c r="D385" s="2">
        <v>2028</v>
      </c>
      <c r="E385" s="2">
        <v>49.7</v>
      </c>
      <c r="F385" s="2" t="s">
        <v>47</v>
      </c>
      <c r="G385" s="2" t="s">
        <v>37</v>
      </c>
      <c r="H385" s="2">
        <v>3</v>
      </c>
      <c r="I385" s="2">
        <v>19</v>
      </c>
      <c r="J385" s="2" t="s">
        <v>38</v>
      </c>
      <c r="K385" s="2">
        <v>804</v>
      </c>
      <c r="L385" s="2">
        <v>43.5</v>
      </c>
      <c r="M385" s="2">
        <v>2861755</v>
      </c>
      <c r="N385" s="2">
        <v>2280384</v>
      </c>
      <c r="O385" s="2"/>
      <c r="P385" s="2"/>
      <c r="Q385">
        <f t="shared" si="10"/>
        <v>6520.22645393721</v>
      </c>
      <c r="R385">
        <f t="shared" si="11"/>
        <v>6299.8172852551397</v>
      </c>
    </row>
    <row r="386" spans="1:18" ht="16" x14ac:dyDescent="0.4">
      <c r="A386" s="2">
        <v>168421</v>
      </c>
      <c r="B386" s="2" t="s">
        <v>429</v>
      </c>
      <c r="C386" s="2" t="s">
        <v>152</v>
      </c>
      <c r="D386" s="2">
        <v>4578</v>
      </c>
      <c r="E386" s="2">
        <v>40</v>
      </c>
      <c r="F386" s="2" t="s">
        <v>47</v>
      </c>
      <c r="G386" s="2" t="s">
        <v>37</v>
      </c>
      <c r="H386" s="2">
        <v>3</v>
      </c>
      <c r="I386" s="2">
        <v>38</v>
      </c>
      <c r="J386" s="2" t="s">
        <v>38</v>
      </c>
      <c r="K386" s="2">
        <v>715</v>
      </c>
      <c r="L386" s="2">
        <v>40.1</v>
      </c>
      <c r="M386" s="2">
        <v>1410783</v>
      </c>
      <c r="N386" s="2">
        <v>1089287</v>
      </c>
      <c r="O386" s="2"/>
      <c r="P386" s="2"/>
      <c r="Q386">
        <f t="shared" si="10"/>
        <v>3799.1978096716248</v>
      </c>
      <c r="R386">
        <f t="shared" si="11"/>
        <v>3294.0285090535513</v>
      </c>
    </row>
    <row r="387" spans="1:18" ht="16" x14ac:dyDescent="0.4">
      <c r="A387" s="2">
        <v>168430</v>
      </c>
      <c r="B387" s="2" t="s">
        <v>430</v>
      </c>
      <c r="C387" s="2" t="s">
        <v>152</v>
      </c>
      <c r="D387" s="2">
        <v>4069</v>
      </c>
      <c r="E387" s="2">
        <v>62</v>
      </c>
      <c r="F387" s="2" t="s">
        <v>36</v>
      </c>
      <c r="G387" s="2" t="s">
        <v>37</v>
      </c>
      <c r="H387" s="2">
        <v>3</v>
      </c>
      <c r="I387" s="2">
        <v>38</v>
      </c>
      <c r="J387" s="2" t="s">
        <v>38</v>
      </c>
      <c r="K387" s="2">
        <v>496</v>
      </c>
      <c r="L387" s="2">
        <v>47.2</v>
      </c>
      <c r="M387" s="2">
        <v>649956</v>
      </c>
      <c r="N387" s="2">
        <v>525613</v>
      </c>
      <c r="O387" s="2"/>
      <c r="P387" s="2"/>
      <c r="Q387">
        <f t="shared" ref="Q387:Q450" si="12">N387/(K387*(0.01*L387))</f>
        <v>2245.1348072717328</v>
      </c>
      <c r="R387">
        <f t="shared" ref="R387:R450" si="13">M387/(K387*(0.01*(100-L387)))</f>
        <v>2481.8090175953075</v>
      </c>
    </row>
    <row r="388" spans="1:18" ht="16" x14ac:dyDescent="0.4">
      <c r="A388" s="2">
        <v>168528</v>
      </c>
      <c r="B388" s="2" t="s">
        <v>431</v>
      </c>
      <c r="C388" s="2" t="s">
        <v>243</v>
      </c>
      <c r="D388" s="2">
        <v>1723</v>
      </c>
      <c r="E388" s="2">
        <v>49.6</v>
      </c>
      <c r="F388" s="2" t="s">
        <v>47</v>
      </c>
      <c r="G388" s="2" t="s">
        <v>37</v>
      </c>
      <c r="H388" s="2">
        <v>3</v>
      </c>
      <c r="I388" s="2">
        <v>38</v>
      </c>
      <c r="J388" s="2" t="s">
        <v>38</v>
      </c>
      <c r="K388" s="2">
        <v>820</v>
      </c>
      <c r="L388" s="2">
        <v>42.9</v>
      </c>
      <c r="M388" s="2">
        <v>1485686</v>
      </c>
      <c r="N388" s="2">
        <v>1369938</v>
      </c>
      <c r="O388" s="2"/>
      <c r="P388" s="2"/>
      <c r="Q388">
        <f t="shared" si="12"/>
        <v>3894.3032577178924</v>
      </c>
      <c r="R388">
        <f t="shared" si="13"/>
        <v>3173.0511298107726</v>
      </c>
    </row>
    <row r="389" spans="1:18" ht="16" x14ac:dyDescent="0.4">
      <c r="A389" s="2">
        <v>168546</v>
      </c>
      <c r="B389" s="2" t="s">
        <v>432</v>
      </c>
      <c r="C389" s="2" t="s">
        <v>243</v>
      </c>
      <c r="D389" s="2">
        <v>1448</v>
      </c>
      <c r="E389" s="2">
        <v>53.3</v>
      </c>
      <c r="F389" s="2" t="s">
        <v>47</v>
      </c>
      <c r="G389" s="2" t="s">
        <v>37</v>
      </c>
      <c r="H389" s="2">
        <v>3</v>
      </c>
      <c r="I389" s="2">
        <v>38</v>
      </c>
      <c r="J389" s="2" t="s">
        <v>38</v>
      </c>
      <c r="K389" s="2">
        <v>653</v>
      </c>
      <c r="L389" s="2">
        <v>40</v>
      </c>
      <c r="M389" s="2">
        <v>1527596</v>
      </c>
      <c r="N389" s="2">
        <v>1030723</v>
      </c>
      <c r="O389" s="2"/>
      <c r="P389" s="2"/>
      <c r="Q389">
        <f t="shared" si="12"/>
        <v>3946.1064318529866</v>
      </c>
      <c r="R389">
        <f t="shared" si="13"/>
        <v>3898.9178152118425</v>
      </c>
    </row>
    <row r="390" spans="1:18" ht="16" x14ac:dyDescent="0.4">
      <c r="A390" s="2">
        <v>168591</v>
      </c>
      <c r="B390" s="2" t="s">
        <v>433</v>
      </c>
      <c r="C390" s="2" t="s">
        <v>243</v>
      </c>
      <c r="D390" s="2">
        <v>1396</v>
      </c>
      <c r="E390" s="2">
        <v>58</v>
      </c>
      <c r="F390" s="2" t="s">
        <v>47</v>
      </c>
      <c r="G390" s="2" t="s">
        <v>37</v>
      </c>
      <c r="H390" s="2">
        <v>3</v>
      </c>
      <c r="I390" s="2">
        <v>38</v>
      </c>
      <c r="J390" s="2" t="s">
        <v>38</v>
      </c>
      <c r="K390" s="2">
        <v>794</v>
      </c>
      <c r="L390" s="2">
        <v>43.8</v>
      </c>
      <c r="M390" s="2">
        <v>1737416</v>
      </c>
      <c r="N390" s="2">
        <v>1275790</v>
      </c>
      <c r="O390" s="2"/>
      <c r="P390" s="2"/>
      <c r="Q390">
        <f t="shared" si="12"/>
        <v>3668.4666965713168</v>
      </c>
      <c r="R390">
        <f t="shared" si="13"/>
        <v>3893.5611391485959</v>
      </c>
    </row>
    <row r="391" spans="1:18" ht="16" x14ac:dyDescent="0.4">
      <c r="A391" s="2">
        <v>169080</v>
      </c>
      <c r="B391" s="2" t="s">
        <v>434</v>
      </c>
      <c r="C391" s="2" t="s">
        <v>243</v>
      </c>
      <c r="D391" s="2">
        <v>3229</v>
      </c>
      <c r="E391" s="2">
        <v>53.8</v>
      </c>
      <c r="F391" s="2" t="s">
        <v>47</v>
      </c>
      <c r="G391" s="2" t="s">
        <v>37</v>
      </c>
      <c r="H391" s="2">
        <v>3</v>
      </c>
      <c r="I391" s="2">
        <v>12</v>
      </c>
      <c r="J391" s="2" t="s">
        <v>41</v>
      </c>
      <c r="K391" s="2">
        <v>650</v>
      </c>
      <c r="L391" s="2">
        <v>40.299999999999997</v>
      </c>
      <c r="M391" s="2">
        <v>1180484</v>
      </c>
      <c r="N391" s="2">
        <v>1042986</v>
      </c>
      <c r="O391" s="2"/>
      <c r="P391" s="2"/>
      <c r="Q391">
        <f t="shared" si="12"/>
        <v>3981.6224470318766</v>
      </c>
      <c r="R391">
        <f t="shared" si="13"/>
        <v>3042.0925138513071</v>
      </c>
    </row>
    <row r="392" spans="1:18" ht="16" x14ac:dyDescent="0.4">
      <c r="A392" s="2">
        <v>169248</v>
      </c>
      <c r="B392" s="2" t="s">
        <v>435</v>
      </c>
      <c r="C392" s="2" t="s">
        <v>243</v>
      </c>
      <c r="D392" s="2">
        <v>12720</v>
      </c>
      <c r="E392" s="2">
        <v>58.5</v>
      </c>
      <c r="F392" s="2" t="s">
        <v>36</v>
      </c>
      <c r="G392" s="2" t="s">
        <v>37</v>
      </c>
      <c r="H392" s="2">
        <v>1</v>
      </c>
      <c r="I392" s="2">
        <v>38</v>
      </c>
      <c r="J392" s="2" t="s">
        <v>38</v>
      </c>
      <c r="K392" s="2">
        <v>527</v>
      </c>
      <c r="L392" s="2">
        <v>50.1</v>
      </c>
      <c r="M392" s="2">
        <v>12639792</v>
      </c>
      <c r="N392" s="2">
        <v>7377831</v>
      </c>
      <c r="O392" s="2"/>
      <c r="P392" s="2"/>
      <c r="Q392">
        <f t="shared" si="12"/>
        <v>27943.471690395301</v>
      </c>
      <c r="R392">
        <f t="shared" si="13"/>
        <v>48064.980054986634</v>
      </c>
    </row>
    <row r="393" spans="1:18" ht="16" x14ac:dyDescent="0.4">
      <c r="A393" s="2">
        <v>169479</v>
      </c>
      <c r="B393" s="2" t="s">
        <v>436</v>
      </c>
      <c r="C393" s="2" t="s">
        <v>243</v>
      </c>
      <c r="D393" s="2">
        <v>2434</v>
      </c>
      <c r="E393" s="2">
        <v>46.4</v>
      </c>
      <c r="F393" s="2" t="s">
        <v>47</v>
      </c>
      <c r="G393" s="2" t="s">
        <v>37</v>
      </c>
      <c r="H393" s="2">
        <v>2</v>
      </c>
      <c r="I393" s="2">
        <v>38</v>
      </c>
      <c r="J393" s="2" t="s">
        <v>38</v>
      </c>
      <c r="K393" s="2">
        <v>600</v>
      </c>
      <c r="L393" s="2">
        <v>36.299999999999997</v>
      </c>
      <c r="M393" s="2">
        <v>7598662</v>
      </c>
      <c r="N393" s="2">
        <v>5223273</v>
      </c>
      <c r="O393" s="2"/>
      <c r="P393" s="2"/>
      <c r="Q393">
        <f t="shared" si="12"/>
        <v>23981.9696969697</v>
      </c>
      <c r="R393">
        <f t="shared" si="13"/>
        <v>19881.376242804814</v>
      </c>
    </row>
    <row r="394" spans="1:18" ht="16" x14ac:dyDescent="0.4">
      <c r="A394" s="2">
        <v>169716</v>
      </c>
      <c r="B394" s="2" t="s">
        <v>437</v>
      </c>
      <c r="C394" s="2" t="s">
        <v>243</v>
      </c>
      <c r="D394" s="2">
        <v>2349</v>
      </c>
      <c r="E394" s="2">
        <v>63.4</v>
      </c>
      <c r="F394" s="2" t="s">
        <v>47</v>
      </c>
      <c r="G394" s="2" t="s">
        <v>37</v>
      </c>
      <c r="H394" s="2">
        <v>1</v>
      </c>
      <c r="I394" s="2">
        <v>38</v>
      </c>
      <c r="J394" s="2" t="s">
        <v>41</v>
      </c>
      <c r="K394" s="2">
        <v>374</v>
      </c>
      <c r="L394" s="2">
        <v>47.3</v>
      </c>
      <c r="M394" s="2">
        <v>5540321</v>
      </c>
      <c r="N394" s="2">
        <v>4481859</v>
      </c>
      <c r="O394" s="2"/>
      <c r="P394" s="2"/>
      <c r="Q394">
        <f t="shared" si="12"/>
        <v>25335.264722840897</v>
      </c>
      <c r="R394">
        <f t="shared" si="13"/>
        <v>28109.473459903194</v>
      </c>
    </row>
    <row r="395" spans="1:18" ht="16" x14ac:dyDescent="0.4">
      <c r="A395" s="2">
        <v>169798</v>
      </c>
      <c r="B395" s="2" t="s">
        <v>438</v>
      </c>
      <c r="C395" s="2" t="s">
        <v>243</v>
      </c>
      <c r="D395" s="2">
        <v>10431</v>
      </c>
      <c r="E395" s="2">
        <v>60</v>
      </c>
      <c r="F395" s="2" t="s">
        <v>36</v>
      </c>
      <c r="G395" s="2" t="s">
        <v>37</v>
      </c>
      <c r="H395" s="2">
        <v>1</v>
      </c>
      <c r="I395" s="2">
        <v>38</v>
      </c>
      <c r="J395" s="2" t="s">
        <v>38</v>
      </c>
      <c r="K395" s="2">
        <v>494</v>
      </c>
      <c r="L395" s="2">
        <v>51.6</v>
      </c>
      <c r="M395" s="2">
        <v>12419786</v>
      </c>
      <c r="N395" s="2">
        <v>7258290</v>
      </c>
      <c r="O395" s="2"/>
      <c r="P395" s="2"/>
      <c r="Q395">
        <f t="shared" si="12"/>
        <v>28474.602203182374</v>
      </c>
      <c r="R395">
        <f t="shared" si="13"/>
        <v>51944.766955532505</v>
      </c>
    </row>
    <row r="396" spans="1:18" ht="16" x14ac:dyDescent="0.4">
      <c r="A396" s="2">
        <v>170082</v>
      </c>
      <c r="B396" s="2" t="s">
        <v>439</v>
      </c>
      <c r="C396" s="2" t="s">
        <v>243</v>
      </c>
      <c r="D396" s="2">
        <v>18808</v>
      </c>
      <c r="E396" s="2">
        <v>60.5</v>
      </c>
      <c r="F396" s="2" t="s">
        <v>36</v>
      </c>
      <c r="G396" s="2" t="s">
        <v>37</v>
      </c>
      <c r="H396" s="2">
        <v>2</v>
      </c>
      <c r="I396" s="2">
        <v>38</v>
      </c>
      <c r="J396" s="2" t="s">
        <v>38</v>
      </c>
      <c r="K396" s="2">
        <v>640</v>
      </c>
      <c r="L396" s="2">
        <v>41.3</v>
      </c>
      <c r="M396" s="2">
        <v>5961284</v>
      </c>
      <c r="N396" s="2">
        <v>5308942</v>
      </c>
      <c r="O396" s="2"/>
      <c r="P396" s="2"/>
      <c r="Q396">
        <f t="shared" si="12"/>
        <v>20085.282990314772</v>
      </c>
      <c r="R396">
        <f t="shared" si="13"/>
        <v>15867.983390119247</v>
      </c>
    </row>
    <row r="397" spans="1:18" ht="16" x14ac:dyDescent="0.4">
      <c r="A397" s="2">
        <v>170301</v>
      </c>
      <c r="B397" s="2" t="s">
        <v>440</v>
      </c>
      <c r="C397" s="2" t="s">
        <v>243</v>
      </c>
      <c r="D397" s="2">
        <v>2910</v>
      </c>
      <c r="E397" s="2">
        <v>62.5</v>
      </c>
      <c r="F397" s="2" t="s">
        <v>47</v>
      </c>
      <c r="G397" s="2" t="s">
        <v>37</v>
      </c>
      <c r="H397" s="2">
        <v>3</v>
      </c>
      <c r="I397" s="2">
        <v>11</v>
      </c>
      <c r="J397" s="2" t="s">
        <v>38</v>
      </c>
      <c r="K397" s="2">
        <v>605</v>
      </c>
      <c r="L397" s="2">
        <v>44.3</v>
      </c>
      <c r="M397" s="2">
        <v>1256495</v>
      </c>
      <c r="N397" s="2">
        <v>774845</v>
      </c>
      <c r="O397" s="2"/>
      <c r="P397" s="2"/>
      <c r="Q397">
        <f t="shared" si="12"/>
        <v>2891.0508740182454</v>
      </c>
      <c r="R397">
        <f t="shared" si="13"/>
        <v>3728.6377731946523</v>
      </c>
    </row>
    <row r="398" spans="1:18" ht="16" x14ac:dyDescent="0.4">
      <c r="A398" s="2">
        <v>170532</v>
      </c>
      <c r="B398" s="2" t="s">
        <v>441</v>
      </c>
      <c r="C398" s="2" t="s">
        <v>243</v>
      </c>
      <c r="D398" s="2">
        <v>1256</v>
      </c>
      <c r="E398" s="2">
        <v>55.9</v>
      </c>
      <c r="F398" s="2" t="s">
        <v>47</v>
      </c>
      <c r="G398" s="2" t="s">
        <v>37</v>
      </c>
      <c r="H398" s="2">
        <v>3</v>
      </c>
      <c r="I398" s="2">
        <v>38</v>
      </c>
      <c r="J398" s="2" t="s">
        <v>38</v>
      </c>
      <c r="K398" s="2">
        <v>362</v>
      </c>
      <c r="L398" s="2">
        <v>38.1</v>
      </c>
      <c r="M398" s="2">
        <v>1783440</v>
      </c>
      <c r="N398" s="2">
        <v>857548</v>
      </c>
      <c r="O398" s="2"/>
      <c r="P398" s="2"/>
      <c r="Q398">
        <f t="shared" si="12"/>
        <v>6217.6302547816886</v>
      </c>
      <c r="R398">
        <f t="shared" si="13"/>
        <v>7959.0142718160641</v>
      </c>
    </row>
    <row r="399" spans="1:18" ht="16" x14ac:dyDescent="0.4">
      <c r="A399" s="2">
        <v>170639</v>
      </c>
      <c r="B399" s="2" t="s">
        <v>442</v>
      </c>
      <c r="C399" s="2" t="s">
        <v>243</v>
      </c>
      <c r="D399" s="2">
        <v>1538</v>
      </c>
      <c r="E399" s="2">
        <v>51.9</v>
      </c>
      <c r="F399" s="2" t="s">
        <v>36</v>
      </c>
      <c r="G399" s="2" t="s">
        <v>37</v>
      </c>
      <c r="H399" s="2">
        <v>2</v>
      </c>
      <c r="I399" s="2">
        <v>38</v>
      </c>
      <c r="J399" s="2" t="s">
        <v>41</v>
      </c>
      <c r="K399" s="2">
        <v>144</v>
      </c>
      <c r="L399" s="2">
        <v>45.8</v>
      </c>
      <c r="M399" s="2">
        <v>2217050</v>
      </c>
      <c r="N399" s="2">
        <v>1137050</v>
      </c>
      <c r="O399" s="2"/>
      <c r="P399" s="2"/>
      <c r="Q399">
        <f t="shared" si="12"/>
        <v>17240.568898592916</v>
      </c>
      <c r="R399">
        <f t="shared" si="13"/>
        <v>28406.237187371873</v>
      </c>
    </row>
    <row r="400" spans="1:18" ht="16" x14ac:dyDescent="0.4">
      <c r="A400" s="2">
        <v>170976</v>
      </c>
      <c r="B400" s="2" t="s">
        <v>443</v>
      </c>
      <c r="C400" s="2" t="s">
        <v>243</v>
      </c>
      <c r="D400" s="2">
        <v>30057</v>
      </c>
      <c r="E400" s="2">
        <v>50.3</v>
      </c>
      <c r="F400" s="2" t="s">
        <v>36</v>
      </c>
      <c r="G400" s="2" t="s">
        <v>37</v>
      </c>
      <c r="H400" s="2">
        <v>1</v>
      </c>
      <c r="I400" s="2">
        <v>38</v>
      </c>
      <c r="J400" s="2" t="s">
        <v>38</v>
      </c>
      <c r="K400" s="2">
        <v>1150</v>
      </c>
      <c r="L400" s="2">
        <v>49.8</v>
      </c>
      <c r="M400" s="2">
        <v>72151558</v>
      </c>
      <c r="N400" s="2">
        <v>27724590</v>
      </c>
      <c r="O400" s="2"/>
      <c r="P400" s="2"/>
      <c r="Q400">
        <f t="shared" si="12"/>
        <v>48410.319539025666</v>
      </c>
      <c r="R400">
        <f t="shared" si="13"/>
        <v>124981.04624978348</v>
      </c>
    </row>
    <row r="401" spans="1:18" ht="16" x14ac:dyDescent="0.4">
      <c r="A401" s="2">
        <v>171100</v>
      </c>
      <c r="B401" s="2" t="s">
        <v>444</v>
      </c>
      <c r="C401" s="2" t="s">
        <v>243</v>
      </c>
      <c r="D401" s="2">
        <v>35575</v>
      </c>
      <c r="E401" s="2">
        <v>50.9</v>
      </c>
      <c r="F401" s="2" t="s">
        <v>36</v>
      </c>
      <c r="G401" s="2" t="s">
        <v>37</v>
      </c>
      <c r="H401" s="2">
        <v>1</v>
      </c>
      <c r="I401" s="2">
        <v>38</v>
      </c>
      <c r="J401" s="2" t="s">
        <v>38</v>
      </c>
      <c r="K401" s="2">
        <v>876</v>
      </c>
      <c r="L401" s="2">
        <v>50</v>
      </c>
      <c r="M401" s="2">
        <v>67908850</v>
      </c>
      <c r="N401" s="2">
        <v>19415878</v>
      </c>
      <c r="O401" s="2"/>
      <c r="P401" s="2"/>
      <c r="Q401">
        <f t="shared" si="12"/>
        <v>44328.488584474886</v>
      </c>
      <c r="R401">
        <f t="shared" si="13"/>
        <v>155043.03652968036</v>
      </c>
    </row>
    <row r="402" spans="1:18" ht="16" x14ac:dyDescent="0.4">
      <c r="A402" s="2">
        <v>171128</v>
      </c>
      <c r="B402" s="2" t="s">
        <v>445</v>
      </c>
      <c r="C402" s="2" t="s">
        <v>243</v>
      </c>
      <c r="D402" s="2">
        <v>5381</v>
      </c>
      <c r="E402" s="2">
        <v>28.6</v>
      </c>
      <c r="F402" s="2" t="s">
        <v>36</v>
      </c>
      <c r="G402" s="2" t="s">
        <v>37</v>
      </c>
      <c r="H402" s="2">
        <v>2</v>
      </c>
      <c r="I402" s="2">
        <v>38</v>
      </c>
      <c r="J402" s="2" t="s">
        <v>38</v>
      </c>
      <c r="K402" s="2">
        <v>369</v>
      </c>
      <c r="L402" s="2">
        <v>29.5</v>
      </c>
      <c r="M402" s="2">
        <v>5102557</v>
      </c>
      <c r="N402" s="2">
        <v>2291382</v>
      </c>
      <c r="O402" s="2"/>
      <c r="P402" s="2"/>
      <c r="Q402">
        <f t="shared" si="12"/>
        <v>21049.855312112446</v>
      </c>
      <c r="R402">
        <f t="shared" si="13"/>
        <v>19614.280497414904</v>
      </c>
    </row>
    <row r="403" spans="1:18" ht="16" x14ac:dyDescent="0.4">
      <c r="A403" s="2">
        <v>171456</v>
      </c>
      <c r="B403" s="2" t="s">
        <v>446</v>
      </c>
      <c r="C403" s="2" t="s">
        <v>243</v>
      </c>
      <c r="D403" s="2">
        <v>6180</v>
      </c>
      <c r="E403" s="2">
        <v>55.3</v>
      </c>
      <c r="F403" s="2" t="s">
        <v>36</v>
      </c>
      <c r="G403" s="2" t="s">
        <v>37</v>
      </c>
      <c r="H403" s="2">
        <v>2</v>
      </c>
      <c r="I403" s="2">
        <v>12</v>
      </c>
      <c r="J403" s="2" t="s">
        <v>38</v>
      </c>
      <c r="K403" s="2">
        <v>404</v>
      </c>
      <c r="L403" s="2">
        <v>48</v>
      </c>
      <c r="M403" s="2">
        <v>6417481</v>
      </c>
      <c r="N403" s="2">
        <v>3929737</v>
      </c>
      <c r="O403" s="2"/>
      <c r="P403" s="2"/>
      <c r="Q403">
        <f t="shared" si="12"/>
        <v>20264.732879537954</v>
      </c>
      <c r="R403">
        <f t="shared" si="13"/>
        <v>30547.796077684688</v>
      </c>
    </row>
    <row r="404" spans="1:18" ht="16" x14ac:dyDescent="0.4">
      <c r="A404" s="2">
        <v>171492</v>
      </c>
      <c r="B404" s="2" t="s">
        <v>447</v>
      </c>
      <c r="C404" s="2" t="s">
        <v>243</v>
      </c>
      <c r="D404" s="2">
        <v>1537</v>
      </c>
      <c r="E404" s="2">
        <v>38.5</v>
      </c>
      <c r="F404" s="2" t="s">
        <v>47</v>
      </c>
      <c r="G404" s="2" t="s">
        <v>37</v>
      </c>
      <c r="H404" s="2">
        <v>2</v>
      </c>
      <c r="I404" s="2">
        <v>38</v>
      </c>
      <c r="J404" s="2" t="s">
        <v>38</v>
      </c>
      <c r="K404" s="2">
        <v>450</v>
      </c>
      <c r="L404" s="2">
        <v>32.4</v>
      </c>
      <c r="M404" s="2">
        <v>4972249</v>
      </c>
      <c r="N404" s="2">
        <v>2974085</v>
      </c>
      <c r="O404" s="2"/>
      <c r="P404" s="2"/>
      <c r="Q404">
        <f t="shared" si="12"/>
        <v>20398.388203017832</v>
      </c>
      <c r="R404">
        <f t="shared" si="13"/>
        <v>16345.328731097963</v>
      </c>
    </row>
    <row r="405" spans="1:18" ht="16" x14ac:dyDescent="0.4">
      <c r="A405" s="2">
        <v>171571</v>
      </c>
      <c r="B405" s="2" t="s">
        <v>448</v>
      </c>
      <c r="C405" s="2" t="s">
        <v>243</v>
      </c>
      <c r="D405" s="2">
        <v>12418</v>
      </c>
      <c r="E405" s="2">
        <v>57.6</v>
      </c>
      <c r="F405" s="2" t="s">
        <v>36</v>
      </c>
      <c r="G405" s="2" t="s">
        <v>37</v>
      </c>
      <c r="H405" s="2">
        <v>1</v>
      </c>
      <c r="I405" s="2">
        <v>38</v>
      </c>
      <c r="J405" s="2" t="s">
        <v>41</v>
      </c>
      <c r="K405" s="2">
        <v>350</v>
      </c>
      <c r="L405" s="2">
        <v>57.4</v>
      </c>
      <c r="M405" s="2">
        <v>4800387</v>
      </c>
      <c r="N405" s="2">
        <v>5457203</v>
      </c>
      <c r="O405" s="2"/>
      <c r="P405" s="2"/>
      <c r="Q405">
        <f t="shared" si="12"/>
        <v>27163.777999004484</v>
      </c>
      <c r="R405">
        <f t="shared" si="13"/>
        <v>32195.754527162971</v>
      </c>
    </row>
    <row r="406" spans="1:18" ht="16" x14ac:dyDescent="0.4">
      <c r="A406" s="2">
        <v>171599</v>
      </c>
      <c r="B406" s="2" t="s">
        <v>449</v>
      </c>
      <c r="C406" s="2" t="s">
        <v>243</v>
      </c>
      <c r="D406" s="2">
        <v>959</v>
      </c>
      <c r="E406" s="2">
        <v>42.2</v>
      </c>
      <c r="F406" s="2" t="s">
        <v>47</v>
      </c>
      <c r="G406" s="2" t="s">
        <v>37</v>
      </c>
      <c r="H406" s="2">
        <v>3</v>
      </c>
      <c r="I406" s="2">
        <v>15</v>
      </c>
      <c r="J406" s="2" t="s">
        <v>38</v>
      </c>
      <c r="K406" s="2">
        <v>604</v>
      </c>
      <c r="L406" s="2">
        <v>29.5</v>
      </c>
      <c r="M406" s="2">
        <v>1559711</v>
      </c>
      <c r="N406" s="2">
        <v>740377</v>
      </c>
      <c r="O406" s="2"/>
      <c r="P406" s="2"/>
      <c r="Q406">
        <f t="shared" si="12"/>
        <v>4155.2194410147049</v>
      </c>
      <c r="R406">
        <f t="shared" si="13"/>
        <v>3662.8411065708515</v>
      </c>
    </row>
    <row r="407" spans="1:18" ht="16" x14ac:dyDescent="0.4">
      <c r="A407" s="2">
        <v>172051</v>
      </c>
      <c r="B407" s="2" t="s">
        <v>450</v>
      </c>
      <c r="C407" s="2" t="s">
        <v>243</v>
      </c>
      <c r="D407" s="2">
        <v>6208</v>
      </c>
      <c r="E407" s="2">
        <v>61.8</v>
      </c>
      <c r="F407" s="2" t="s">
        <v>36</v>
      </c>
      <c r="G407" s="2" t="s">
        <v>37</v>
      </c>
      <c r="H407" s="2">
        <v>2</v>
      </c>
      <c r="I407" s="2">
        <v>11</v>
      </c>
      <c r="J407" s="2" t="s">
        <v>38</v>
      </c>
      <c r="K407" s="2">
        <v>588</v>
      </c>
      <c r="L407" s="2">
        <v>39.6</v>
      </c>
      <c r="M407" s="2">
        <v>3974123</v>
      </c>
      <c r="N407" s="2">
        <v>2345460</v>
      </c>
      <c r="O407" s="2"/>
      <c r="P407" s="2"/>
      <c r="Q407">
        <f t="shared" si="12"/>
        <v>10072.923108637393</v>
      </c>
      <c r="R407">
        <f t="shared" si="13"/>
        <v>11189.921498400685</v>
      </c>
    </row>
    <row r="408" spans="1:18" ht="16" x14ac:dyDescent="0.4">
      <c r="A408" s="2">
        <v>172440</v>
      </c>
      <c r="B408" s="2" t="s">
        <v>451</v>
      </c>
      <c r="C408" s="2" t="s">
        <v>243</v>
      </c>
      <c r="D408" s="2">
        <v>367</v>
      </c>
      <c r="E408" s="2">
        <v>47.7</v>
      </c>
      <c r="F408" s="2" t="s">
        <v>47</v>
      </c>
      <c r="G408" s="2" t="s">
        <v>37</v>
      </c>
      <c r="H408" s="2">
        <v>3</v>
      </c>
      <c r="I408" s="2">
        <v>38</v>
      </c>
      <c r="J408" s="2" t="s">
        <v>38</v>
      </c>
      <c r="K408" s="2">
        <v>206</v>
      </c>
      <c r="L408" s="2">
        <v>36.9</v>
      </c>
      <c r="M408" s="2">
        <v>1611928</v>
      </c>
      <c r="N408" s="2">
        <v>1043858</v>
      </c>
      <c r="O408" s="2"/>
      <c r="P408" s="2"/>
      <c r="Q408">
        <f t="shared" si="12"/>
        <v>13732.444023469361</v>
      </c>
      <c r="R408">
        <f t="shared" si="13"/>
        <v>12400.781622636285</v>
      </c>
    </row>
    <row r="409" spans="1:18" ht="16" x14ac:dyDescent="0.4">
      <c r="A409" s="2">
        <v>172644</v>
      </c>
      <c r="B409" s="2" t="s">
        <v>452</v>
      </c>
      <c r="C409" s="2" t="s">
        <v>243</v>
      </c>
      <c r="D409" s="2">
        <v>13076</v>
      </c>
      <c r="E409" s="2">
        <v>58.7</v>
      </c>
      <c r="F409" s="2" t="s">
        <v>36</v>
      </c>
      <c r="G409" s="2" t="s">
        <v>37</v>
      </c>
      <c r="H409" s="2">
        <v>2</v>
      </c>
      <c r="I409" s="2">
        <v>38</v>
      </c>
      <c r="J409" s="2" t="s">
        <v>38</v>
      </c>
      <c r="K409" s="2">
        <v>419</v>
      </c>
      <c r="L409" s="2">
        <v>41.8</v>
      </c>
      <c r="M409" s="2">
        <v>5185786</v>
      </c>
      <c r="N409" s="2">
        <v>3348558</v>
      </c>
      <c r="O409" s="2"/>
      <c r="P409" s="2"/>
      <c r="Q409">
        <f t="shared" si="12"/>
        <v>19119.103356133881</v>
      </c>
      <c r="R409">
        <f t="shared" si="13"/>
        <v>21265.597191808345</v>
      </c>
    </row>
    <row r="410" spans="1:18" ht="16" x14ac:dyDescent="0.4">
      <c r="A410" s="2">
        <v>172699</v>
      </c>
      <c r="B410" s="2" t="s">
        <v>453</v>
      </c>
      <c r="C410" s="2" t="s">
        <v>243</v>
      </c>
      <c r="D410" s="2">
        <v>14515</v>
      </c>
      <c r="E410" s="2">
        <v>49</v>
      </c>
      <c r="F410" s="2" t="s">
        <v>36</v>
      </c>
      <c r="G410" s="2" t="s">
        <v>37</v>
      </c>
      <c r="H410" s="2">
        <v>1</v>
      </c>
      <c r="I410" s="2">
        <v>38</v>
      </c>
      <c r="J410" s="2" t="s">
        <v>38</v>
      </c>
      <c r="K410" s="2">
        <v>450</v>
      </c>
      <c r="L410" s="2">
        <v>49.1</v>
      </c>
      <c r="M410" s="2">
        <v>15833280</v>
      </c>
      <c r="N410" s="2">
        <v>6067090</v>
      </c>
      <c r="O410" s="2"/>
      <c r="P410" s="2"/>
      <c r="Q410">
        <f t="shared" si="12"/>
        <v>27459.108395564606</v>
      </c>
      <c r="R410">
        <f t="shared" si="13"/>
        <v>69125.867714472814</v>
      </c>
    </row>
    <row r="411" spans="1:18" ht="16" x14ac:dyDescent="0.4">
      <c r="A411" s="2">
        <v>173045</v>
      </c>
      <c r="B411" s="2" t="s">
        <v>454</v>
      </c>
      <c r="C411" s="2" t="s">
        <v>302</v>
      </c>
      <c r="D411" s="2">
        <v>2166</v>
      </c>
      <c r="E411" s="2">
        <v>55</v>
      </c>
      <c r="F411" s="2" t="s">
        <v>47</v>
      </c>
      <c r="G411" s="2" t="s">
        <v>37</v>
      </c>
      <c r="H411" s="2">
        <v>3</v>
      </c>
      <c r="I411" s="2">
        <v>38</v>
      </c>
      <c r="J411" s="2" t="s">
        <v>38</v>
      </c>
      <c r="K411" s="2">
        <v>498</v>
      </c>
      <c r="L411" s="2">
        <v>36.1</v>
      </c>
      <c r="M411" s="2">
        <v>1835432</v>
      </c>
      <c r="N411" s="2">
        <v>1237914</v>
      </c>
      <c r="O411" s="2"/>
      <c r="P411" s="2"/>
      <c r="Q411">
        <f t="shared" si="12"/>
        <v>6885.7924773887789</v>
      </c>
      <c r="R411">
        <f t="shared" si="13"/>
        <v>5767.772184198453</v>
      </c>
    </row>
    <row r="412" spans="1:18" ht="16" x14ac:dyDescent="0.4">
      <c r="A412" s="2">
        <v>173124</v>
      </c>
      <c r="B412" s="2" t="s">
        <v>455</v>
      </c>
      <c r="C412" s="2" t="s">
        <v>302</v>
      </c>
      <c r="D412" s="2">
        <v>3017</v>
      </c>
      <c r="E412" s="2">
        <v>52.9</v>
      </c>
      <c r="F412" s="2" t="s">
        <v>36</v>
      </c>
      <c r="G412" s="2" t="s">
        <v>37</v>
      </c>
      <c r="H412" s="2">
        <v>2</v>
      </c>
      <c r="I412" s="2">
        <v>38</v>
      </c>
      <c r="J412" s="2" t="s">
        <v>38</v>
      </c>
      <c r="K412" s="2">
        <v>401</v>
      </c>
      <c r="L412" s="2">
        <v>52.1</v>
      </c>
      <c r="M412" s="2">
        <v>3159587</v>
      </c>
      <c r="N412" s="2">
        <v>3014856</v>
      </c>
      <c r="O412" s="2"/>
      <c r="P412" s="2"/>
      <c r="Q412">
        <f t="shared" si="12"/>
        <v>14430.602955184015</v>
      </c>
      <c r="R412">
        <f t="shared" si="13"/>
        <v>16449.414043180153</v>
      </c>
    </row>
    <row r="413" spans="1:18" ht="16" x14ac:dyDescent="0.4">
      <c r="A413" s="2">
        <v>173142</v>
      </c>
      <c r="B413" s="2" t="s">
        <v>456</v>
      </c>
      <c r="C413" s="2" t="s">
        <v>302</v>
      </c>
      <c r="D413" s="2">
        <v>581</v>
      </c>
      <c r="E413" s="2">
        <v>54</v>
      </c>
      <c r="F413" s="2" t="s">
        <v>47</v>
      </c>
      <c r="G413" s="2" t="s">
        <v>37</v>
      </c>
      <c r="H413" s="2">
        <v>3</v>
      </c>
      <c r="I413" s="2">
        <v>38</v>
      </c>
      <c r="J413" s="2" t="s">
        <v>41</v>
      </c>
      <c r="K413" s="2">
        <v>292</v>
      </c>
      <c r="L413" s="2">
        <v>46.6</v>
      </c>
      <c r="M413" s="2">
        <v>529175</v>
      </c>
      <c r="N413" s="2">
        <v>578235</v>
      </c>
      <c r="O413" s="2"/>
      <c r="P413" s="2"/>
      <c r="Q413">
        <f t="shared" si="12"/>
        <v>4249.4782174143102</v>
      </c>
      <c r="R413">
        <f t="shared" si="13"/>
        <v>3393.7137653275872</v>
      </c>
    </row>
    <row r="414" spans="1:18" ht="16" x14ac:dyDescent="0.4">
      <c r="A414" s="2">
        <v>173160</v>
      </c>
      <c r="B414" s="2" t="s">
        <v>457</v>
      </c>
      <c r="C414" s="2" t="s">
        <v>302</v>
      </c>
      <c r="D414" s="2">
        <v>2248</v>
      </c>
      <c r="E414" s="2">
        <v>62.7</v>
      </c>
      <c r="F414" s="2" t="s">
        <v>47</v>
      </c>
      <c r="G414" s="2" t="s">
        <v>37</v>
      </c>
      <c r="H414" s="2">
        <v>3</v>
      </c>
      <c r="I414" s="2">
        <v>38</v>
      </c>
      <c r="J414" s="2" t="s">
        <v>38</v>
      </c>
      <c r="K414" s="2">
        <v>658</v>
      </c>
      <c r="L414" s="2">
        <v>43</v>
      </c>
      <c r="M414" s="2">
        <v>1363242</v>
      </c>
      <c r="N414" s="2">
        <v>859009</v>
      </c>
      <c r="O414" s="2"/>
      <c r="P414" s="2"/>
      <c r="Q414">
        <f t="shared" si="12"/>
        <v>3036.0111684456069</v>
      </c>
      <c r="R414">
        <f t="shared" si="13"/>
        <v>3634.7304431290986</v>
      </c>
    </row>
    <row r="415" spans="1:18" ht="16" x14ac:dyDescent="0.4">
      <c r="A415" s="2">
        <v>173258</v>
      </c>
      <c r="B415" s="2" t="s">
        <v>458</v>
      </c>
      <c r="C415" s="2" t="s">
        <v>302</v>
      </c>
      <c r="D415" s="2">
        <v>2065</v>
      </c>
      <c r="E415" s="2">
        <v>50.9</v>
      </c>
      <c r="F415" s="2" t="s">
        <v>47</v>
      </c>
      <c r="G415" s="2" t="s">
        <v>37</v>
      </c>
      <c r="H415" s="2">
        <v>3</v>
      </c>
      <c r="I415" s="2">
        <v>10</v>
      </c>
      <c r="J415" s="2" t="s">
        <v>38</v>
      </c>
      <c r="K415" s="2">
        <v>488</v>
      </c>
      <c r="L415" s="2">
        <v>41.2</v>
      </c>
      <c r="M415" s="2">
        <v>1403516</v>
      </c>
      <c r="N415" s="2">
        <v>1113676</v>
      </c>
      <c r="O415" s="2"/>
      <c r="P415" s="2"/>
      <c r="Q415">
        <f t="shared" si="12"/>
        <v>5539.133375775903</v>
      </c>
      <c r="R415">
        <f t="shared" si="13"/>
        <v>4891.2540426006472</v>
      </c>
    </row>
    <row r="416" spans="1:18" ht="16" x14ac:dyDescent="0.4">
      <c r="A416" s="2">
        <v>173300</v>
      </c>
      <c r="B416" s="2" t="s">
        <v>459</v>
      </c>
      <c r="C416" s="2" t="s">
        <v>302</v>
      </c>
      <c r="D416" s="2">
        <v>1923</v>
      </c>
      <c r="E416" s="2">
        <v>57</v>
      </c>
      <c r="F416" s="2" t="s">
        <v>47</v>
      </c>
      <c r="G416" s="2" t="s">
        <v>37</v>
      </c>
      <c r="H416" s="2">
        <v>3</v>
      </c>
      <c r="I416" s="2">
        <v>15</v>
      </c>
      <c r="J416" s="2" t="s">
        <v>38</v>
      </c>
      <c r="K416" s="2">
        <v>638</v>
      </c>
      <c r="L416" s="2">
        <v>38.6</v>
      </c>
      <c r="M416" s="2">
        <v>1393070</v>
      </c>
      <c r="N416" s="2">
        <v>777455</v>
      </c>
      <c r="O416" s="2"/>
      <c r="P416" s="2"/>
      <c r="Q416">
        <f t="shared" si="12"/>
        <v>3156.9469033735604</v>
      </c>
      <c r="R416">
        <f t="shared" si="13"/>
        <v>3556.1812667844347</v>
      </c>
    </row>
    <row r="417" spans="1:18" ht="16" x14ac:dyDescent="0.4">
      <c r="A417" s="2">
        <v>173328</v>
      </c>
      <c r="B417" s="2" t="s">
        <v>460</v>
      </c>
      <c r="C417" s="2" t="s">
        <v>302</v>
      </c>
      <c r="D417" s="2">
        <v>1642</v>
      </c>
      <c r="E417" s="2">
        <v>58.8</v>
      </c>
      <c r="F417" s="2" t="s">
        <v>47</v>
      </c>
      <c r="G417" s="2" t="s">
        <v>37</v>
      </c>
      <c r="H417" s="2">
        <v>2</v>
      </c>
      <c r="I417" s="2">
        <v>36</v>
      </c>
      <c r="J417" s="2" t="s">
        <v>38</v>
      </c>
      <c r="K417" s="2">
        <v>458</v>
      </c>
      <c r="L417" s="2">
        <v>41</v>
      </c>
      <c r="M417" s="2">
        <v>2709212</v>
      </c>
      <c r="N417" s="2">
        <v>2325540</v>
      </c>
      <c r="O417" s="2"/>
      <c r="P417" s="2"/>
      <c r="Q417">
        <f t="shared" si="12"/>
        <v>12384.385983597827</v>
      </c>
      <c r="R417">
        <f t="shared" si="13"/>
        <v>10025.94922655614</v>
      </c>
    </row>
    <row r="418" spans="1:18" ht="16" x14ac:dyDescent="0.4">
      <c r="A418" s="2">
        <v>173452</v>
      </c>
      <c r="B418" s="2" t="s">
        <v>461</v>
      </c>
      <c r="C418" s="2" t="s">
        <v>302</v>
      </c>
      <c r="D418" s="2">
        <v>705</v>
      </c>
      <c r="E418" s="2">
        <v>50.9</v>
      </c>
      <c r="F418" s="2" t="s">
        <v>47</v>
      </c>
      <c r="G418" s="2" t="s">
        <v>37</v>
      </c>
      <c r="H418" s="2">
        <v>3</v>
      </c>
      <c r="I418" s="2">
        <v>10</v>
      </c>
      <c r="J418" s="2" t="s">
        <v>38</v>
      </c>
      <c r="K418" s="2">
        <v>263</v>
      </c>
      <c r="L418" s="2">
        <v>36.9</v>
      </c>
      <c r="M418" s="2">
        <v>300551</v>
      </c>
      <c r="N418" s="2">
        <v>235353</v>
      </c>
      <c r="O418" s="2"/>
      <c r="P418" s="2"/>
      <c r="Q418">
        <f t="shared" si="12"/>
        <v>2425.1445176048719</v>
      </c>
      <c r="R418">
        <f t="shared" si="13"/>
        <v>1811.0609630437534</v>
      </c>
    </row>
    <row r="419" spans="1:18" ht="16" x14ac:dyDescent="0.4">
      <c r="A419" s="2">
        <v>173647</v>
      </c>
      <c r="B419" s="2" t="s">
        <v>462</v>
      </c>
      <c r="C419" s="2" t="s">
        <v>302</v>
      </c>
      <c r="D419" s="2">
        <v>2212</v>
      </c>
      <c r="E419" s="2">
        <v>59.5</v>
      </c>
      <c r="F419" s="2" t="s">
        <v>47</v>
      </c>
      <c r="G419" s="2" t="s">
        <v>37</v>
      </c>
      <c r="H419" s="2">
        <v>3</v>
      </c>
      <c r="I419" s="2">
        <v>13</v>
      </c>
      <c r="J419" s="2" t="s">
        <v>38</v>
      </c>
      <c r="K419" s="2">
        <v>772</v>
      </c>
      <c r="L419" s="2">
        <v>44.3</v>
      </c>
      <c r="M419" s="2">
        <v>1656274</v>
      </c>
      <c r="N419" s="2">
        <v>1279395</v>
      </c>
      <c r="O419" s="2"/>
      <c r="P419" s="2"/>
      <c r="Q419">
        <f t="shared" si="12"/>
        <v>3740.9648066059253</v>
      </c>
      <c r="R419">
        <f t="shared" si="13"/>
        <v>3851.7641696356313</v>
      </c>
    </row>
    <row r="420" spans="1:18" ht="16" x14ac:dyDescent="0.4">
      <c r="A420" s="2">
        <v>173665</v>
      </c>
      <c r="B420" s="2" t="s">
        <v>463</v>
      </c>
      <c r="C420" s="2" t="s">
        <v>302</v>
      </c>
      <c r="D420" s="2">
        <v>1996</v>
      </c>
      <c r="E420" s="2">
        <v>62.9</v>
      </c>
      <c r="F420" s="2" t="s">
        <v>47</v>
      </c>
      <c r="G420" s="2" t="s">
        <v>37</v>
      </c>
      <c r="H420" s="2">
        <v>3</v>
      </c>
      <c r="I420" s="2">
        <v>38</v>
      </c>
      <c r="J420" s="2" t="s">
        <v>38</v>
      </c>
      <c r="K420" s="2">
        <v>517</v>
      </c>
      <c r="L420" s="2">
        <v>47.2</v>
      </c>
      <c r="M420" s="2">
        <v>1434930</v>
      </c>
      <c r="N420" s="2">
        <v>1088532</v>
      </c>
      <c r="O420" s="2"/>
      <c r="P420" s="2"/>
      <c r="Q420">
        <f t="shared" si="12"/>
        <v>4460.7579582336157</v>
      </c>
      <c r="R420">
        <f t="shared" si="13"/>
        <v>5256.61596623879</v>
      </c>
    </row>
    <row r="421" spans="1:18" ht="16" x14ac:dyDescent="0.4">
      <c r="A421" s="2">
        <v>173902</v>
      </c>
      <c r="B421" s="2" t="s">
        <v>464</v>
      </c>
      <c r="C421" s="2" t="s">
        <v>302</v>
      </c>
      <c r="D421" s="2">
        <v>2062</v>
      </c>
      <c r="E421" s="2">
        <v>57.9</v>
      </c>
      <c r="F421" s="2" t="s">
        <v>47</v>
      </c>
      <c r="G421" s="2" t="s">
        <v>37</v>
      </c>
      <c r="H421" s="2">
        <v>3</v>
      </c>
      <c r="I421" s="2">
        <v>38</v>
      </c>
      <c r="J421" s="2" t="s">
        <v>38</v>
      </c>
      <c r="K421" s="2">
        <v>417</v>
      </c>
      <c r="L421" s="2">
        <v>44.1</v>
      </c>
      <c r="M421" s="2">
        <v>1518896</v>
      </c>
      <c r="N421" s="2">
        <v>1162937</v>
      </c>
      <c r="O421" s="2"/>
      <c r="P421" s="2"/>
      <c r="Q421">
        <f t="shared" si="12"/>
        <v>6323.8497637264345</v>
      </c>
      <c r="R421">
        <f t="shared" si="13"/>
        <v>6515.9864952403013</v>
      </c>
    </row>
    <row r="422" spans="1:18" ht="16" x14ac:dyDescent="0.4">
      <c r="A422" s="2">
        <v>173920</v>
      </c>
      <c r="B422" s="2" t="s">
        <v>465</v>
      </c>
      <c r="C422" s="2" t="s">
        <v>302</v>
      </c>
      <c r="D422" s="2">
        <v>10316</v>
      </c>
      <c r="E422" s="2">
        <v>51.8</v>
      </c>
      <c r="F422" s="2" t="s">
        <v>36</v>
      </c>
      <c r="G422" s="2" t="s">
        <v>37</v>
      </c>
      <c r="H422" s="2">
        <v>2</v>
      </c>
      <c r="I422" s="2">
        <v>14</v>
      </c>
      <c r="J422" s="2" t="s">
        <v>38</v>
      </c>
      <c r="K422" s="2">
        <v>557</v>
      </c>
      <c r="L422" s="2">
        <v>49.6</v>
      </c>
      <c r="M422" s="2">
        <v>5595854</v>
      </c>
      <c r="N422" s="2">
        <v>4147262</v>
      </c>
      <c r="O422" s="2"/>
      <c r="P422" s="2"/>
      <c r="Q422">
        <f t="shared" si="12"/>
        <v>15011.517634794693</v>
      </c>
      <c r="R422">
        <f t="shared" si="13"/>
        <v>19933.366105269157</v>
      </c>
    </row>
    <row r="423" spans="1:18" ht="16" x14ac:dyDescent="0.4">
      <c r="A423" s="2">
        <v>174066</v>
      </c>
      <c r="B423" s="2" t="s">
        <v>466</v>
      </c>
      <c r="C423" s="2" t="s">
        <v>302</v>
      </c>
      <c r="D423" s="2">
        <v>29236</v>
      </c>
      <c r="E423" s="2">
        <v>53.6</v>
      </c>
      <c r="F423" s="2" t="s">
        <v>36</v>
      </c>
      <c r="G423" s="2" t="s">
        <v>37</v>
      </c>
      <c r="H423" s="2">
        <v>1</v>
      </c>
      <c r="I423" s="2">
        <v>38</v>
      </c>
      <c r="J423" s="2" t="s">
        <v>38</v>
      </c>
      <c r="K423" s="2">
        <v>763</v>
      </c>
      <c r="L423" s="2">
        <v>50.1</v>
      </c>
      <c r="M423" s="2">
        <v>55495918</v>
      </c>
      <c r="N423" s="2">
        <v>21005485</v>
      </c>
      <c r="O423" s="2"/>
      <c r="P423" s="2"/>
      <c r="Q423">
        <f t="shared" si="12"/>
        <v>54950.348320397214</v>
      </c>
      <c r="R423">
        <f t="shared" si="13"/>
        <v>145759.19335394248</v>
      </c>
    </row>
    <row r="424" spans="1:18" ht="16" x14ac:dyDescent="0.4">
      <c r="A424" s="2">
        <v>174075</v>
      </c>
      <c r="B424" s="2" t="s">
        <v>467</v>
      </c>
      <c r="C424" s="2" t="s">
        <v>302</v>
      </c>
      <c r="D424" s="2">
        <v>1165</v>
      </c>
      <c r="E424" s="2">
        <v>52.3</v>
      </c>
      <c r="F424" s="2" t="s">
        <v>36</v>
      </c>
      <c r="G424" s="2" t="s">
        <v>37</v>
      </c>
      <c r="H424" s="2">
        <v>2</v>
      </c>
      <c r="I424" s="2">
        <v>10</v>
      </c>
      <c r="J424" s="2" t="s">
        <v>38</v>
      </c>
      <c r="K424" s="2">
        <v>289</v>
      </c>
      <c r="L424" s="2">
        <v>44.6</v>
      </c>
      <c r="M424" s="2">
        <v>2065607</v>
      </c>
      <c r="N424" s="2">
        <v>1758437</v>
      </c>
      <c r="O424" s="2"/>
      <c r="P424" s="2"/>
      <c r="Q424">
        <f t="shared" si="12"/>
        <v>13642.504693779383</v>
      </c>
      <c r="R424">
        <f t="shared" si="13"/>
        <v>12901.496508563076</v>
      </c>
    </row>
    <row r="425" spans="1:18" ht="16" x14ac:dyDescent="0.4">
      <c r="A425" s="2">
        <v>174233</v>
      </c>
      <c r="B425" s="2" t="s">
        <v>468</v>
      </c>
      <c r="C425" s="2" t="s">
        <v>302</v>
      </c>
      <c r="D425" s="2">
        <v>8411</v>
      </c>
      <c r="E425" s="2">
        <v>47.7</v>
      </c>
      <c r="F425" s="2" t="s">
        <v>36</v>
      </c>
      <c r="G425" s="2" t="s">
        <v>37</v>
      </c>
      <c r="H425" s="2">
        <v>2</v>
      </c>
      <c r="I425" s="2">
        <v>38</v>
      </c>
      <c r="J425" s="2" t="s">
        <v>38</v>
      </c>
      <c r="K425" s="2">
        <v>506</v>
      </c>
      <c r="L425" s="2">
        <v>46.2</v>
      </c>
      <c r="M425" s="2">
        <v>5540276</v>
      </c>
      <c r="N425" s="2">
        <v>3876437</v>
      </c>
      <c r="O425" s="2"/>
      <c r="P425" s="2"/>
      <c r="Q425">
        <f t="shared" si="12"/>
        <v>16582.127029755487</v>
      </c>
      <c r="R425">
        <f t="shared" si="13"/>
        <v>20351.602333338229</v>
      </c>
    </row>
    <row r="426" spans="1:18" ht="16" x14ac:dyDescent="0.4">
      <c r="A426" s="2">
        <v>174251</v>
      </c>
      <c r="B426" s="2" t="s">
        <v>469</v>
      </c>
      <c r="C426" s="2" t="s">
        <v>302</v>
      </c>
      <c r="D426" s="2">
        <v>1349</v>
      </c>
      <c r="E426" s="2">
        <v>58</v>
      </c>
      <c r="F426" s="2" t="s">
        <v>36</v>
      </c>
      <c r="G426" s="2" t="s">
        <v>37</v>
      </c>
      <c r="H426" s="2">
        <v>3</v>
      </c>
      <c r="I426" s="2">
        <v>38</v>
      </c>
      <c r="J426" s="2" t="s">
        <v>38</v>
      </c>
      <c r="K426" s="2">
        <v>372</v>
      </c>
      <c r="L426" s="2">
        <v>45.7</v>
      </c>
      <c r="M426" s="2">
        <v>727630</v>
      </c>
      <c r="N426" s="2">
        <v>679528</v>
      </c>
      <c r="O426" s="2"/>
      <c r="P426" s="2"/>
      <c r="Q426">
        <f t="shared" si="12"/>
        <v>3997.1294793063689</v>
      </c>
      <c r="R426">
        <f t="shared" si="13"/>
        <v>3602.2000435652189</v>
      </c>
    </row>
    <row r="427" spans="1:18" ht="16" x14ac:dyDescent="0.4">
      <c r="A427" s="2">
        <v>174358</v>
      </c>
      <c r="B427" s="2" t="s">
        <v>470</v>
      </c>
      <c r="C427" s="2" t="s">
        <v>302</v>
      </c>
      <c r="D427" s="2">
        <v>3757</v>
      </c>
      <c r="E427" s="2">
        <v>60.4</v>
      </c>
      <c r="F427" s="2" t="s">
        <v>36</v>
      </c>
      <c r="G427" s="2" t="s">
        <v>37</v>
      </c>
      <c r="H427" s="2">
        <v>2</v>
      </c>
      <c r="I427" s="2">
        <v>38</v>
      </c>
      <c r="J427" s="2" t="s">
        <v>38</v>
      </c>
      <c r="K427" s="2">
        <v>427</v>
      </c>
      <c r="L427" s="2">
        <v>43.3</v>
      </c>
      <c r="M427" s="2">
        <v>2147117</v>
      </c>
      <c r="N427" s="2">
        <v>1976293</v>
      </c>
      <c r="O427" s="2"/>
      <c r="P427" s="2"/>
      <c r="Q427">
        <f t="shared" si="12"/>
        <v>10688.962686123175</v>
      </c>
      <c r="R427">
        <f t="shared" si="13"/>
        <v>8868.3898574608938</v>
      </c>
    </row>
    <row r="428" spans="1:18" ht="16" x14ac:dyDescent="0.4">
      <c r="A428" s="2">
        <v>174437</v>
      </c>
      <c r="B428" s="2" t="s">
        <v>471</v>
      </c>
      <c r="C428" s="2" t="s">
        <v>302</v>
      </c>
      <c r="D428" s="2">
        <v>922</v>
      </c>
      <c r="E428" s="2">
        <v>56.9</v>
      </c>
      <c r="F428" s="2" t="s">
        <v>47</v>
      </c>
      <c r="G428" s="2" t="s">
        <v>37</v>
      </c>
      <c r="H428" s="2">
        <v>3</v>
      </c>
      <c r="I428" s="2">
        <v>38</v>
      </c>
      <c r="J428" s="2" t="s">
        <v>41</v>
      </c>
      <c r="K428" s="2">
        <v>201</v>
      </c>
      <c r="L428" s="2">
        <v>49.8</v>
      </c>
      <c r="M428" s="2">
        <v>344893</v>
      </c>
      <c r="N428" s="2">
        <v>318973</v>
      </c>
      <c r="O428" s="2"/>
      <c r="P428" s="2"/>
      <c r="Q428">
        <f t="shared" si="12"/>
        <v>3186.6071250174828</v>
      </c>
      <c r="R428">
        <f t="shared" si="13"/>
        <v>3418.0987492814811</v>
      </c>
    </row>
    <row r="429" spans="1:18" ht="16" x14ac:dyDescent="0.4">
      <c r="A429" s="2">
        <v>174491</v>
      </c>
      <c r="B429" s="2" t="s">
        <v>472</v>
      </c>
      <c r="C429" s="2" t="s">
        <v>302</v>
      </c>
      <c r="D429" s="2">
        <v>1603</v>
      </c>
      <c r="E429" s="2">
        <v>58</v>
      </c>
      <c r="F429" s="2" t="s">
        <v>47</v>
      </c>
      <c r="G429" s="2" t="s">
        <v>37</v>
      </c>
      <c r="H429" s="2">
        <v>3</v>
      </c>
      <c r="I429" s="2">
        <v>38</v>
      </c>
      <c r="J429" s="2" t="s">
        <v>38</v>
      </c>
      <c r="K429" s="2">
        <v>386</v>
      </c>
      <c r="L429" s="2">
        <v>37.6</v>
      </c>
      <c r="M429" s="2">
        <v>769623</v>
      </c>
      <c r="N429" s="2">
        <v>521669</v>
      </c>
      <c r="O429" s="2"/>
      <c r="P429" s="2"/>
      <c r="Q429">
        <f t="shared" si="12"/>
        <v>3594.345992724066</v>
      </c>
      <c r="R429">
        <f t="shared" si="13"/>
        <v>3195.2595655639698</v>
      </c>
    </row>
    <row r="430" spans="1:18" ht="16" x14ac:dyDescent="0.4">
      <c r="A430" s="2">
        <v>174783</v>
      </c>
      <c r="B430" s="2" t="s">
        <v>473</v>
      </c>
      <c r="C430" s="2" t="s">
        <v>302</v>
      </c>
      <c r="D430" s="2">
        <v>6683</v>
      </c>
      <c r="E430" s="2">
        <v>51.1</v>
      </c>
      <c r="F430" s="2" t="s">
        <v>36</v>
      </c>
      <c r="G430" s="2" t="s">
        <v>37</v>
      </c>
      <c r="H430" s="2">
        <v>2</v>
      </c>
      <c r="I430" s="2">
        <v>38</v>
      </c>
      <c r="J430" s="2" t="s">
        <v>38</v>
      </c>
      <c r="K430" s="2">
        <v>503</v>
      </c>
      <c r="L430" s="2">
        <v>50.3</v>
      </c>
      <c r="M430" s="2">
        <v>4852743</v>
      </c>
      <c r="N430" s="2">
        <v>3515685</v>
      </c>
      <c r="O430" s="2"/>
      <c r="P430" s="2"/>
      <c r="Q430">
        <f t="shared" si="12"/>
        <v>13895.493836187645</v>
      </c>
      <c r="R430">
        <f t="shared" si="13"/>
        <v>19411.670820149524</v>
      </c>
    </row>
    <row r="431" spans="1:18" ht="16" x14ac:dyDescent="0.4">
      <c r="A431" s="2">
        <v>174817</v>
      </c>
      <c r="B431" s="2" t="s">
        <v>474</v>
      </c>
      <c r="C431" s="2" t="s">
        <v>302</v>
      </c>
      <c r="D431" s="2">
        <v>1121</v>
      </c>
      <c r="E431" s="2">
        <v>54.5</v>
      </c>
      <c r="F431" s="2" t="s">
        <v>47</v>
      </c>
      <c r="G431" s="2" t="s">
        <v>37</v>
      </c>
      <c r="H431" s="2">
        <v>3</v>
      </c>
      <c r="I431" s="2">
        <v>38</v>
      </c>
      <c r="J431" s="2" t="s">
        <v>41</v>
      </c>
      <c r="K431" s="2">
        <v>408</v>
      </c>
      <c r="L431" s="2">
        <v>48.3</v>
      </c>
      <c r="M431" s="2">
        <v>799413</v>
      </c>
      <c r="N431" s="2">
        <v>820299</v>
      </c>
      <c r="O431" s="2"/>
      <c r="P431" s="2"/>
      <c r="Q431">
        <f t="shared" si="12"/>
        <v>4162.6019973206676</v>
      </c>
      <c r="R431">
        <f t="shared" si="13"/>
        <v>3789.8367277278417</v>
      </c>
    </row>
    <row r="432" spans="1:18" ht="16" x14ac:dyDescent="0.4">
      <c r="A432" s="2">
        <v>174844</v>
      </c>
      <c r="B432" s="2" t="s">
        <v>475</v>
      </c>
      <c r="C432" s="2" t="s">
        <v>302</v>
      </c>
      <c r="D432" s="2">
        <v>3030</v>
      </c>
      <c r="E432" s="2">
        <v>58.3</v>
      </c>
      <c r="F432" s="2" t="s">
        <v>47</v>
      </c>
      <c r="G432" s="2" t="s">
        <v>37</v>
      </c>
      <c r="H432" s="2">
        <v>3</v>
      </c>
      <c r="I432" s="2">
        <v>37</v>
      </c>
      <c r="J432" s="2" t="s">
        <v>38</v>
      </c>
      <c r="K432" s="2">
        <v>601</v>
      </c>
      <c r="L432" s="2">
        <v>39.6</v>
      </c>
      <c r="M432" s="2">
        <v>1438223</v>
      </c>
      <c r="N432" s="2">
        <v>1018339</v>
      </c>
      <c r="O432" s="2"/>
      <c r="P432" s="2"/>
      <c r="Q432">
        <f t="shared" si="12"/>
        <v>4278.8072068438123</v>
      </c>
      <c r="R432">
        <f t="shared" si="13"/>
        <v>3962.0031735187495</v>
      </c>
    </row>
    <row r="433" spans="1:18" ht="16" x14ac:dyDescent="0.4">
      <c r="A433" s="2">
        <v>174862</v>
      </c>
      <c r="B433" s="2" t="s">
        <v>476</v>
      </c>
      <c r="C433" s="2" t="s">
        <v>302</v>
      </c>
      <c r="D433" s="2">
        <v>528</v>
      </c>
      <c r="E433" s="2">
        <v>50.9</v>
      </c>
      <c r="F433" s="2" t="s">
        <v>47</v>
      </c>
      <c r="G433" s="2" t="s">
        <v>37</v>
      </c>
      <c r="H433" s="2">
        <v>3</v>
      </c>
      <c r="I433" s="2">
        <v>11</v>
      </c>
      <c r="J433" s="2" t="s">
        <v>38</v>
      </c>
      <c r="K433" s="2">
        <v>248</v>
      </c>
      <c r="L433" s="2">
        <v>41.9</v>
      </c>
      <c r="M433" s="2">
        <v>460484</v>
      </c>
      <c r="N433" s="2">
        <v>357099</v>
      </c>
      <c r="O433" s="2"/>
      <c r="P433" s="2"/>
      <c r="Q433">
        <f t="shared" si="12"/>
        <v>3436.5520825313729</v>
      </c>
      <c r="R433">
        <f t="shared" si="13"/>
        <v>3195.8525345622115</v>
      </c>
    </row>
    <row r="434" spans="1:18" ht="16" x14ac:dyDescent="0.4">
      <c r="A434" s="2">
        <v>174899</v>
      </c>
      <c r="B434" s="2" t="s">
        <v>477</v>
      </c>
      <c r="C434" s="2" t="s">
        <v>302</v>
      </c>
      <c r="D434" s="2">
        <v>2058</v>
      </c>
      <c r="E434" s="2">
        <v>68.8</v>
      </c>
      <c r="F434" s="2" t="s">
        <v>47</v>
      </c>
      <c r="G434" s="2" t="s">
        <v>37</v>
      </c>
      <c r="H434" s="2">
        <v>3</v>
      </c>
      <c r="I434" s="2">
        <v>38</v>
      </c>
      <c r="J434" s="2" t="s">
        <v>38</v>
      </c>
      <c r="K434" s="2">
        <v>520</v>
      </c>
      <c r="L434" s="2">
        <v>45</v>
      </c>
      <c r="M434" s="2">
        <v>1906517</v>
      </c>
      <c r="N434" s="2">
        <v>1318256</v>
      </c>
      <c r="O434" s="2"/>
      <c r="P434" s="2"/>
      <c r="Q434">
        <f t="shared" si="12"/>
        <v>5633.5726495726494</v>
      </c>
      <c r="R434">
        <f t="shared" si="13"/>
        <v>6666.143356643357</v>
      </c>
    </row>
    <row r="435" spans="1:18" ht="16" x14ac:dyDescent="0.4">
      <c r="A435" s="2">
        <v>174914</v>
      </c>
      <c r="B435" s="2" t="s">
        <v>478</v>
      </c>
      <c r="C435" s="2" t="s">
        <v>302</v>
      </c>
      <c r="D435" s="2">
        <v>6136</v>
      </c>
      <c r="E435" s="2">
        <v>47.1</v>
      </c>
      <c r="F435" s="2" t="s">
        <v>47</v>
      </c>
      <c r="G435" s="2" t="s">
        <v>37</v>
      </c>
      <c r="H435" s="2">
        <v>3</v>
      </c>
      <c r="I435" s="2">
        <v>38</v>
      </c>
      <c r="J435" s="2" t="s">
        <v>38</v>
      </c>
      <c r="K435" s="2">
        <v>896</v>
      </c>
      <c r="L435" s="2">
        <v>38.200000000000003</v>
      </c>
      <c r="M435" s="2">
        <v>2334365</v>
      </c>
      <c r="N435" s="2">
        <v>1264063</v>
      </c>
      <c r="O435" s="2"/>
      <c r="P435" s="2"/>
      <c r="Q435">
        <f t="shared" si="12"/>
        <v>3693.1533984667162</v>
      </c>
      <c r="R435">
        <f t="shared" si="13"/>
        <v>4215.7250491215909</v>
      </c>
    </row>
    <row r="436" spans="1:18" ht="16" x14ac:dyDescent="0.4">
      <c r="A436" s="2">
        <v>175078</v>
      </c>
      <c r="B436" s="2" t="s">
        <v>479</v>
      </c>
      <c r="C436" s="2" t="s">
        <v>302</v>
      </c>
      <c r="D436" s="2">
        <v>1454</v>
      </c>
      <c r="E436" s="2">
        <v>56.1</v>
      </c>
      <c r="F436" s="2" t="s">
        <v>36</v>
      </c>
      <c r="G436" s="2" t="s">
        <v>37</v>
      </c>
      <c r="H436" s="2">
        <v>2</v>
      </c>
      <c r="I436" s="2">
        <v>38</v>
      </c>
      <c r="J436" s="2" t="s">
        <v>38</v>
      </c>
      <c r="K436" s="2">
        <v>426</v>
      </c>
      <c r="L436" s="2">
        <v>37.1</v>
      </c>
      <c r="M436" s="2">
        <v>2119553</v>
      </c>
      <c r="N436" s="2">
        <v>1595483</v>
      </c>
      <c r="O436" s="2"/>
      <c r="P436" s="2"/>
      <c r="Q436">
        <f t="shared" si="12"/>
        <v>10095.054604355695</v>
      </c>
      <c r="R436">
        <f t="shared" si="13"/>
        <v>7910.1375609246361</v>
      </c>
    </row>
    <row r="437" spans="1:18" ht="16" x14ac:dyDescent="0.4">
      <c r="A437" s="2">
        <v>175272</v>
      </c>
      <c r="B437" s="2" t="s">
        <v>480</v>
      </c>
      <c r="C437" s="2" t="s">
        <v>302</v>
      </c>
      <c r="D437" s="2">
        <v>6048</v>
      </c>
      <c r="E437" s="2">
        <v>65.7</v>
      </c>
      <c r="F437" s="2" t="s">
        <v>36</v>
      </c>
      <c r="G437" s="2" t="s">
        <v>37</v>
      </c>
      <c r="H437" s="2">
        <v>2</v>
      </c>
      <c r="I437" s="2">
        <v>12</v>
      </c>
      <c r="J437" s="2" t="s">
        <v>38</v>
      </c>
      <c r="K437" s="2">
        <v>383</v>
      </c>
      <c r="L437" s="2">
        <v>51.2</v>
      </c>
      <c r="M437" s="2">
        <v>2613362</v>
      </c>
      <c r="N437" s="2">
        <v>2465544</v>
      </c>
      <c r="O437" s="2"/>
      <c r="P437" s="2"/>
      <c r="Q437">
        <f t="shared" si="12"/>
        <v>12573.147845953003</v>
      </c>
      <c r="R437">
        <f t="shared" si="13"/>
        <v>13982.375979112272</v>
      </c>
    </row>
    <row r="438" spans="1:18" ht="16" x14ac:dyDescent="0.4">
      <c r="A438" s="2">
        <v>175342</v>
      </c>
      <c r="B438" s="2" t="s">
        <v>481</v>
      </c>
      <c r="C438" s="2" t="s">
        <v>35</v>
      </c>
      <c r="D438" s="2">
        <v>2643</v>
      </c>
      <c r="E438" s="2">
        <v>64.5</v>
      </c>
      <c r="F438" s="2" t="s">
        <v>36</v>
      </c>
      <c r="G438" s="2" t="s">
        <v>37</v>
      </c>
      <c r="H438" s="2">
        <v>1</v>
      </c>
      <c r="I438" s="2">
        <v>38</v>
      </c>
      <c r="J438" s="2" t="s">
        <v>38</v>
      </c>
      <c r="K438" s="2">
        <v>289</v>
      </c>
      <c r="L438" s="2">
        <v>37.4</v>
      </c>
      <c r="M438" s="2">
        <v>3542480</v>
      </c>
      <c r="N438" s="2">
        <v>1907326</v>
      </c>
      <c r="O438" s="2"/>
      <c r="P438" s="2"/>
      <c r="Q438">
        <f t="shared" si="12"/>
        <v>17646.374183520529</v>
      </c>
      <c r="R438">
        <f t="shared" si="13"/>
        <v>19581.016394529997</v>
      </c>
    </row>
    <row r="439" spans="1:18" ht="16" x14ac:dyDescent="0.4">
      <c r="A439" s="2">
        <v>175421</v>
      </c>
      <c r="B439" s="2" t="s">
        <v>482</v>
      </c>
      <c r="C439" s="2" t="s">
        <v>35</v>
      </c>
      <c r="D439" s="2">
        <v>1156</v>
      </c>
      <c r="E439" s="2">
        <v>57.7</v>
      </c>
      <c r="F439" s="2" t="s">
        <v>47</v>
      </c>
      <c r="G439" s="2" t="s">
        <v>37</v>
      </c>
      <c r="H439" s="2">
        <v>3</v>
      </c>
      <c r="I439" s="2">
        <v>10</v>
      </c>
      <c r="J439" s="2" t="s">
        <v>38</v>
      </c>
      <c r="K439" s="2">
        <v>358</v>
      </c>
      <c r="L439" s="2">
        <v>30.4</v>
      </c>
      <c r="M439" s="2">
        <v>1563152</v>
      </c>
      <c r="N439" s="2">
        <v>768910</v>
      </c>
      <c r="O439" s="2"/>
      <c r="P439" s="2"/>
      <c r="Q439">
        <f t="shared" si="12"/>
        <v>7065.1095266098209</v>
      </c>
      <c r="R439">
        <f t="shared" si="13"/>
        <v>6273.4861619469602</v>
      </c>
    </row>
    <row r="440" spans="1:18" ht="16" x14ac:dyDescent="0.4">
      <c r="A440" s="2">
        <v>175616</v>
      </c>
      <c r="B440" s="2" t="s">
        <v>483</v>
      </c>
      <c r="C440" s="2" t="s">
        <v>35</v>
      </c>
      <c r="D440" s="2">
        <v>1971</v>
      </c>
      <c r="E440" s="2">
        <v>55.4</v>
      </c>
      <c r="F440" s="2" t="s">
        <v>36</v>
      </c>
      <c r="G440" s="2" t="s">
        <v>37</v>
      </c>
      <c r="H440" s="2">
        <v>2</v>
      </c>
      <c r="I440" s="2">
        <v>37</v>
      </c>
      <c r="J440" s="2" t="s">
        <v>38</v>
      </c>
      <c r="K440" s="2">
        <v>391</v>
      </c>
      <c r="L440" s="2">
        <v>27.4</v>
      </c>
      <c r="M440" s="2">
        <v>3078298</v>
      </c>
      <c r="N440" s="2">
        <v>1141320</v>
      </c>
      <c r="O440" s="2"/>
      <c r="P440" s="2"/>
      <c r="Q440">
        <f t="shared" si="12"/>
        <v>10653.200664588274</v>
      </c>
      <c r="R440">
        <f t="shared" si="13"/>
        <v>10844.194091578422</v>
      </c>
    </row>
    <row r="441" spans="1:18" ht="16" x14ac:dyDescent="0.4">
      <c r="A441" s="2">
        <v>175856</v>
      </c>
      <c r="B441" s="2" t="s">
        <v>484</v>
      </c>
      <c r="C441" s="2" t="s">
        <v>35</v>
      </c>
      <c r="D441" s="2">
        <v>4123</v>
      </c>
      <c r="E441" s="2">
        <v>62</v>
      </c>
      <c r="F441" s="2" t="s">
        <v>36</v>
      </c>
      <c r="G441" s="2" t="s">
        <v>37</v>
      </c>
      <c r="H441" s="2">
        <v>1</v>
      </c>
      <c r="I441" s="2">
        <v>38</v>
      </c>
      <c r="J441" s="2" t="s">
        <v>38</v>
      </c>
      <c r="K441" s="2">
        <v>427</v>
      </c>
      <c r="L441" s="2">
        <v>38.4</v>
      </c>
      <c r="M441" s="2">
        <v>4219349</v>
      </c>
      <c r="N441" s="2">
        <v>2481258</v>
      </c>
      <c r="O441" s="2"/>
      <c r="P441" s="2"/>
      <c r="Q441">
        <f t="shared" si="12"/>
        <v>15132.574648711945</v>
      </c>
      <c r="R441">
        <f t="shared" si="13"/>
        <v>16041.200310228414</v>
      </c>
    </row>
    <row r="442" spans="1:18" ht="16" x14ac:dyDescent="0.4">
      <c r="A442" s="2">
        <v>175980</v>
      </c>
      <c r="B442" s="2" t="s">
        <v>485</v>
      </c>
      <c r="C442" s="2" t="s">
        <v>35</v>
      </c>
      <c r="D442" s="2">
        <v>768</v>
      </c>
      <c r="E442" s="2">
        <v>54.8</v>
      </c>
      <c r="F442" s="2" t="s">
        <v>47</v>
      </c>
      <c r="G442" s="2" t="s">
        <v>37</v>
      </c>
      <c r="H442" s="2">
        <v>3</v>
      </c>
      <c r="I442" s="2">
        <v>12</v>
      </c>
      <c r="J442" s="2" t="s">
        <v>38</v>
      </c>
      <c r="K442" s="2">
        <v>342</v>
      </c>
      <c r="L442" s="2">
        <v>36.5</v>
      </c>
      <c r="M442" s="2">
        <v>1220655</v>
      </c>
      <c r="N442" s="2">
        <v>656315</v>
      </c>
      <c r="O442" s="2"/>
      <c r="P442" s="2"/>
      <c r="Q442">
        <f t="shared" si="12"/>
        <v>5257.6704317872309</v>
      </c>
      <c r="R442">
        <f t="shared" si="13"/>
        <v>5620.7349081364828</v>
      </c>
    </row>
    <row r="443" spans="1:18" ht="16" x14ac:dyDescent="0.4">
      <c r="A443" s="2">
        <v>176017</v>
      </c>
      <c r="B443" s="2" t="s">
        <v>486</v>
      </c>
      <c r="C443" s="2" t="s">
        <v>35</v>
      </c>
      <c r="D443" s="2">
        <v>15743</v>
      </c>
      <c r="E443" s="2">
        <v>57</v>
      </c>
      <c r="F443" s="2" t="s">
        <v>36</v>
      </c>
      <c r="G443" s="2" t="s">
        <v>37</v>
      </c>
      <c r="H443" s="2">
        <v>1</v>
      </c>
      <c r="I443" s="2">
        <v>10</v>
      </c>
      <c r="J443" s="2" t="s">
        <v>38</v>
      </c>
      <c r="K443" s="2">
        <v>417</v>
      </c>
      <c r="L443" s="2">
        <v>40</v>
      </c>
      <c r="M443" s="2">
        <v>58965235</v>
      </c>
      <c r="N443" s="2">
        <v>16362280</v>
      </c>
      <c r="O443" s="2"/>
      <c r="P443" s="2"/>
      <c r="Q443">
        <f t="shared" si="12"/>
        <v>98095.20383693045</v>
      </c>
      <c r="R443">
        <f t="shared" si="13"/>
        <v>235672.40207833733</v>
      </c>
    </row>
    <row r="444" spans="1:18" ht="16" x14ac:dyDescent="0.4">
      <c r="A444" s="2">
        <v>176044</v>
      </c>
      <c r="B444" s="2" t="s">
        <v>487</v>
      </c>
      <c r="C444" s="2" t="s">
        <v>35</v>
      </c>
      <c r="D444" s="2">
        <v>1415</v>
      </c>
      <c r="E444" s="2">
        <v>58.4</v>
      </c>
      <c r="F444" s="2" t="s">
        <v>36</v>
      </c>
      <c r="G444" s="2" t="s">
        <v>37</v>
      </c>
      <c r="H444" s="2">
        <v>1</v>
      </c>
      <c r="I444" s="2">
        <v>9</v>
      </c>
      <c r="J444" s="2" t="s">
        <v>38</v>
      </c>
      <c r="K444" s="2">
        <v>333</v>
      </c>
      <c r="L444" s="2">
        <v>36.9</v>
      </c>
      <c r="M444" s="2">
        <v>1990781</v>
      </c>
      <c r="N444" s="2">
        <v>1169175</v>
      </c>
      <c r="O444" s="2"/>
      <c r="P444" s="2"/>
      <c r="Q444">
        <f t="shared" si="12"/>
        <v>9515.0028076857343</v>
      </c>
      <c r="R444">
        <f t="shared" si="13"/>
        <v>9474.3602556597798</v>
      </c>
    </row>
    <row r="445" spans="1:18" ht="16" x14ac:dyDescent="0.4">
      <c r="A445" s="2">
        <v>176053</v>
      </c>
      <c r="B445" s="2" t="s">
        <v>488</v>
      </c>
      <c r="C445" s="2" t="s">
        <v>35</v>
      </c>
      <c r="D445" s="2">
        <v>2509</v>
      </c>
      <c r="E445" s="2">
        <v>60.1</v>
      </c>
      <c r="F445" s="2" t="s">
        <v>47</v>
      </c>
      <c r="G445" s="2" t="s">
        <v>37</v>
      </c>
      <c r="H445" s="2">
        <v>2</v>
      </c>
      <c r="I445" s="2">
        <v>38</v>
      </c>
      <c r="J445" s="2" t="s">
        <v>38</v>
      </c>
      <c r="K445" s="2">
        <v>417</v>
      </c>
      <c r="L445" s="2">
        <v>29.3</v>
      </c>
      <c r="M445" s="2">
        <v>4295294</v>
      </c>
      <c r="N445" s="2">
        <v>2343260</v>
      </c>
      <c r="O445" s="2"/>
      <c r="P445" s="2"/>
      <c r="Q445">
        <f t="shared" si="12"/>
        <v>19178.595690000897</v>
      </c>
      <c r="R445">
        <f t="shared" si="13"/>
        <v>14569.257747974179</v>
      </c>
    </row>
    <row r="446" spans="1:18" ht="16" x14ac:dyDescent="0.4">
      <c r="A446" s="2">
        <v>176080</v>
      </c>
      <c r="B446" s="2" t="s">
        <v>489</v>
      </c>
      <c r="C446" s="2" t="s">
        <v>35</v>
      </c>
      <c r="D446" s="2">
        <v>16817</v>
      </c>
      <c r="E446" s="2">
        <v>50.4</v>
      </c>
      <c r="F446" s="2" t="s">
        <v>36</v>
      </c>
      <c r="G446" s="2" t="s">
        <v>37</v>
      </c>
      <c r="H446" s="2">
        <v>1</v>
      </c>
      <c r="I446" s="2">
        <v>10</v>
      </c>
      <c r="J446" s="2" t="s">
        <v>38</v>
      </c>
      <c r="K446" s="2">
        <v>525</v>
      </c>
      <c r="L446" s="2">
        <v>42.5</v>
      </c>
      <c r="M446" s="2">
        <v>44478547</v>
      </c>
      <c r="N446" s="2">
        <v>14079396</v>
      </c>
      <c r="O446" s="2"/>
      <c r="P446" s="2"/>
      <c r="Q446">
        <f t="shared" si="12"/>
        <v>63100.934453781512</v>
      </c>
      <c r="R446">
        <f t="shared" si="13"/>
        <v>147340.94244306415</v>
      </c>
    </row>
    <row r="447" spans="1:18" ht="16" x14ac:dyDescent="0.4">
      <c r="A447" s="2">
        <v>176372</v>
      </c>
      <c r="B447" s="2" t="s">
        <v>490</v>
      </c>
      <c r="C447" s="2" t="s">
        <v>35</v>
      </c>
      <c r="D447" s="2">
        <v>9650</v>
      </c>
      <c r="E447" s="2">
        <v>65.099999999999994</v>
      </c>
      <c r="F447" s="2" t="s">
        <v>36</v>
      </c>
      <c r="G447" s="2" t="s">
        <v>37</v>
      </c>
      <c r="H447" s="2">
        <v>1</v>
      </c>
      <c r="I447" s="2">
        <v>12</v>
      </c>
      <c r="J447" s="2" t="s">
        <v>38</v>
      </c>
      <c r="K447" s="2">
        <v>357</v>
      </c>
      <c r="L447" s="2">
        <v>41.2</v>
      </c>
      <c r="M447" s="2">
        <v>11442677</v>
      </c>
      <c r="N447" s="2">
        <v>4763989</v>
      </c>
      <c r="O447" s="2"/>
      <c r="P447" s="2"/>
      <c r="Q447">
        <f t="shared" si="12"/>
        <v>32389.580103886216</v>
      </c>
      <c r="R447">
        <f t="shared" si="13"/>
        <v>54510.742392194974</v>
      </c>
    </row>
    <row r="448" spans="1:18" ht="16" x14ac:dyDescent="0.4">
      <c r="A448" s="2">
        <v>176965</v>
      </c>
      <c r="B448" s="2" t="s">
        <v>491</v>
      </c>
      <c r="C448" s="2" t="s">
        <v>302</v>
      </c>
      <c r="D448" s="2">
        <v>6611</v>
      </c>
      <c r="E448" s="2">
        <v>55</v>
      </c>
      <c r="F448" s="2" t="s">
        <v>36</v>
      </c>
      <c r="G448" s="2" t="s">
        <v>37</v>
      </c>
      <c r="H448" s="2">
        <v>2</v>
      </c>
      <c r="I448" s="2">
        <v>38</v>
      </c>
      <c r="J448" s="2" t="s">
        <v>38</v>
      </c>
      <c r="K448" s="2">
        <v>585</v>
      </c>
      <c r="L448" s="2">
        <v>37.799999999999997</v>
      </c>
      <c r="M448" s="2">
        <v>3911981</v>
      </c>
      <c r="N448" s="2">
        <v>2774683</v>
      </c>
      <c r="O448" s="2"/>
      <c r="P448" s="2"/>
      <c r="Q448">
        <f t="shared" si="12"/>
        <v>12547.745669967893</v>
      </c>
      <c r="R448">
        <f t="shared" si="13"/>
        <v>10751.040206667216</v>
      </c>
    </row>
    <row r="449" spans="1:18" ht="16" x14ac:dyDescent="0.4">
      <c r="A449" s="2">
        <v>177214</v>
      </c>
      <c r="B449" s="2" t="s">
        <v>492</v>
      </c>
      <c r="C449" s="2" t="s">
        <v>302</v>
      </c>
      <c r="D449" s="2">
        <v>1443</v>
      </c>
      <c r="E449" s="2">
        <v>57.8</v>
      </c>
      <c r="F449" s="2" t="s">
        <v>47</v>
      </c>
      <c r="G449" s="2" t="s">
        <v>37</v>
      </c>
      <c r="H449" s="2">
        <v>2</v>
      </c>
      <c r="I449" s="2">
        <v>12</v>
      </c>
      <c r="J449" s="2" t="s">
        <v>41</v>
      </c>
      <c r="K449" s="2">
        <v>484</v>
      </c>
      <c r="L449" s="2">
        <v>43.6</v>
      </c>
      <c r="M449" s="2">
        <v>3609405</v>
      </c>
      <c r="N449" s="2">
        <v>3844582</v>
      </c>
      <c r="O449" s="2"/>
      <c r="P449" s="2"/>
      <c r="Q449">
        <f t="shared" si="12"/>
        <v>18218.695503828949</v>
      </c>
      <c r="R449">
        <f t="shared" si="13"/>
        <v>13222.426147353613</v>
      </c>
    </row>
    <row r="450" spans="1:18" ht="16" x14ac:dyDescent="0.4">
      <c r="A450" s="2">
        <v>177418</v>
      </c>
      <c r="B450" s="2" t="s">
        <v>493</v>
      </c>
      <c r="C450" s="2" t="s">
        <v>302</v>
      </c>
      <c r="D450" s="2">
        <v>768</v>
      </c>
      <c r="E450" s="2">
        <v>60.4</v>
      </c>
      <c r="F450" s="2" t="s">
        <v>47</v>
      </c>
      <c r="G450" s="2" t="s">
        <v>37</v>
      </c>
      <c r="H450" s="2">
        <v>3</v>
      </c>
      <c r="I450" s="2">
        <v>38</v>
      </c>
      <c r="J450" s="2" t="s">
        <v>41</v>
      </c>
      <c r="K450" s="2">
        <v>295</v>
      </c>
      <c r="L450" s="2">
        <v>43.1</v>
      </c>
      <c r="M450" s="2">
        <v>781056</v>
      </c>
      <c r="N450" s="2">
        <v>740469</v>
      </c>
      <c r="O450" s="2"/>
      <c r="P450" s="2"/>
      <c r="Q450">
        <f t="shared" si="12"/>
        <v>5823.8153289551292</v>
      </c>
      <c r="R450">
        <f t="shared" si="13"/>
        <v>4653.1589764975724</v>
      </c>
    </row>
    <row r="451" spans="1:18" ht="16" x14ac:dyDescent="0.4">
      <c r="A451" s="2">
        <v>177940</v>
      </c>
      <c r="B451" s="2" t="s">
        <v>494</v>
      </c>
      <c r="C451" s="2" t="s">
        <v>302</v>
      </c>
      <c r="D451" s="2">
        <v>1514</v>
      </c>
      <c r="E451" s="2">
        <v>62.2</v>
      </c>
      <c r="F451" s="2" t="s">
        <v>36</v>
      </c>
      <c r="G451" s="2" t="s">
        <v>37</v>
      </c>
      <c r="H451" s="2">
        <v>2</v>
      </c>
      <c r="I451" s="2">
        <v>37</v>
      </c>
      <c r="J451" s="2" t="s">
        <v>38</v>
      </c>
      <c r="K451" s="2">
        <v>199</v>
      </c>
      <c r="L451" s="2">
        <v>40.700000000000003</v>
      </c>
      <c r="M451" s="2">
        <v>1610450</v>
      </c>
      <c r="N451" s="2">
        <v>986162</v>
      </c>
      <c r="O451" s="2"/>
      <c r="P451" s="2"/>
      <c r="Q451">
        <f t="shared" ref="Q451:Q514" si="14">N451/(K451*(0.01*L451))</f>
        <v>12175.891743730939</v>
      </c>
      <c r="R451">
        <f t="shared" ref="R451:R514" si="15">M451/(K451*(0.01*(100-L451)))</f>
        <v>13647.071783877229</v>
      </c>
    </row>
    <row r="452" spans="1:18" ht="16" x14ac:dyDescent="0.4">
      <c r="A452" s="2">
        <v>177968</v>
      </c>
      <c r="B452" s="2" t="s">
        <v>495</v>
      </c>
      <c r="C452" s="2" t="s">
        <v>302</v>
      </c>
      <c r="D452" s="2">
        <v>4998</v>
      </c>
      <c r="E452" s="2">
        <v>54.2</v>
      </c>
      <c r="F452" s="2" t="s">
        <v>47</v>
      </c>
      <c r="G452" s="2" t="s">
        <v>37</v>
      </c>
      <c r="H452" s="2">
        <v>2</v>
      </c>
      <c r="I452" s="2">
        <v>16</v>
      </c>
      <c r="J452" s="2" t="s">
        <v>38</v>
      </c>
      <c r="K452" s="2">
        <v>938</v>
      </c>
      <c r="L452" s="2">
        <v>41.2</v>
      </c>
      <c r="M452" s="2">
        <v>6563998</v>
      </c>
      <c r="N452" s="2">
        <v>5727283</v>
      </c>
      <c r="O452" s="2"/>
      <c r="P452" s="2"/>
      <c r="Q452">
        <f t="shared" si="14"/>
        <v>14820.013145092844</v>
      </c>
      <c r="R452">
        <f t="shared" si="15"/>
        <v>11901.132094628896</v>
      </c>
    </row>
    <row r="453" spans="1:18" ht="16" x14ac:dyDescent="0.4">
      <c r="A453" s="2">
        <v>178059</v>
      </c>
      <c r="B453" s="2" t="s">
        <v>496</v>
      </c>
      <c r="C453" s="2" t="s">
        <v>302</v>
      </c>
      <c r="D453" s="2">
        <v>2990</v>
      </c>
      <c r="E453" s="2">
        <v>61.2</v>
      </c>
      <c r="F453" s="2" t="s">
        <v>47</v>
      </c>
      <c r="G453" s="2" t="s">
        <v>37</v>
      </c>
      <c r="H453" s="2">
        <v>2</v>
      </c>
      <c r="I453" s="2">
        <v>13</v>
      </c>
      <c r="J453" s="2" t="s">
        <v>41</v>
      </c>
      <c r="K453" s="2">
        <v>467</v>
      </c>
      <c r="L453" s="2">
        <v>42.2</v>
      </c>
      <c r="M453" s="2">
        <v>3607641</v>
      </c>
      <c r="N453" s="2">
        <v>3076582</v>
      </c>
      <c r="O453" s="2"/>
      <c r="P453" s="2"/>
      <c r="Q453">
        <f t="shared" si="14"/>
        <v>15611.303368277904</v>
      </c>
      <c r="R453">
        <f t="shared" si="15"/>
        <v>13365.296414572884</v>
      </c>
    </row>
    <row r="454" spans="1:18" ht="16" x14ac:dyDescent="0.4">
      <c r="A454" s="2">
        <v>178341</v>
      </c>
      <c r="B454" s="2" t="s">
        <v>497</v>
      </c>
      <c r="C454" s="2" t="s">
        <v>302</v>
      </c>
      <c r="D454" s="2">
        <v>3784</v>
      </c>
      <c r="E454" s="2">
        <v>61.1</v>
      </c>
      <c r="F454" s="2" t="s">
        <v>36</v>
      </c>
      <c r="G454" s="2" t="s">
        <v>37</v>
      </c>
      <c r="H454" s="2">
        <v>2</v>
      </c>
      <c r="I454" s="2">
        <v>11</v>
      </c>
      <c r="J454" s="2" t="s">
        <v>38</v>
      </c>
      <c r="K454" s="2">
        <v>475</v>
      </c>
      <c r="L454" s="2">
        <v>39.200000000000003</v>
      </c>
      <c r="M454" s="2">
        <v>3848695</v>
      </c>
      <c r="N454" s="2">
        <v>2171581</v>
      </c>
      <c r="O454" s="2"/>
      <c r="P454" s="2"/>
      <c r="Q454">
        <f t="shared" si="14"/>
        <v>11662.626208378088</v>
      </c>
      <c r="R454">
        <f t="shared" si="15"/>
        <v>13326.506232686979</v>
      </c>
    </row>
    <row r="455" spans="1:18" ht="16" x14ac:dyDescent="0.4">
      <c r="A455" s="2">
        <v>178387</v>
      </c>
      <c r="B455" s="2" t="s">
        <v>498</v>
      </c>
      <c r="C455" s="2" t="s">
        <v>302</v>
      </c>
      <c r="D455" s="2">
        <v>3371</v>
      </c>
      <c r="E455" s="2">
        <v>61</v>
      </c>
      <c r="F455" s="2" t="s">
        <v>36</v>
      </c>
      <c r="G455" s="2" t="s">
        <v>37</v>
      </c>
      <c r="H455" s="2">
        <v>2</v>
      </c>
      <c r="I455" s="2">
        <v>37</v>
      </c>
      <c r="J455" s="2" t="s">
        <v>38</v>
      </c>
      <c r="K455" s="2">
        <v>448</v>
      </c>
      <c r="L455" s="2">
        <v>42.9</v>
      </c>
      <c r="M455" s="2">
        <v>2860001</v>
      </c>
      <c r="N455" s="2">
        <v>2145470</v>
      </c>
      <c r="O455" s="2"/>
      <c r="P455" s="2"/>
      <c r="Q455">
        <f t="shared" si="14"/>
        <v>11163.159756909756</v>
      </c>
      <c r="R455">
        <f t="shared" si="15"/>
        <v>11180.264104328246</v>
      </c>
    </row>
    <row r="456" spans="1:18" ht="16" x14ac:dyDescent="0.4">
      <c r="A456" s="2">
        <v>178396</v>
      </c>
      <c r="B456" s="2" t="s">
        <v>499</v>
      </c>
      <c r="C456" s="2" t="s">
        <v>302</v>
      </c>
      <c r="D456" s="2">
        <v>20637</v>
      </c>
      <c r="E456" s="2">
        <v>53.1</v>
      </c>
      <c r="F456" s="2" t="s">
        <v>36</v>
      </c>
      <c r="G456" s="2" t="s">
        <v>37</v>
      </c>
      <c r="H456" s="2">
        <v>1</v>
      </c>
      <c r="I456" s="2">
        <v>38</v>
      </c>
      <c r="J456" s="2" t="s">
        <v>38</v>
      </c>
      <c r="K456" s="2">
        <v>660</v>
      </c>
      <c r="L456" s="2">
        <v>47.3</v>
      </c>
      <c r="M456" s="2">
        <v>44809455</v>
      </c>
      <c r="N456" s="2">
        <v>15723992</v>
      </c>
      <c r="O456" s="2"/>
      <c r="P456" s="2"/>
      <c r="Q456">
        <f t="shared" si="14"/>
        <v>50368.351592030238</v>
      </c>
      <c r="R456">
        <f t="shared" si="15"/>
        <v>128829.43764015871</v>
      </c>
    </row>
    <row r="457" spans="1:18" ht="16" x14ac:dyDescent="0.4">
      <c r="A457" s="2">
        <v>178402</v>
      </c>
      <c r="B457" s="2" t="s">
        <v>500</v>
      </c>
      <c r="C457" s="2" t="s">
        <v>302</v>
      </c>
      <c r="D457" s="2">
        <v>6365</v>
      </c>
      <c r="E457" s="2">
        <v>57.3</v>
      </c>
      <c r="F457" s="2" t="s">
        <v>36</v>
      </c>
      <c r="G457" s="2" t="s">
        <v>37</v>
      </c>
      <c r="H457" s="2">
        <v>1</v>
      </c>
      <c r="I457" s="2">
        <v>38</v>
      </c>
      <c r="J457" s="2" t="s">
        <v>41</v>
      </c>
      <c r="K457" s="2">
        <v>321</v>
      </c>
      <c r="L457" s="2">
        <v>53.9</v>
      </c>
      <c r="M457" s="2">
        <v>4124893</v>
      </c>
      <c r="N457" s="2">
        <v>4417655</v>
      </c>
      <c r="O457" s="2"/>
      <c r="P457" s="2"/>
      <c r="Q457">
        <f t="shared" si="14"/>
        <v>25532.773857206434</v>
      </c>
      <c r="R457">
        <f t="shared" si="15"/>
        <v>27874.477128820592</v>
      </c>
    </row>
    <row r="458" spans="1:18" ht="16" x14ac:dyDescent="0.4">
      <c r="A458" s="2">
        <v>178411</v>
      </c>
      <c r="B458" s="2" t="s">
        <v>501</v>
      </c>
      <c r="C458" s="2" t="s">
        <v>302</v>
      </c>
      <c r="D458" s="2">
        <v>5663</v>
      </c>
      <c r="E458" s="2">
        <v>23.9</v>
      </c>
      <c r="F458" s="2" t="s">
        <v>36</v>
      </c>
      <c r="G458" s="2" t="s">
        <v>37</v>
      </c>
      <c r="H458" s="2">
        <v>2</v>
      </c>
      <c r="I458" s="2">
        <v>38</v>
      </c>
      <c r="J458" s="2" t="s">
        <v>38</v>
      </c>
      <c r="K458" s="2">
        <v>520</v>
      </c>
      <c r="L458" s="2">
        <v>30.8</v>
      </c>
      <c r="M458" s="2">
        <v>3874482</v>
      </c>
      <c r="N458" s="2">
        <v>2052161</v>
      </c>
      <c r="O458" s="2"/>
      <c r="P458" s="2"/>
      <c r="Q458">
        <f t="shared" si="14"/>
        <v>12813.193056943057</v>
      </c>
      <c r="R458">
        <f t="shared" si="15"/>
        <v>10767.235437972431</v>
      </c>
    </row>
    <row r="459" spans="1:18" ht="16" x14ac:dyDescent="0.4">
      <c r="A459" s="2">
        <v>178420</v>
      </c>
      <c r="B459" s="2" t="s">
        <v>502</v>
      </c>
      <c r="C459" s="2" t="s">
        <v>302</v>
      </c>
      <c r="D459" s="2">
        <v>4800</v>
      </c>
      <c r="E459" s="2">
        <v>56.1</v>
      </c>
      <c r="F459" s="2" t="s">
        <v>36</v>
      </c>
      <c r="G459" s="2" t="s">
        <v>37</v>
      </c>
      <c r="H459" s="2">
        <v>2</v>
      </c>
      <c r="I459" s="2">
        <v>10</v>
      </c>
      <c r="J459" s="2" t="s">
        <v>41</v>
      </c>
      <c r="K459" s="2">
        <v>221</v>
      </c>
      <c r="L459" s="2">
        <v>48.4</v>
      </c>
      <c r="M459" s="2">
        <v>2069150</v>
      </c>
      <c r="N459" s="2">
        <v>2542060</v>
      </c>
      <c r="O459" s="2"/>
      <c r="P459" s="2"/>
      <c r="Q459">
        <f t="shared" si="14"/>
        <v>23765.565984817324</v>
      </c>
      <c r="R459">
        <f t="shared" si="15"/>
        <v>18144.708688484337</v>
      </c>
    </row>
    <row r="460" spans="1:18" ht="16" x14ac:dyDescent="0.4">
      <c r="A460" s="2">
        <v>178615</v>
      </c>
      <c r="B460" s="2" t="s">
        <v>503</v>
      </c>
      <c r="C460" s="2" t="s">
        <v>302</v>
      </c>
      <c r="D460" s="2">
        <v>4251</v>
      </c>
      <c r="E460" s="2">
        <v>59.9</v>
      </c>
      <c r="F460" s="2" t="s">
        <v>36</v>
      </c>
      <c r="G460" s="2" t="s">
        <v>37</v>
      </c>
      <c r="H460" s="2">
        <v>2</v>
      </c>
      <c r="I460" s="2">
        <v>38</v>
      </c>
      <c r="J460" s="2" t="s">
        <v>38</v>
      </c>
      <c r="K460" s="2">
        <v>470</v>
      </c>
      <c r="L460" s="2">
        <v>43.2</v>
      </c>
      <c r="M460" s="2">
        <v>2400484</v>
      </c>
      <c r="N460" s="2">
        <v>1633502</v>
      </c>
      <c r="O460" s="2"/>
      <c r="P460" s="2"/>
      <c r="Q460">
        <f t="shared" si="14"/>
        <v>8045.2226162332536</v>
      </c>
      <c r="R460">
        <f t="shared" si="15"/>
        <v>8991.9238837279008</v>
      </c>
    </row>
    <row r="461" spans="1:18" ht="16" x14ac:dyDescent="0.4">
      <c r="A461" s="2">
        <v>178624</v>
      </c>
      <c r="B461" s="2" t="s">
        <v>504</v>
      </c>
      <c r="C461" s="2" t="s">
        <v>302</v>
      </c>
      <c r="D461" s="2">
        <v>4926</v>
      </c>
      <c r="E461" s="2">
        <v>57.5</v>
      </c>
      <c r="F461" s="2" t="s">
        <v>36</v>
      </c>
      <c r="G461" s="2" t="s">
        <v>37</v>
      </c>
      <c r="H461" s="2">
        <v>2</v>
      </c>
      <c r="I461" s="2">
        <v>38</v>
      </c>
      <c r="J461" s="2" t="s">
        <v>38</v>
      </c>
      <c r="K461" s="2">
        <v>521</v>
      </c>
      <c r="L461" s="2">
        <v>36.1</v>
      </c>
      <c r="M461" s="2">
        <v>4686978</v>
      </c>
      <c r="N461" s="2">
        <v>2714749</v>
      </c>
      <c r="O461" s="2"/>
      <c r="P461" s="2"/>
      <c r="Q461">
        <f t="shared" si="14"/>
        <v>14433.935378905895</v>
      </c>
      <c r="R461">
        <f t="shared" si="15"/>
        <v>14078.433492831591</v>
      </c>
    </row>
    <row r="462" spans="1:18" ht="16" x14ac:dyDescent="0.4">
      <c r="A462" s="2">
        <v>179043</v>
      </c>
      <c r="B462" s="2" t="s">
        <v>505</v>
      </c>
      <c r="C462" s="2" t="s">
        <v>302</v>
      </c>
      <c r="D462" s="2">
        <v>1451</v>
      </c>
      <c r="E462" s="2">
        <v>54.7</v>
      </c>
      <c r="F462" s="2" t="s">
        <v>47</v>
      </c>
      <c r="G462" s="2" t="s">
        <v>37</v>
      </c>
      <c r="H462" s="2">
        <v>2</v>
      </c>
      <c r="I462" s="2">
        <v>38</v>
      </c>
      <c r="J462" s="2" t="s">
        <v>41</v>
      </c>
      <c r="K462" s="2">
        <v>426</v>
      </c>
      <c r="L462" s="2">
        <v>43</v>
      </c>
      <c r="M462" s="2">
        <v>2513862</v>
      </c>
      <c r="N462" s="2">
        <v>2769186</v>
      </c>
      <c r="O462" s="2"/>
      <c r="P462" s="2"/>
      <c r="Q462">
        <f t="shared" si="14"/>
        <v>15117.294464461185</v>
      </c>
      <c r="R462">
        <f t="shared" si="15"/>
        <v>10352.779836916234</v>
      </c>
    </row>
    <row r="463" spans="1:18" ht="16" x14ac:dyDescent="0.4">
      <c r="A463" s="2">
        <v>179159</v>
      </c>
      <c r="B463" s="2" t="s">
        <v>506</v>
      </c>
      <c r="C463" s="2" t="s">
        <v>302</v>
      </c>
      <c r="D463" s="2">
        <v>6658</v>
      </c>
      <c r="E463" s="2">
        <v>60.8</v>
      </c>
      <c r="F463" s="2" t="s">
        <v>47</v>
      </c>
      <c r="G463" s="2" t="s">
        <v>37</v>
      </c>
      <c r="H463" s="2">
        <v>1</v>
      </c>
      <c r="I463" s="2">
        <v>38</v>
      </c>
      <c r="J463" s="2" t="s">
        <v>41</v>
      </c>
      <c r="K463" s="2">
        <v>437</v>
      </c>
      <c r="L463" s="2">
        <v>55.1</v>
      </c>
      <c r="M463" s="2">
        <v>10320973</v>
      </c>
      <c r="N463" s="2">
        <v>6657957</v>
      </c>
      <c r="O463" s="2"/>
      <c r="P463" s="2"/>
      <c r="Q463">
        <f t="shared" si="14"/>
        <v>27650.815866305074</v>
      </c>
      <c r="R463">
        <f t="shared" si="15"/>
        <v>52600.862328184172</v>
      </c>
    </row>
    <row r="464" spans="1:18" ht="16" x14ac:dyDescent="0.4">
      <c r="A464" s="2">
        <v>179326</v>
      </c>
      <c r="B464" s="2" t="s">
        <v>507</v>
      </c>
      <c r="C464" s="2" t="s">
        <v>302</v>
      </c>
      <c r="D464" s="2">
        <v>1671</v>
      </c>
      <c r="E464" s="2">
        <v>62.2</v>
      </c>
      <c r="F464" s="2" t="s">
        <v>47</v>
      </c>
      <c r="G464" s="2" t="s">
        <v>37</v>
      </c>
      <c r="H464" s="2">
        <v>2</v>
      </c>
      <c r="I464" s="2">
        <v>38</v>
      </c>
      <c r="J464" s="2" t="s">
        <v>38</v>
      </c>
      <c r="K464" s="2">
        <v>515</v>
      </c>
      <c r="L464" s="2">
        <v>39</v>
      </c>
      <c r="M464" s="2">
        <v>3352120</v>
      </c>
      <c r="N464" s="2">
        <v>2203914</v>
      </c>
      <c r="O464" s="2"/>
      <c r="P464" s="2"/>
      <c r="Q464">
        <f t="shared" si="14"/>
        <v>10972.93502613891</v>
      </c>
      <c r="R464">
        <f t="shared" si="15"/>
        <v>10670.444055387554</v>
      </c>
    </row>
    <row r="465" spans="1:18" ht="16" x14ac:dyDescent="0.4">
      <c r="A465" s="2">
        <v>179557</v>
      </c>
      <c r="B465" s="2" t="s">
        <v>508</v>
      </c>
      <c r="C465" s="2" t="s">
        <v>302</v>
      </c>
      <c r="D465" s="2">
        <v>7056</v>
      </c>
      <c r="E465" s="2">
        <v>59.4</v>
      </c>
      <c r="F465" s="2" t="s">
        <v>36</v>
      </c>
      <c r="G465" s="2" t="s">
        <v>37</v>
      </c>
      <c r="H465" s="2">
        <v>1</v>
      </c>
      <c r="I465" s="2">
        <v>9</v>
      </c>
      <c r="J465" s="2" t="s">
        <v>38</v>
      </c>
      <c r="K465" s="2">
        <v>430</v>
      </c>
      <c r="L465" s="2">
        <v>44.7</v>
      </c>
      <c r="M465" s="2">
        <v>5695575</v>
      </c>
      <c r="N465" s="2">
        <v>3574124</v>
      </c>
      <c r="O465" s="2"/>
      <c r="P465" s="2"/>
      <c r="Q465">
        <f t="shared" si="14"/>
        <v>18594.89100463035</v>
      </c>
      <c r="R465">
        <f t="shared" si="15"/>
        <v>23952.121619916736</v>
      </c>
    </row>
    <row r="466" spans="1:18" ht="16" x14ac:dyDescent="0.4">
      <c r="A466" s="2">
        <v>179566</v>
      </c>
      <c r="B466" s="2" t="s">
        <v>509</v>
      </c>
      <c r="C466" s="2" t="s">
        <v>302</v>
      </c>
      <c r="D466" s="2">
        <v>13939</v>
      </c>
      <c r="E466" s="2">
        <v>58.7</v>
      </c>
      <c r="F466" s="2" t="s">
        <v>36</v>
      </c>
      <c r="G466" s="2" t="s">
        <v>37</v>
      </c>
      <c r="H466" s="2">
        <v>1</v>
      </c>
      <c r="I466" s="2">
        <v>38</v>
      </c>
      <c r="J466" s="2" t="s">
        <v>38</v>
      </c>
      <c r="K466" s="2">
        <v>488</v>
      </c>
      <c r="L466" s="2">
        <v>58.2</v>
      </c>
      <c r="M466" s="2">
        <v>9505938</v>
      </c>
      <c r="N466" s="2">
        <v>5840094</v>
      </c>
      <c r="O466" s="2"/>
      <c r="P466" s="2"/>
      <c r="Q466">
        <f t="shared" si="14"/>
        <v>20562.552813925973</v>
      </c>
      <c r="R466">
        <f t="shared" si="15"/>
        <v>46601.390305121975</v>
      </c>
    </row>
    <row r="467" spans="1:18" ht="16" x14ac:dyDescent="0.4">
      <c r="A467" s="2">
        <v>179867</v>
      </c>
      <c r="B467" s="2" t="s">
        <v>510</v>
      </c>
      <c r="C467" s="2" t="s">
        <v>302</v>
      </c>
      <c r="D467" s="2">
        <v>7092</v>
      </c>
      <c r="E467" s="2">
        <v>52.2</v>
      </c>
      <c r="F467" s="2" t="s">
        <v>47</v>
      </c>
      <c r="G467" s="2" t="s">
        <v>37</v>
      </c>
      <c r="H467" s="2">
        <v>3</v>
      </c>
      <c r="I467" s="2">
        <v>38</v>
      </c>
      <c r="J467" s="2" t="s">
        <v>38</v>
      </c>
      <c r="K467" s="2">
        <v>608</v>
      </c>
      <c r="L467" s="2">
        <v>42.1</v>
      </c>
      <c r="M467" s="2">
        <v>2295478</v>
      </c>
      <c r="N467" s="2">
        <v>2032749</v>
      </c>
      <c r="O467" s="2"/>
      <c r="P467" s="2"/>
      <c r="Q467">
        <f t="shared" si="14"/>
        <v>7941.4184585573194</v>
      </c>
      <c r="R467">
        <f t="shared" si="15"/>
        <v>6520.6515316789382</v>
      </c>
    </row>
    <row r="468" spans="1:18" ht="16" x14ac:dyDescent="0.4">
      <c r="A468" s="2">
        <v>179894</v>
      </c>
      <c r="B468" s="2" t="s">
        <v>511</v>
      </c>
      <c r="C468" s="2" t="s">
        <v>302</v>
      </c>
      <c r="D468" s="2">
        <v>2166</v>
      </c>
      <c r="E468" s="2">
        <v>57.2</v>
      </c>
      <c r="F468" s="2" t="s">
        <v>47</v>
      </c>
      <c r="G468" s="2" t="s">
        <v>37</v>
      </c>
      <c r="H468" s="2">
        <v>3</v>
      </c>
      <c r="I468" s="2">
        <v>37</v>
      </c>
      <c r="J468" s="2" t="s">
        <v>41</v>
      </c>
      <c r="K468" s="2">
        <v>277</v>
      </c>
      <c r="L468" s="2">
        <v>51.6</v>
      </c>
      <c r="M468" s="2">
        <v>865542</v>
      </c>
      <c r="N468" s="2">
        <v>724860</v>
      </c>
      <c r="O468" s="2"/>
      <c r="P468" s="2"/>
      <c r="Q468">
        <f t="shared" si="14"/>
        <v>5071.3626059944581</v>
      </c>
      <c r="R468">
        <f t="shared" si="15"/>
        <v>6455.9924814273363</v>
      </c>
    </row>
    <row r="469" spans="1:18" ht="16" x14ac:dyDescent="0.4">
      <c r="A469" s="2">
        <v>179946</v>
      </c>
      <c r="B469" s="2" t="s">
        <v>512</v>
      </c>
      <c r="C469" s="2" t="s">
        <v>302</v>
      </c>
      <c r="D469" s="2">
        <v>632</v>
      </c>
      <c r="E469" s="2">
        <v>44.3</v>
      </c>
      <c r="F469" s="2" t="s">
        <v>47</v>
      </c>
      <c r="G469" s="2" t="s">
        <v>37</v>
      </c>
      <c r="H469" s="2">
        <v>3</v>
      </c>
      <c r="I469" s="2">
        <v>38</v>
      </c>
      <c r="J469" s="2" t="s">
        <v>38</v>
      </c>
      <c r="K469" s="2">
        <v>331</v>
      </c>
      <c r="L469" s="2">
        <v>31.7</v>
      </c>
      <c r="M469" s="2">
        <v>538933</v>
      </c>
      <c r="N469" s="2">
        <v>361511</v>
      </c>
      <c r="O469" s="2"/>
      <c r="P469" s="2"/>
      <c r="Q469">
        <f t="shared" si="14"/>
        <v>3445.357248372678</v>
      </c>
      <c r="R469">
        <f t="shared" si="15"/>
        <v>2383.8892747033042</v>
      </c>
    </row>
    <row r="470" spans="1:18" ht="16" x14ac:dyDescent="0.4">
      <c r="A470" s="2">
        <v>179955</v>
      </c>
      <c r="B470" s="2" t="s">
        <v>513</v>
      </c>
      <c r="C470" s="2" t="s">
        <v>302</v>
      </c>
      <c r="D470" s="2">
        <v>724</v>
      </c>
      <c r="E470" s="2">
        <v>54.3</v>
      </c>
      <c r="F470" s="2" t="s">
        <v>47</v>
      </c>
      <c r="G470" s="2" t="s">
        <v>37</v>
      </c>
      <c r="H470" s="2">
        <v>2</v>
      </c>
      <c r="I470" s="2">
        <v>38</v>
      </c>
      <c r="J470" s="2" t="s">
        <v>38</v>
      </c>
      <c r="K470" s="2">
        <v>394</v>
      </c>
      <c r="L470" s="2">
        <v>35.799999999999997</v>
      </c>
      <c r="M470" s="2">
        <v>3864225</v>
      </c>
      <c r="N470" s="2">
        <v>2120747</v>
      </c>
      <c r="O470" s="2"/>
      <c r="P470" s="2"/>
      <c r="Q470">
        <f t="shared" si="14"/>
        <v>15035.213963644614</v>
      </c>
      <c r="R470">
        <f t="shared" si="15"/>
        <v>15276.756487499406</v>
      </c>
    </row>
    <row r="471" spans="1:18" ht="16" x14ac:dyDescent="0.4">
      <c r="A471" s="2">
        <v>180179</v>
      </c>
      <c r="B471" s="2" t="s">
        <v>514</v>
      </c>
      <c r="C471" s="2" t="s">
        <v>63</v>
      </c>
      <c r="D471" s="2">
        <v>2176</v>
      </c>
      <c r="E471" s="2">
        <v>60.3</v>
      </c>
      <c r="F471" s="2" t="s">
        <v>36</v>
      </c>
      <c r="G471" s="2" t="s">
        <v>37</v>
      </c>
      <c r="H471" s="2">
        <v>2</v>
      </c>
      <c r="I471" s="2">
        <v>38</v>
      </c>
      <c r="J471" s="2" t="s">
        <v>41</v>
      </c>
      <c r="K471" s="2">
        <v>278</v>
      </c>
      <c r="L471" s="2">
        <v>45</v>
      </c>
      <c r="M471" s="2">
        <v>1856488</v>
      </c>
      <c r="N471" s="2">
        <v>2049391</v>
      </c>
      <c r="O471" s="2"/>
      <c r="P471" s="2"/>
      <c r="Q471">
        <f t="shared" si="14"/>
        <v>16382.022382094323</v>
      </c>
      <c r="R471">
        <f t="shared" si="15"/>
        <v>12141.844342707651</v>
      </c>
    </row>
    <row r="472" spans="1:18" ht="16" x14ac:dyDescent="0.4">
      <c r="A472" s="2">
        <v>180461</v>
      </c>
      <c r="B472" s="2" t="s">
        <v>515</v>
      </c>
      <c r="C472" s="2" t="s">
        <v>63</v>
      </c>
      <c r="D472" s="2">
        <v>12275</v>
      </c>
      <c r="E472" s="2">
        <v>46.1</v>
      </c>
      <c r="F472" s="2" t="s">
        <v>36</v>
      </c>
      <c r="G472" s="2" t="s">
        <v>37</v>
      </c>
      <c r="H472" s="2">
        <v>1</v>
      </c>
      <c r="I472" s="2">
        <v>38</v>
      </c>
      <c r="J472" s="2" t="s">
        <v>38</v>
      </c>
      <c r="K472" s="2">
        <v>418</v>
      </c>
      <c r="L472" s="2">
        <v>43.3</v>
      </c>
      <c r="M472" s="2">
        <v>11318934</v>
      </c>
      <c r="N472" s="2">
        <v>5189569</v>
      </c>
      <c r="O472" s="2"/>
      <c r="P472" s="2"/>
      <c r="Q472">
        <f t="shared" si="14"/>
        <v>28672.602406709615</v>
      </c>
      <c r="R472">
        <f t="shared" si="15"/>
        <v>47758.006126427172</v>
      </c>
    </row>
    <row r="473" spans="1:18" ht="16" x14ac:dyDescent="0.4">
      <c r="A473" s="2">
        <v>180489</v>
      </c>
      <c r="B473" s="2" t="s">
        <v>516</v>
      </c>
      <c r="C473" s="2" t="s">
        <v>63</v>
      </c>
      <c r="D473" s="2">
        <v>6123</v>
      </c>
      <c r="E473" s="2">
        <v>55.5</v>
      </c>
      <c r="F473" s="2" t="s">
        <v>36</v>
      </c>
      <c r="G473" s="2" t="s">
        <v>37</v>
      </c>
      <c r="H473" s="2">
        <v>1</v>
      </c>
      <c r="I473" s="2">
        <v>11</v>
      </c>
      <c r="J473" s="2" t="s">
        <v>38</v>
      </c>
      <c r="K473" s="2">
        <v>472</v>
      </c>
      <c r="L473" s="2">
        <v>42.8</v>
      </c>
      <c r="M473" s="2">
        <v>10270671</v>
      </c>
      <c r="N473" s="2">
        <v>5236710</v>
      </c>
      <c r="O473" s="2"/>
      <c r="P473" s="2"/>
      <c r="Q473">
        <f t="shared" si="14"/>
        <v>25922.253682876606</v>
      </c>
      <c r="R473">
        <f t="shared" si="15"/>
        <v>38041.776549721457</v>
      </c>
    </row>
    <row r="474" spans="1:18" ht="16" x14ac:dyDescent="0.4">
      <c r="A474" s="2">
        <v>180948</v>
      </c>
      <c r="B474" s="2" t="s">
        <v>517</v>
      </c>
      <c r="C474" s="2" t="s">
        <v>302</v>
      </c>
      <c r="D474" s="2">
        <v>1437</v>
      </c>
      <c r="E474" s="2">
        <v>54.4</v>
      </c>
      <c r="F474" s="2" t="s">
        <v>36</v>
      </c>
      <c r="G474" s="2" t="s">
        <v>37</v>
      </c>
      <c r="H474" s="2">
        <v>2</v>
      </c>
      <c r="I474" s="2">
        <v>38</v>
      </c>
      <c r="J474" s="2" t="s">
        <v>38</v>
      </c>
      <c r="K474" s="2">
        <v>452</v>
      </c>
      <c r="L474" s="2">
        <v>28.5</v>
      </c>
      <c r="M474" s="2">
        <v>2462104</v>
      </c>
      <c r="N474" s="2">
        <v>1262706</v>
      </c>
      <c r="O474" s="2"/>
      <c r="P474" s="2"/>
      <c r="Q474">
        <f t="shared" si="14"/>
        <v>9802.0959478341847</v>
      </c>
      <c r="R474">
        <f t="shared" si="15"/>
        <v>7618.3674732347299</v>
      </c>
    </row>
    <row r="475" spans="1:18" ht="16" x14ac:dyDescent="0.4">
      <c r="A475" s="2">
        <v>181002</v>
      </c>
      <c r="B475" s="2" t="s">
        <v>518</v>
      </c>
      <c r="C475" s="2" t="s">
        <v>302</v>
      </c>
      <c r="D475" s="2">
        <v>4307</v>
      </c>
      <c r="E475" s="2">
        <v>58.2</v>
      </c>
      <c r="F475" s="2" t="s">
        <v>47</v>
      </c>
      <c r="G475" s="2" t="s">
        <v>37</v>
      </c>
      <c r="H475" s="2">
        <v>1</v>
      </c>
      <c r="I475" s="2">
        <v>38</v>
      </c>
      <c r="J475" s="2" t="s">
        <v>41</v>
      </c>
      <c r="K475" s="2">
        <v>272</v>
      </c>
      <c r="L475" s="2">
        <v>58.8</v>
      </c>
      <c r="M475" s="2">
        <v>12652846</v>
      </c>
      <c r="N475" s="2">
        <v>6322069</v>
      </c>
      <c r="O475" s="2"/>
      <c r="P475" s="2"/>
      <c r="Q475">
        <f t="shared" si="14"/>
        <v>39528.742747098848</v>
      </c>
      <c r="R475">
        <f t="shared" si="15"/>
        <v>112907.32081667618</v>
      </c>
    </row>
    <row r="476" spans="1:18" ht="16" x14ac:dyDescent="0.4">
      <c r="A476" s="2">
        <v>181215</v>
      </c>
      <c r="B476" s="2" t="s">
        <v>519</v>
      </c>
      <c r="C476" s="2" t="s">
        <v>302</v>
      </c>
      <c r="D476" s="2">
        <v>3782</v>
      </c>
      <c r="E476" s="2">
        <v>59.6</v>
      </c>
      <c r="F476" s="2" t="s">
        <v>36</v>
      </c>
      <c r="G476" s="2" t="s">
        <v>37</v>
      </c>
      <c r="H476" s="2">
        <v>2</v>
      </c>
      <c r="I476" s="2">
        <v>37</v>
      </c>
      <c r="J476" s="2" t="s">
        <v>38</v>
      </c>
      <c r="K476" s="2">
        <v>586</v>
      </c>
      <c r="L476" s="2">
        <v>44.7</v>
      </c>
      <c r="M476" s="2">
        <v>3021510</v>
      </c>
      <c r="N476" s="2">
        <v>2639169</v>
      </c>
      <c r="O476" s="2"/>
      <c r="P476" s="2"/>
      <c r="Q476">
        <f t="shared" si="14"/>
        <v>10075.394552992644</v>
      </c>
      <c r="R476">
        <f t="shared" si="15"/>
        <v>9323.9790407889959</v>
      </c>
    </row>
    <row r="477" spans="1:18" ht="16" x14ac:dyDescent="0.4">
      <c r="A477" s="2">
        <v>181394</v>
      </c>
      <c r="B477" s="2" t="s">
        <v>520</v>
      </c>
      <c r="C477" s="2" t="s">
        <v>302</v>
      </c>
      <c r="D477" s="2">
        <v>9869</v>
      </c>
      <c r="E477" s="2">
        <v>55</v>
      </c>
      <c r="F477" s="2" t="s">
        <v>36</v>
      </c>
      <c r="G477" s="2" t="s">
        <v>37</v>
      </c>
      <c r="H477" s="2">
        <v>1</v>
      </c>
      <c r="I477" s="2">
        <v>38</v>
      </c>
      <c r="J477" s="2" t="s">
        <v>41</v>
      </c>
      <c r="K477" s="2">
        <v>284</v>
      </c>
      <c r="L477" s="2">
        <v>57</v>
      </c>
      <c r="M477" s="2">
        <v>5746988</v>
      </c>
      <c r="N477" s="2">
        <v>4145640</v>
      </c>
      <c r="O477" s="2"/>
      <c r="P477" s="2"/>
      <c r="Q477">
        <f t="shared" si="14"/>
        <v>25609.340252038543</v>
      </c>
      <c r="R477">
        <f t="shared" si="15"/>
        <v>47060.17032427121</v>
      </c>
    </row>
    <row r="478" spans="1:18" ht="16" x14ac:dyDescent="0.4">
      <c r="A478" s="2">
        <v>181446</v>
      </c>
      <c r="B478" s="2" t="s">
        <v>521</v>
      </c>
      <c r="C478" s="2" t="s">
        <v>302</v>
      </c>
      <c r="D478" s="2">
        <v>1692</v>
      </c>
      <c r="E478" s="2">
        <v>57.4</v>
      </c>
      <c r="F478" s="2" t="s">
        <v>47</v>
      </c>
      <c r="G478" s="2" t="s">
        <v>37</v>
      </c>
      <c r="H478" s="2">
        <v>3</v>
      </c>
      <c r="I478" s="2">
        <v>11</v>
      </c>
      <c r="J478" s="2" t="s">
        <v>38</v>
      </c>
      <c r="K478" s="2">
        <v>641</v>
      </c>
      <c r="L478" s="2">
        <v>34</v>
      </c>
      <c r="M478" s="2">
        <v>1000408</v>
      </c>
      <c r="N478" s="2">
        <v>544633</v>
      </c>
      <c r="O478" s="2"/>
      <c r="P478" s="2"/>
      <c r="Q478">
        <f t="shared" si="14"/>
        <v>2499.0043131137008</v>
      </c>
      <c r="R478">
        <f t="shared" si="15"/>
        <v>2364.6953150853305</v>
      </c>
    </row>
    <row r="479" spans="1:18" ht="16" x14ac:dyDescent="0.4">
      <c r="A479" s="2">
        <v>181464</v>
      </c>
      <c r="B479" s="2" t="s">
        <v>522</v>
      </c>
      <c r="C479" s="2" t="s">
        <v>302</v>
      </c>
      <c r="D479" s="2">
        <v>19130</v>
      </c>
      <c r="E479" s="2">
        <v>48</v>
      </c>
      <c r="F479" s="2" t="s">
        <v>36</v>
      </c>
      <c r="G479" s="2" t="s">
        <v>37</v>
      </c>
      <c r="H479" s="2">
        <v>1</v>
      </c>
      <c r="I479" s="2">
        <v>38</v>
      </c>
      <c r="J479" s="2" t="s">
        <v>38</v>
      </c>
      <c r="K479" s="2">
        <v>752</v>
      </c>
      <c r="L479" s="2">
        <v>45.6</v>
      </c>
      <c r="M479" s="2">
        <v>51470443</v>
      </c>
      <c r="N479" s="2">
        <v>21291413</v>
      </c>
      <c r="O479" s="2"/>
      <c r="P479" s="2"/>
      <c r="Q479">
        <f t="shared" si="14"/>
        <v>62090.020180104511</v>
      </c>
      <c r="R479">
        <f t="shared" si="15"/>
        <v>125817.53314690237</v>
      </c>
    </row>
    <row r="480" spans="1:18" ht="16" x14ac:dyDescent="0.4">
      <c r="A480" s="2">
        <v>181783</v>
      </c>
      <c r="B480" s="2" t="s">
        <v>523</v>
      </c>
      <c r="C480" s="2" t="s">
        <v>302</v>
      </c>
      <c r="D480" s="2">
        <v>2625</v>
      </c>
      <c r="E480" s="2">
        <v>57.1</v>
      </c>
      <c r="F480" s="2" t="s">
        <v>36</v>
      </c>
      <c r="G480" s="2" t="s">
        <v>37</v>
      </c>
      <c r="H480" s="2">
        <v>2</v>
      </c>
      <c r="I480" s="2">
        <v>9</v>
      </c>
      <c r="J480" s="2" t="s">
        <v>38</v>
      </c>
      <c r="K480" s="2">
        <v>314</v>
      </c>
      <c r="L480" s="2">
        <v>43.3</v>
      </c>
      <c r="M480" s="2">
        <v>2083113</v>
      </c>
      <c r="N480" s="2">
        <v>1588939</v>
      </c>
      <c r="O480" s="2"/>
      <c r="P480" s="2"/>
      <c r="Q480">
        <f t="shared" si="14"/>
        <v>11686.640384813405</v>
      </c>
      <c r="R480">
        <f t="shared" si="15"/>
        <v>11700.384187645333</v>
      </c>
    </row>
    <row r="481" spans="1:18" ht="16" x14ac:dyDescent="0.4">
      <c r="A481" s="2">
        <v>182281</v>
      </c>
      <c r="B481" s="2" t="s">
        <v>524</v>
      </c>
      <c r="C481" s="2" t="s">
        <v>63</v>
      </c>
      <c r="D481" s="2">
        <v>19427</v>
      </c>
      <c r="E481" s="2">
        <v>57.4</v>
      </c>
      <c r="F481" s="2" t="s">
        <v>36</v>
      </c>
      <c r="G481" s="2" t="s">
        <v>37</v>
      </c>
      <c r="H481" s="2">
        <v>1</v>
      </c>
      <c r="I481" s="2">
        <v>38</v>
      </c>
      <c r="J481" s="2" t="s">
        <v>38</v>
      </c>
      <c r="K481" s="2">
        <v>497</v>
      </c>
      <c r="L481" s="2">
        <v>54.3</v>
      </c>
      <c r="M481" s="2">
        <v>21840213</v>
      </c>
      <c r="N481" s="2">
        <v>8375504</v>
      </c>
      <c r="O481" s="2"/>
      <c r="P481" s="2"/>
      <c r="Q481">
        <f t="shared" si="14"/>
        <v>31035.213120342676</v>
      </c>
      <c r="R481">
        <f t="shared" si="15"/>
        <v>96157.747359430097</v>
      </c>
    </row>
    <row r="482" spans="1:18" ht="16" x14ac:dyDescent="0.4">
      <c r="A482" s="2">
        <v>182290</v>
      </c>
      <c r="B482" s="2" t="s">
        <v>525</v>
      </c>
      <c r="C482" s="2" t="s">
        <v>63</v>
      </c>
      <c r="D482" s="2">
        <v>14751</v>
      </c>
      <c r="E482" s="2">
        <v>53</v>
      </c>
      <c r="F482" s="2" t="s">
        <v>36</v>
      </c>
      <c r="G482" s="2" t="s">
        <v>37</v>
      </c>
      <c r="H482" s="2">
        <v>1</v>
      </c>
      <c r="I482" s="2">
        <v>38</v>
      </c>
      <c r="J482" s="2" t="s">
        <v>38</v>
      </c>
      <c r="K482" s="2">
        <v>475</v>
      </c>
      <c r="L482" s="2">
        <v>53.9</v>
      </c>
      <c r="M482" s="2">
        <v>16889554</v>
      </c>
      <c r="N482" s="2">
        <v>8522373</v>
      </c>
      <c r="O482" s="2"/>
      <c r="P482" s="2"/>
      <c r="Q482">
        <f t="shared" si="14"/>
        <v>33287.268821404155</v>
      </c>
      <c r="R482">
        <f t="shared" si="15"/>
        <v>77130.055942459177</v>
      </c>
    </row>
    <row r="483" spans="1:18" ht="16" x14ac:dyDescent="0.4">
      <c r="A483" s="2">
        <v>182634</v>
      </c>
      <c r="B483" s="2" t="s">
        <v>526</v>
      </c>
      <c r="C483" s="2" t="s">
        <v>152</v>
      </c>
      <c r="D483" s="2">
        <v>803</v>
      </c>
      <c r="E483" s="2">
        <v>70.900000000000006</v>
      </c>
      <c r="F483" s="2" t="s">
        <v>47</v>
      </c>
      <c r="G483" s="2" t="s">
        <v>37</v>
      </c>
      <c r="H483" s="2">
        <v>3</v>
      </c>
      <c r="I483" s="2">
        <v>38</v>
      </c>
      <c r="J483" s="2" t="s">
        <v>41</v>
      </c>
      <c r="K483" s="2">
        <v>360</v>
      </c>
      <c r="L483" s="2">
        <v>55.8</v>
      </c>
      <c r="M483" s="2">
        <v>464842</v>
      </c>
      <c r="N483" s="2">
        <v>429165</v>
      </c>
      <c r="O483" s="2"/>
      <c r="P483" s="2"/>
      <c r="Q483">
        <f t="shared" si="14"/>
        <v>2136.4247311827962</v>
      </c>
      <c r="R483">
        <f t="shared" si="15"/>
        <v>2921.3298139768722</v>
      </c>
    </row>
    <row r="484" spans="1:18" ht="16" x14ac:dyDescent="0.4">
      <c r="A484" s="2">
        <v>182670</v>
      </c>
      <c r="B484" s="2" t="s">
        <v>527</v>
      </c>
      <c r="C484" s="2" t="s">
        <v>152</v>
      </c>
      <c r="D484" s="2">
        <v>4363</v>
      </c>
      <c r="E484" s="2">
        <v>49.2</v>
      </c>
      <c r="F484" s="2" t="s">
        <v>47</v>
      </c>
      <c r="G484" s="2" t="s">
        <v>37</v>
      </c>
      <c r="H484" s="2">
        <v>1</v>
      </c>
      <c r="I484" s="2">
        <v>20</v>
      </c>
      <c r="J484" s="2" t="s">
        <v>38</v>
      </c>
      <c r="K484" s="2">
        <v>1007</v>
      </c>
      <c r="L484" s="2">
        <v>47.4</v>
      </c>
      <c r="M484" s="2">
        <v>10546428</v>
      </c>
      <c r="N484" s="2">
        <v>6475591</v>
      </c>
      <c r="O484" s="2"/>
      <c r="P484" s="2"/>
      <c r="Q484">
        <f t="shared" si="14"/>
        <v>13566.618061753381</v>
      </c>
      <c r="R484">
        <f t="shared" si="15"/>
        <v>19910.86727508203</v>
      </c>
    </row>
    <row r="485" spans="1:18" ht="16" x14ac:dyDescent="0.4">
      <c r="A485" s="2">
        <v>182795</v>
      </c>
      <c r="B485" s="2" t="s">
        <v>528</v>
      </c>
      <c r="C485" s="2" t="s">
        <v>152</v>
      </c>
      <c r="D485" s="2">
        <v>1450</v>
      </c>
      <c r="E485" s="2">
        <v>54</v>
      </c>
      <c r="F485" s="2" t="s">
        <v>47</v>
      </c>
      <c r="G485" s="2" t="s">
        <v>37</v>
      </c>
      <c r="H485" s="2">
        <v>2</v>
      </c>
      <c r="I485" s="2">
        <v>38</v>
      </c>
      <c r="J485" s="2" t="s">
        <v>41</v>
      </c>
      <c r="K485" s="2">
        <v>619</v>
      </c>
      <c r="L485" s="2">
        <v>43.1</v>
      </c>
      <c r="M485" s="2">
        <v>3573479</v>
      </c>
      <c r="N485" s="2">
        <v>3309730</v>
      </c>
      <c r="O485" s="2"/>
      <c r="P485" s="2"/>
      <c r="Q485">
        <f t="shared" si="14"/>
        <v>12405.796340928597</v>
      </c>
      <c r="R485">
        <f t="shared" si="15"/>
        <v>10145.847233618486</v>
      </c>
    </row>
    <row r="486" spans="1:18" ht="16" x14ac:dyDescent="0.4">
      <c r="A486" s="2">
        <v>182980</v>
      </c>
      <c r="B486" s="2" t="s">
        <v>529</v>
      </c>
      <c r="C486" s="2" t="s">
        <v>152</v>
      </c>
      <c r="D486" s="2">
        <v>1809</v>
      </c>
      <c r="E486" s="2">
        <v>59.3</v>
      </c>
      <c r="F486" s="2" t="s">
        <v>47</v>
      </c>
      <c r="G486" s="2" t="s">
        <v>37</v>
      </c>
      <c r="H486" s="2">
        <v>3</v>
      </c>
      <c r="I486" s="2">
        <v>38</v>
      </c>
      <c r="J486" s="2" t="s">
        <v>41</v>
      </c>
      <c r="K486" s="2">
        <v>383</v>
      </c>
      <c r="L486" s="2">
        <v>48.6</v>
      </c>
      <c r="M486" s="2">
        <v>1036575</v>
      </c>
      <c r="N486" s="2">
        <v>1130996</v>
      </c>
      <c r="O486" s="2"/>
      <c r="P486" s="2"/>
      <c r="Q486">
        <f t="shared" si="14"/>
        <v>6076.1155701683692</v>
      </c>
      <c r="R486">
        <f t="shared" si="15"/>
        <v>5265.490546677368</v>
      </c>
    </row>
    <row r="487" spans="1:18" ht="16" x14ac:dyDescent="0.4">
      <c r="A487" s="2">
        <v>183026</v>
      </c>
      <c r="B487" s="2" t="s">
        <v>530</v>
      </c>
      <c r="C487" s="2" t="s">
        <v>152</v>
      </c>
      <c r="D487" s="2">
        <v>27335</v>
      </c>
      <c r="E487" s="2">
        <v>62.3</v>
      </c>
      <c r="F487" s="2" t="s">
        <v>47</v>
      </c>
      <c r="G487" s="2" t="s">
        <v>37</v>
      </c>
      <c r="H487" s="2">
        <v>2</v>
      </c>
      <c r="I487" s="2">
        <v>38</v>
      </c>
      <c r="J487" s="2" t="s">
        <v>41</v>
      </c>
      <c r="K487" s="2">
        <v>438</v>
      </c>
      <c r="L487" s="2">
        <v>51.6</v>
      </c>
      <c r="M487" s="2">
        <v>3279317</v>
      </c>
      <c r="N487" s="2">
        <v>3286524</v>
      </c>
      <c r="O487" s="2"/>
      <c r="P487" s="2"/>
      <c r="Q487">
        <f t="shared" si="14"/>
        <v>14541.626845067431</v>
      </c>
      <c r="R487">
        <f t="shared" si="15"/>
        <v>15469.06015321333</v>
      </c>
    </row>
    <row r="488" spans="1:18" ht="16" x14ac:dyDescent="0.4">
      <c r="A488" s="2">
        <v>183044</v>
      </c>
      <c r="B488" s="2" t="s">
        <v>531</v>
      </c>
      <c r="C488" s="2" t="s">
        <v>152</v>
      </c>
      <c r="D488" s="2">
        <v>11900</v>
      </c>
      <c r="E488" s="2">
        <v>55.8</v>
      </c>
      <c r="F488" s="2" t="s">
        <v>36</v>
      </c>
      <c r="G488" s="2" t="s">
        <v>37</v>
      </c>
      <c r="H488" s="2">
        <v>1</v>
      </c>
      <c r="I488" s="2">
        <v>38</v>
      </c>
      <c r="J488" s="2" t="s">
        <v>38</v>
      </c>
      <c r="K488" s="2">
        <v>693</v>
      </c>
      <c r="L488" s="2">
        <v>51.4</v>
      </c>
      <c r="M488" s="2">
        <v>11790773</v>
      </c>
      <c r="N488" s="2">
        <v>10553392</v>
      </c>
      <c r="O488" s="2"/>
      <c r="P488" s="2"/>
      <c r="Q488">
        <f t="shared" si="14"/>
        <v>29627.548413540633</v>
      </c>
      <c r="R488">
        <f t="shared" si="15"/>
        <v>35008.441261527681</v>
      </c>
    </row>
    <row r="489" spans="1:18" ht="16" x14ac:dyDescent="0.4">
      <c r="A489" s="2">
        <v>183062</v>
      </c>
      <c r="B489" s="2" t="s">
        <v>532</v>
      </c>
      <c r="C489" s="2" t="s">
        <v>152</v>
      </c>
      <c r="D489" s="2">
        <v>3266</v>
      </c>
      <c r="E489" s="2">
        <v>54.5</v>
      </c>
      <c r="F489" s="2" t="s">
        <v>36</v>
      </c>
      <c r="G489" s="2" t="s">
        <v>37</v>
      </c>
      <c r="H489" s="2">
        <v>3</v>
      </c>
      <c r="I489" s="2">
        <v>12</v>
      </c>
      <c r="J489" s="2" t="s">
        <v>41</v>
      </c>
      <c r="K489" s="2">
        <v>353</v>
      </c>
      <c r="L489" s="2">
        <v>50.7</v>
      </c>
      <c r="M489" s="2">
        <v>714477</v>
      </c>
      <c r="N489" s="2">
        <v>841100</v>
      </c>
      <c r="O489" s="2"/>
      <c r="P489" s="2"/>
      <c r="Q489">
        <f t="shared" si="14"/>
        <v>4699.6440764146146</v>
      </c>
      <c r="R489">
        <f t="shared" si="15"/>
        <v>4105.505404271702</v>
      </c>
    </row>
    <row r="490" spans="1:18" ht="16" x14ac:dyDescent="0.4">
      <c r="A490" s="2">
        <v>183080</v>
      </c>
      <c r="B490" s="2" t="s">
        <v>533</v>
      </c>
      <c r="C490" s="2" t="s">
        <v>152</v>
      </c>
      <c r="D490" s="2">
        <v>3659</v>
      </c>
      <c r="E490" s="2">
        <v>49.6</v>
      </c>
      <c r="F490" s="2" t="s">
        <v>36</v>
      </c>
      <c r="G490" s="2" t="s">
        <v>37</v>
      </c>
      <c r="H490" s="2">
        <v>3</v>
      </c>
      <c r="I490" s="2">
        <v>14</v>
      </c>
      <c r="J490" s="2" t="s">
        <v>38</v>
      </c>
      <c r="K490" s="2">
        <v>651</v>
      </c>
      <c r="L490" s="2">
        <v>38.700000000000003</v>
      </c>
      <c r="M490" s="2">
        <v>1209372</v>
      </c>
      <c r="N490" s="2">
        <v>985480</v>
      </c>
      <c r="O490" s="2"/>
      <c r="P490" s="2"/>
      <c r="Q490">
        <f t="shared" si="14"/>
        <v>3911.6128238408805</v>
      </c>
      <c r="R490">
        <f t="shared" si="15"/>
        <v>3030.5290142158005</v>
      </c>
    </row>
    <row r="491" spans="1:18" ht="16" x14ac:dyDescent="0.4">
      <c r="A491" s="2">
        <v>183211</v>
      </c>
      <c r="B491" s="2" t="s">
        <v>534</v>
      </c>
      <c r="C491" s="2" t="s">
        <v>152</v>
      </c>
      <c r="D491" s="2">
        <v>943</v>
      </c>
      <c r="E491" s="2">
        <v>77.599999999999994</v>
      </c>
      <c r="F491" s="2" t="s">
        <v>47</v>
      </c>
      <c r="G491" s="2" t="s">
        <v>37</v>
      </c>
      <c r="H491" s="2">
        <v>3</v>
      </c>
      <c r="I491" s="2">
        <v>38</v>
      </c>
      <c r="J491" s="2" t="s">
        <v>41</v>
      </c>
      <c r="K491" s="2">
        <v>224</v>
      </c>
      <c r="L491" s="2">
        <v>53.1</v>
      </c>
      <c r="M491" s="2">
        <v>300766</v>
      </c>
      <c r="N491" s="2">
        <v>273802</v>
      </c>
      <c r="O491" s="2"/>
      <c r="P491" s="2"/>
      <c r="Q491">
        <f t="shared" si="14"/>
        <v>2301.9404089319341</v>
      </c>
      <c r="R491">
        <f t="shared" si="15"/>
        <v>2862.9112092598234</v>
      </c>
    </row>
    <row r="492" spans="1:18" ht="16" x14ac:dyDescent="0.4">
      <c r="A492" s="2">
        <v>183239</v>
      </c>
      <c r="B492" s="2" t="s">
        <v>535</v>
      </c>
      <c r="C492" s="2" t="s">
        <v>152</v>
      </c>
      <c r="D492" s="2">
        <v>2013</v>
      </c>
      <c r="E492" s="2">
        <v>61.4</v>
      </c>
      <c r="F492" s="2" t="s">
        <v>47</v>
      </c>
      <c r="G492" s="2" t="s">
        <v>37</v>
      </c>
      <c r="H492" s="2">
        <v>2</v>
      </c>
      <c r="I492" s="2">
        <v>38</v>
      </c>
      <c r="J492" s="2" t="s">
        <v>38</v>
      </c>
      <c r="K492" s="2">
        <v>454</v>
      </c>
      <c r="L492" s="2">
        <v>42.1</v>
      </c>
      <c r="M492" s="2">
        <v>3424649</v>
      </c>
      <c r="N492" s="2">
        <v>3124858</v>
      </c>
      <c r="O492" s="2"/>
      <c r="P492" s="2"/>
      <c r="Q492">
        <f t="shared" si="14"/>
        <v>16349.043079724172</v>
      </c>
      <c r="R492">
        <f t="shared" si="15"/>
        <v>13028.116987362384</v>
      </c>
    </row>
    <row r="493" spans="1:18" ht="16" x14ac:dyDescent="0.4">
      <c r="A493" s="2">
        <v>183822</v>
      </c>
      <c r="B493" s="2" t="s">
        <v>536</v>
      </c>
      <c r="C493" s="2" t="s">
        <v>537</v>
      </c>
      <c r="D493" s="2">
        <v>1515</v>
      </c>
      <c r="E493" s="2">
        <v>61.2</v>
      </c>
      <c r="F493" s="2" t="s">
        <v>47</v>
      </c>
      <c r="G493" s="2" t="s">
        <v>37</v>
      </c>
      <c r="H493" s="2">
        <v>2</v>
      </c>
      <c r="I493" s="2">
        <v>38</v>
      </c>
      <c r="J493" s="2" t="s">
        <v>41</v>
      </c>
      <c r="K493" s="2">
        <v>275</v>
      </c>
      <c r="L493" s="2">
        <v>48.7</v>
      </c>
      <c r="M493" s="2">
        <v>1642891</v>
      </c>
      <c r="N493" s="2">
        <v>1812080</v>
      </c>
      <c r="O493" s="2"/>
      <c r="P493" s="2"/>
      <c r="Q493">
        <f t="shared" si="14"/>
        <v>13530.558148217284</v>
      </c>
      <c r="R493">
        <f t="shared" si="15"/>
        <v>11645.514797093743</v>
      </c>
    </row>
    <row r="494" spans="1:18" ht="16" x14ac:dyDescent="0.4">
      <c r="A494" s="2">
        <v>183910</v>
      </c>
      <c r="B494" s="2" t="s">
        <v>538</v>
      </c>
      <c r="C494" s="2" t="s">
        <v>537</v>
      </c>
      <c r="D494" s="2">
        <v>1609</v>
      </c>
      <c r="E494" s="2">
        <v>63</v>
      </c>
      <c r="F494" s="2" t="s">
        <v>47</v>
      </c>
      <c r="G494" s="2" t="s">
        <v>37</v>
      </c>
      <c r="H494" s="2">
        <v>2</v>
      </c>
      <c r="I494" s="2">
        <v>37</v>
      </c>
      <c r="J494" s="2" t="s">
        <v>41</v>
      </c>
      <c r="K494" s="2">
        <v>235</v>
      </c>
      <c r="L494" s="2">
        <v>52.3</v>
      </c>
      <c r="M494" s="2">
        <v>1922320</v>
      </c>
      <c r="N494" s="2">
        <v>1521111</v>
      </c>
      <c r="O494" s="2"/>
      <c r="P494" s="2"/>
      <c r="Q494">
        <f t="shared" si="14"/>
        <v>12376.3150400716</v>
      </c>
      <c r="R494">
        <f t="shared" si="15"/>
        <v>17149.025380257815</v>
      </c>
    </row>
    <row r="495" spans="1:18" ht="16" x14ac:dyDescent="0.4">
      <c r="A495" s="2">
        <v>183974</v>
      </c>
      <c r="B495" s="2" t="s">
        <v>539</v>
      </c>
      <c r="C495" s="2" t="s">
        <v>537</v>
      </c>
      <c r="D495" s="2">
        <v>1038</v>
      </c>
      <c r="E495" s="2">
        <v>67.099999999999994</v>
      </c>
      <c r="F495" s="2" t="s">
        <v>47</v>
      </c>
      <c r="G495" s="2" t="s">
        <v>37</v>
      </c>
      <c r="H495" s="2">
        <v>3</v>
      </c>
      <c r="I495" s="2">
        <v>38</v>
      </c>
      <c r="J495" s="2" t="s">
        <v>41</v>
      </c>
      <c r="K495" s="2">
        <v>222</v>
      </c>
      <c r="L495" s="2">
        <v>46.8</v>
      </c>
      <c r="M495" s="2">
        <v>351256</v>
      </c>
      <c r="N495" s="2">
        <v>316380</v>
      </c>
      <c r="O495" s="2"/>
      <c r="P495" s="2"/>
      <c r="Q495">
        <f t="shared" si="14"/>
        <v>3045.1605451605456</v>
      </c>
      <c r="R495">
        <f t="shared" si="15"/>
        <v>2974.1245004402895</v>
      </c>
    </row>
    <row r="496" spans="1:18" ht="16" x14ac:dyDescent="0.4">
      <c r="A496" s="2">
        <v>184348</v>
      </c>
      <c r="B496" s="2" t="s">
        <v>540</v>
      </c>
      <c r="C496" s="2" t="s">
        <v>537</v>
      </c>
      <c r="D496" s="2">
        <v>1569</v>
      </c>
      <c r="E496" s="2">
        <v>60.2</v>
      </c>
      <c r="F496" s="2" t="s">
        <v>47</v>
      </c>
      <c r="G496" s="2" t="s">
        <v>37</v>
      </c>
      <c r="H496" s="2">
        <v>3</v>
      </c>
      <c r="I496" s="2">
        <v>38</v>
      </c>
      <c r="J496" s="2" t="s">
        <v>41</v>
      </c>
      <c r="K496" s="2">
        <v>382</v>
      </c>
      <c r="L496" s="2">
        <v>45.5</v>
      </c>
      <c r="M496" s="2">
        <v>905088</v>
      </c>
      <c r="N496" s="2">
        <v>865055</v>
      </c>
      <c r="O496" s="2"/>
      <c r="P496" s="2"/>
      <c r="Q496">
        <f t="shared" si="14"/>
        <v>4977.0151314653931</v>
      </c>
      <c r="R496">
        <f t="shared" si="15"/>
        <v>4347.4134204332577</v>
      </c>
    </row>
    <row r="497" spans="1:18" ht="16" x14ac:dyDescent="0.4">
      <c r="A497" s="2">
        <v>184603</v>
      </c>
      <c r="B497" s="2" t="s">
        <v>541</v>
      </c>
      <c r="C497" s="2" t="s">
        <v>537</v>
      </c>
      <c r="D497" s="2">
        <v>2104</v>
      </c>
      <c r="E497" s="2">
        <v>58.4</v>
      </c>
      <c r="F497" s="2" t="s">
        <v>47</v>
      </c>
      <c r="G497" s="2" t="s">
        <v>37</v>
      </c>
      <c r="H497" s="2">
        <v>1</v>
      </c>
      <c r="I497" s="2">
        <v>38</v>
      </c>
      <c r="J497" s="2" t="s">
        <v>41</v>
      </c>
      <c r="K497" s="2">
        <v>311</v>
      </c>
      <c r="L497" s="2">
        <v>49.8</v>
      </c>
      <c r="M497" s="2">
        <v>4897879</v>
      </c>
      <c r="N497" s="2">
        <v>5846797</v>
      </c>
      <c r="O497" s="2"/>
      <c r="P497" s="2"/>
      <c r="Q497">
        <f t="shared" si="14"/>
        <v>37750.984645979421</v>
      </c>
      <c r="R497">
        <f t="shared" si="15"/>
        <v>31372.125645328651</v>
      </c>
    </row>
    <row r="498" spans="1:18" ht="16" x14ac:dyDescent="0.4">
      <c r="A498" s="2">
        <v>184612</v>
      </c>
      <c r="B498" s="2" t="s">
        <v>542</v>
      </c>
      <c r="C498" s="2" t="s">
        <v>537</v>
      </c>
      <c r="D498" s="2">
        <v>1639</v>
      </c>
      <c r="E498" s="2">
        <v>71</v>
      </c>
      <c r="F498" s="2" t="s">
        <v>47</v>
      </c>
      <c r="G498" s="2" t="s">
        <v>37</v>
      </c>
      <c r="H498" s="2">
        <v>2</v>
      </c>
      <c r="I498" s="2">
        <v>38</v>
      </c>
      <c r="J498" s="2" t="s">
        <v>41</v>
      </c>
      <c r="K498" s="2">
        <v>240</v>
      </c>
      <c r="L498" s="2">
        <v>50.4</v>
      </c>
      <c r="M498" s="2">
        <v>1472067</v>
      </c>
      <c r="N498" s="2">
        <v>1421979</v>
      </c>
      <c r="O498" s="2"/>
      <c r="P498" s="2"/>
      <c r="Q498">
        <f t="shared" si="14"/>
        <v>11755.778769841269</v>
      </c>
      <c r="R498">
        <f t="shared" si="15"/>
        <v>12366.154233870968</v>
      </c>
    </row>
    <row r="499" spans="1:18" ht="16" x14ac:dyDescent="0.4">
      <c r="A499" s="2">
        <v>184694</v>
      </c>
      <c r="B499" s="2" t="s">
        <v>543</v>
      </c>
      <c r="C499" s="2" t="s">
        <v>537</v>
      </c>
      <c r="D499" s="2">
        <v>2532</v>
      </c>
      <c r="E499" s="2">
        <v>57.9</v>
      </c>
      <c r="F499" s="2" t="s">
        <v>47</v>
      </c>
      <c r="G499" s="2" t="s">
        <v>37</v>
      </c>
      <c r="H499" s="2">
        <v>3</v>
      </c>
      <c r="I499" s="2">
        <v>12</v>
      </c>
      <c r="J499" s="2" t="s">
        <v>38</v>
      </c>
      <c r="K499" s="2">
        <v>427</v>
      </c>
      <c r="L499" s="2">
        <v>36.799999999999997</v>
      </c>
      <c r="M499" s="2">
        <v>748411</v>
      </c>
      <c r="N499" s="2">
        <v>574914</v>
      </c>
      <c r="O499" s="2"/>
      <c r="P499" s="2"/>
      <c r="Q499">
        <f t="shared" si="14"/>
        <v>3658.7032888707872</v>
      </c>
      <c r="R499">
        <f t="shared" si="15"/>
        <v>2773.2895087896127</v>
      </c>
    </row>
    <row r="500" spans="1:18" ht="16" x14ac:dyDescent="0.4">
      <c r="A500" s="2">
        <v>184773</v>
      </c>
      <c r="B500" s="2" t="s">
        <v>544</v>
      </c>
      <c r="C500" s="2" t="s">
        <v>537</v>
      </c>
      <c r="D500" s="2">
        <v>1417</v>
      </c>
      <c r="E500" s="2">
        <v>74.5</v>
      </c>
      <c r="F500" s="2" t="s">
        <v>47</v>
      </c>
      <c r="G500" s="2" t="s">
        <v>37</v>
      </c>
      <c r="H500" s="2">
        <v>2</v>
      </c>
      <c r="I500" s="2">
        <v>38</v>
      </c>
      <c r="J500" s="2" t="s">
        <v>41</v>
      </c>
      <c r="K500" s="2">
        <v>318</v>
      </c>
      <c r="L500" s="2">
        <v>50.9</v>
      </c>
      <c r="M500" s="2">
        <v>2531310</v>
      </c>
      <c r="N500" s="2">
        <v>2839915</v>
      </c>
      <c r="O500" s="2"/>
      <c r="P500" s="2"/>
      <c r="Q500">
        <f t="shared" si="14"/>
        <v>17545.285490108858</v>
      </c>
      <c r="R500">
        <f t="shared" si="15"/>
        <v>16212.004765015563</v>
      </c>
    </row>
    <row r="501" spans="1:18" ht="16" x14ac:dyDescent="0.4">
      <c r="A501" s="2">
        <v>184782</v>
      </c>
      <c r="B501" s="2" t="s">
        <v>545</v>
      </c>
      <c r="C501" s="2" t="s">
        <v>537</v>
      </c>
      <c r="D501" s="2">
        <v>14049</v>
      </c>
      <c r="E501" s="2">
        <v>44.9</v>
      </c>
      <c r="F501" s="2" t="s">
        <v>36</v>
      </c>
      <c r="G501" s="2" t="s">
        <v>37</v>
      </c>
      <c r="H501" s="2">
        <v>3</v>
      </c>
      <c r="I501" s="2">
        <v>38</v>
      </c>
      <c r="J501" s="2" t="s">
        <v>38</v>
      </c>
      <c r="K501" s="2">
        <v>660</v>
      </c>
      <c r="L501" s="2">
        <v>45.8</v>
      </c>
      <c r="M501" s="2">
        <v>1842401</v>
      </c>
      <c r="N501" s="2">
        <v>1557922</v>
      </c>
      <c r="O501" s="2"/>
      <c r="P501" s="2"/>
      <c r="Q501">
        <f t="shared" si="14"/>
        <v>5153.9036654757183</v>
      </c>
      <c r="R501">
        <f t="shared" si="15"/>
        <v>5150.3997539975398</v>
      </c>
    </row>
    <row r="502" spans="1:18" ht="16" x14ac:dyDescent="0.4">
      <c r="A502" s="2">
        <v>185129</v>
      </c>
      <c r="B502" s="2" t="s">
        <v>546</v>
      </c>
      <c r="C502" s="2" t="s">
        <v>537</v>
      </c>
      <c r="D502" s="2">
        <v>4933</v>
      </c>
      <c r="E502" s="2">
        <v>57.3</v>
      </c>
      <c r="F502" s="2" t="s">
        <v>36</v>
      </c>
      <c r="G502" s="2" t="s">
        <v>37</v>
      </c>
      <c r="H502" s="2">
        <v>3</v>
      </c>
      <c r="I502" s="2">
        <v>10</v>
      </c>
      <c r="J502" s="2" t="s">
        <v>41</v>
      </c>
      <c r="K502" s="2">
        <v>330</v>
      </c>
      <c r="L502" s="2">
        <v>42.4</v>
      </c>
      <c r="M502" s="2">
        <v>985015</v>
      </c>
      <c r="N502" s="2">
        <v>955678</v>
      </c>
      <c r="O502" s="2"/>
      <c r="P502" s="2"/>
      <c r="Q502">
        <f t="shared" si="14"/>
        <v>6830.1743853630651</v>
      </c>
      <c r="R502">
        <f t="shared" si="15"/>
        <v>5182.1075336700333</v>
      </c>
    </row>
    <row r="503" spans="1:18" ht="16" x14ac:dyDescent="0.4">
      <c r="A503" s="2">
        <v>185262</v>
      </c>
      <c r="B503" s="2" t="s">
        <v>547</v>
      </c>
      <c r="C503" s="2" t="s">
        <v>537</v>
      </c>
      <c r="D503" s="2">
        <v>9702</v>
      </c>
      <c r="E503" s="2">
        <v>59.4</v>
      </c>
      <c r="F503" s="2" t="s">
        <v>36</v>
      </c>
      <c r="G503" s="2" t="s">
        <v>37</v>
      </c>
      <c r="H503" s="2">
        <v>3</v>
      </c>
      <c r="I503" s="2">
        <v>38</v>
      </c>
      <c r="J503" s="2" t="s">
        <v>38</v>
      </c>
      <c r="K503" s="2">
        <v>402</v>
      </c>
      <c r="L503" s="2">
        <v>38.799999999999997</v>
      </c>
      <c r="M503" s="2">
        <v>1253257</v>
      </c>
      <c r="N503" s="2">
        <v>1193606</v>
      </c>
      <c r="O503" s="2"/>
      <c r="P503" s="2"/>
      <c r="Q503">
        <f t="shared" si="14"/>
        <v>7652.4978201774647</v>
      </c>
      <c r="R503">
        <f t="shared" si="15"/>
        <v>5094.0436705362081</v>
      </c>
    </row>
    <row r="504" spans="1:18" ht="16" x14ac:dyDescent="0.4">
      <c r="A504" s="2">
        <v>185572</v>
      </c>
      <c r="B504" s="2" t="s">
        <v>548</v>
      </c>
      <c r="C504" s="2" t="s">
        <v>537</v>
      </c>
      <c r="D504" s="2">
        <v>4301</v>
      </c>
      <c r="E504" s="2">
        <v>59.2</v>
      </c>
      <c r="F504" s="2" t="s">
        <v>47</v>
      </c>
      <c r="G504" s="2" t="s">
        <v>37</v>
      </c>
      <c r="H504" s="2">
        <v>1</v>
      </c>
      <c r="I504" s="2">
        <v>38</v>
      </c>
      <c r="J504" s="2" t="s">
        <v>38</v>
      </c>
      <c r="K504" s="2">
        <v>716</v>
      </c>
      <c r="L504" s="2">
        <v>42.2</v>
      </c>
      <c r="M504" s="2">
        <v>14722453</v>
      </c>
      <c r="N504" s="2">
        <v>8558196</v>
      </c>
      <c r="O504" s="2"/>
      <c r="P504" s="2"/>
      <c r="Q504">
        <f t="shared" si="14"/>
        <v>28324.141491699538</v>
      </c>
      <c r="R504">
        <f t="shared" si="15"/>
        <v>35574.541860779806</v>
      </c>
    </row>
    <row r="505" spans="1:18" ht="16" x14ac:dyDescent="0.4">
      <c r="A505" s="2">
        <v>185590</v>
      </c>
      <c r="B505" s="2" t="s">
        <v>549</v>
      </c>
      <c r="C505" s="2" t="s">
        <v>537</v>
      </c>
      <c r="D505" s="2">
        <v>14745</v>
      </c>
      <c r="E505" s="2">
        <v>61.7</v>
      </c>
      <c r="F505" s="2" t="s">
        <v>36</v>
      </c>
      <c r="G505" s="2" t="s">
        <v>37</v>
      </c>
      <c r="H505" s="2">
        <v>3</v>
      </c>
      <c r="I505" s="2">
        <v>37</v>
      </c>
      <c r="J505" s="2" t="s">
        <v>38</v>
      </c>
      <c r="K505" s="2">
        <v>463</v>
      </c>
      <c r="L505" s="2">
        <v>42.8</v>
      </c>
      <c r="M505" s="2">
        <v>1289164</v>
      </c>
      <c r="N505" s="2">
        <v>1285455</v>
      </c>
      <c r="O505" s="2"/>
      <c r="P505" s="2"/>
      <c r="Q505">
        <f t="shared" si="14"/>
        <v>6486.824044730628</v>
      </c>
      <c r="R505">
        <f t="shared" si="15"/>
        <v>4867.7823256656948</v>
      </c>
    </row>
    <row r="506" spans="1:18" ht="16" x14ac:dyDescent="0.4">
      <c r="A506" s="2">
        <v>185828</v>
      </c>
      <c r="B506" s="2" t="s">
        <v>550</v>
      </c>
      <c r="C506" s="2" t="s">
        <v>537</v>
      </c>
      <c r="D506" s="2">
        <v>6852</v>
      </c>
      <c r="E506" s="2">
        <v>25</v>
      </c>
      <c r="F506" s="2" t="s">
        <v>36</v>
      </c>
      <c r="G506" s="2" t="s">
        <v>37</v>
      </c>
      <c r="H506" s="2">
        <v>1</v>
      </c>
      <c r="I506" s="2">
        <v>38</v>
      </c>
      <c r="J506" s="2" t="s">
        <v>41</v>
      </c>
      <c r="K506" s="2">
        <v>408</v>
      </c>
      <c r="L506" s="2">
        <v>30.4</v>
      </c>
      <c r="M506" s="2">
        <v>5527378</v>
      </c>
      <c r="N506" s="2">
        <v>4000707</v>
      </c>
      <c r="O506" s="2"/>
      <c r="P506" s="2"/>
      <c r="Q506">
        <f t="shared" si="14"/>
        <v>32255.44214396285</v>
      </c>
      <c r="R506">
        <f t="shared" si="15"/>
        <v>19464.79180752761</v>
      </c>
    </row>
    <row r="507" spans="1:18" ht="16" x14ac:dyDescent="0.4">
      <c r="A507" s="2">
        <v>186131</v>
      </c>
      <c r="B507" s="2" t="s">
        <v>551</v>
      </c>
      <c r="C507" s="2" t="s">
        <v>537</v>
      </c>
      <c r="D507" s="2">
        <v>5308</v>
      </c>
      <c r="E507" s="2">
        <v>49.7</v>
      </c>
      <c r="F507" s="2" t="s">
        <v>47</v>
      </c>
      <c r="G507" s="2" t="s">
        <v>37</v>
      </c>
      <c r="H507" s="2">
        <v>1</v>
      </c>
      <c r="I507" s="2">
        <v>18</v>
      </c>
      <c r="J507" s="2" t="s">
        <v>38</v>
      </c>
      <c r="K507" s="2">
        <v>1120</v>
      </c>
      <c r="L507" s="2">
        <v>41.4</v>
      </c>
      <c r="M507" s="2">
        <v>14772558</v>
      </c>
      <c r="N507" s="2">
        <v>9793420</v>
      </c>
      <c r="O507" s="2"/>
      <c r="P507" s="2"/>
      <c r="Q507">
        <f t="shared" si="14"/>
        <v>21121.074879227057</v>
      </c>
      <c r="R507">
        <f t="shared" si="15"/>
        <v>22508.163700633835</v>
      </c>
    </row>
    <row r="508" spans="1:18" ht="16" x14ac:dyDescent="0.4">
      <c r="A508" s="2">
        <v>186201</v>
      </c>
      <c r="B508" s="2" t="s">
        <v>552</v>
      </c>
      <c r="C508" s="2" t="s">
        <v>537</v>
      </c>
      <c r="D508" s="2">
        <v>4840</v>
      </c>
      <c r="E508" s="2">
        <v>55.7</v>
      </c>
      <c r="F508" s="2" t="s">
        <v>36</v>
      </c>
      <c r="G508" s="2" t="s">
        <v>37</v>
      </c>
      <c r="H508" s="2">
        <v>3</v>
      </c>
      <c r="I508" s="2">
        <v>12</v>
      </c>
      <c r="J508" s="2" t="s">
        <v>41</v>
      </c>
      <c r="K508" s="2">
        <v>381</v>
      </c>
      <c r="L508" s="2">
        <v>50.7</v>
      </c>
      <c r="M508" s="2">
        <v>739104</v>
      </c>
      <c r="N508" s="2">
        <v>842074</v>
      </c>
      <c r="O508" s="2"/>
      <c r="P508" s="2"/>
      <c r="Q508">
        <f t="shared" si="14"/>
        <v>4359.3056785061626</v>
      </c>
      <c r="R508">
        <f t="shared" si="15"/>
        <v>3934.8996182779383</v>
      </c>
    </row>
    <row r="509" spans="1:18" ht="16" x14ac:dyDescent="0.4">
      <c r="A509" s="2">
        <v>186283</v>
      </c>
      <c r="B509" s="2" t="s">
        <v>553</v>
      </c>
      <c r="C509" s="2" t="s">
        <v>537</v>
      </c>
      <c r="D509" s="2">
        <v>3454</v>
      </c>
      <c r="E509" s="2">
        <v>57</v>
      </c>
      <c r="F509" s="2" t="s">
        <v>47</v>
      </c>
      <c r="G509" s="2" t="s">
        <v>37</v>
      </c>
      <c r="H509" s="2">
        <v>1</v>
      </c>
      <c r="I509" s="2">
        <v>38</v>
      </c>
      <c r="J509" s="2" t="s">
        <v>41</v>
      </c>
      <c r="K509" s="2">
        <v>574</v>
      </c>
      <c r="L509" s="2">
        <v>43.7</v>
      </c>
      <c r="M509" s="2">
        <v>6140091</v>
      </c>
      <c r="N509" s="2">
        <v>4828137</v>
      </c>
      <c r="O509" s="2"/>
      <c r="P509" s="2"/>
      <c r="Q509">
        <f t="shared" si="14"/>
        <v>19248.028608105629</v>
      </c>
      <c r="R509">
        <f t="shared" si="15"/>
        <v>19000.040227501999</v>
      </c>
    </row>
    <row r="510" spans="1:18" ht="16" x14ac:dyDescent="0.4">
      <c r="A510" s="2">
        <v>186371</v>
      </c>
      <c r="B510" s="2" t="s">
        <v>554</v>
      </c>
      <c r="C510" s="2" t="s">
        <v>537</v>
      </c>
      <c r="D510" s="2">
        <v>4762</v>
      </c>
      <c r="E510" s="2">
        <v>62.9</v>
      </c>
      <c r="F510" s="2" t="s">
        <v>36</v>
      </c>
      <c r="G510" s="2" t="s">
        <v>37</v>
      </c>
      <c r="H510" s="2">
        <v>3</v>
      </c>
      <c r="I510" s="2">
        <v>11</v>
      </c>
      <c r="J510" s="2" t="s">
        <v>41</v>
      </c>
      <c r="K510" s="2">
        <v>273</v>
      </c>
      <c r="L510" s="2">
        <v>49.8</v>
      </c>
      <c r="M510" s="2">
        <v>410449</v>
      </c>
      <c r="N510" s="2">
        <v>469276</v>
      </c>
      <c r="O510" s="2"/>
      <c r="P510" s="2"/>
      <c r="Q510">
        <f t="shared" si="14"/>
        <v>3451.7263191961983</v>
      </c>
      <c r="R510">
        <f t="shared" si="15"/>
        <v>2994.9724909884276</v>
      </c>
    </row>
    <row r="511" spans="1:18" ht="16" x14ac:dyDescent="0.4">
      <c r="A511" s="2">
        <v>186380</v>
      </c>
      <c r="B511" s="2" t="s">
        <v>555</v>
      </c>
      <c r="C511" s="2" t="s">
        <v>537</v>
      </c>
      <c r="D511" s="2">
        <v>34233</v>
      </c>
      <c r="E511" s="2">
        <v>49.8</v>
      </c>
      <c r="F511" s="2" t="s">
        <v>36</v>
      </c>
      <c r="G511" s="2" t="s">
        <v>37</v>
      </c>
      <c r="H511" s="2">
        <v>1</v>
      </c>
      <c r="I511" s="2">
        <v>38</v>
      </c>
      <c r="J511" s="2" t="s">
        <v>38</v>
      </c>
      <c r="K511" s="2">
        <v>854</v>
      </c>
      <c r="L511" s="2">
        <v>51.9</v>
      </c>
      <c r="M511" s="2">
        <v>49886935</v>
      </c>
      <c r="N511" s="2">
        <v>19843838</v>
      </c>
      <c r="O511" s="2"/>
      <c r="P511" s="2"/>
      <c r="Q511">
        <f t="shared" si="14"/>
        <v>44771.376227928864</v>
      </c>
      <c r="R511">
        <f t="shared" si="15"/>
        <v>121446.184519955</v>
      </c>
    </row>
    <row r="512" spans="1:18" ht="16" x14ac:dyDescent="0.4">
      <c r="A512" s="2">
        <v>186399</v>
      </c>
      <c r="B512" s="2" t="s">
        <v>556</v>
      </c>
      <c r="C512" s="2" t="s">
        <v>537</v>
      </c>
      <c r="D512" s="2">
        <v>7958</v>
      </c>
      <c r="E512" s="2">
        <v>56.7</v>
      </c>
      <c r="F512" s="2" t="s">
        <v>36</v>
      </c>
      <c r="G512" s="2" t="s">
        <v>37</v>
      </c>
      <c r="H512" s="2">
        <v>3</v>
      </c>
      <c r="I512" s="2">
        <v>7</v>
      </c>
      <c r="J512" s="2" t="s">
        <v>41</v>
      </c>
      <c r="K512" s="2">
        <v>261</v>
      </c>
      <c r="L512" s="2">
        <v>50.2</v>
      </c>
      <c r="M512" s="2">
        <v>840939</v>
      </c>
      <c r="N512" s="2">
        <v>620057</v>
      </c>
      <c r="O512" s="2"/>
      <c r="P512" s="2"/>
      <c r="Q512">
        <f t="shared" si="14"/>
        <v>4732.4647769076955</v>
      </c>
      <c r="R512">
        <f t="shared" si="15"/>
        <v>6469.8564372432256</v>
      </c>
    </row>
    <row r="513" spans="1:18" ht="16" x14ac:dyDescent="0.4">
      <c r="A513" s="2">
        <v>186432</v>
      </c>
      <c r="B513" s="2" t="s">
        <v>557</v>
      </c>
      <c r="C513" s="2" t="s">
        <v>537</v>
      </c>
      <c r="D513" s="2">
        <v>2190</v>
      </c>
      <c r="E513" s="2">
        <v>61.1</v>
      </c>
      <c r="F513" s="2" t="s">
        <v>47</v>
      </c>
      <c r="G513" s="2" t="s">
        <v>37</v>
      </c>
      <c r="H513" s="2">
        <v>1</v>
      </c>
      <c r="I513" s="2">
        <v>8</v>
      </c>
      <c r="J513" s="2" t="s">
        <v>41</v>
      </c>
      <c r="K513" s="2">
        <v>320</v>
      </c>
      <c r="L513" s="2">
        <v>45.9</v>
      </c>
      <c r="M513" s="2">
        <v>2844269</v>
      </c>
      <c r="N513" s="2">
        <v>2279127</v>
      </c>
      <c r="O513" s="2"/>
      <c r="P513" s="2"/>
      <c r="Q513">
        <f t="shared" si="14"/>
        <v>15516.932189542484</v>
      </c>
      <c r="R513">
        <f t="shared" si="15"/>
        <v>16429.46511090573</v>
      </c>
    </row>
    <row r="514" spans="1:18" ht="16" x14ac:dyDescent="0.4">
      <c r="A514" s="2">
        <v>186584</v>
      </c>
      <c r="B514" s="2" t="s">
        <v>558</v>
      </c>
      <c r="C514" s="2" t="s">
        <v>537</v>
      </c>
      <c r="D514" s="2">
        <v>5780</v>
      </c>
      <c r="E514" s="2">
        <v>52.8</v>
      </c>
      <c r="F514" s="2" t="s">
        <v>47</v>
      </c>
      <c r="G514" s="2" t="s">
        <v>37</v>
      </c>
      <c r="H514" s="2">
        <v>1</v>
      </c>
      <c r="I514" s="2">
        <v>38</v>
      </c>
      <c r="J514" s="2" t="s">
        <v>41</v>
      </c>
      <c r="K514" s="2">
        <v>272</v>
      </c>
      <c r="L514" s="2">
        <v>51.1</v>
      </c>
      <c r="M514" s="2">
        <v>11808765</v>
      </c>
      <c r="N514" s="2">
        <v>8187644</v>
      </c>
      <c r="O514" s="2"/>
      <c r="P514" s="2"/>
      <c r="Q514">
        <f t="shared" si="14"/>
        <v>58907.304017497416</v>
      </c>
      <c r="R514">
        <f t="shared" si="15"/>
        <v>88782.366474197028</v>
      </c>
    </row>
    <row r="515" spans="1:18" ht="16" x14ac:dyDescent="0.4">
      <c r="A515" s="2">
        <v>186618</v>
      </c>
      <c r="B515" s="2" t="s">
        <v>559</v>
      </c>
      <c r="C515" s="2" t="s">
        <v>537</v>
      </c>
      <c r="D515" s="2">
        <v>627</v>
      </c>
      <c r="E515" s="2">
        <v>65.2</v>
      </c>
      <c r="F515" s="2" t="s">
        <v>47</v>
      </c>
      <c r="G515" s="2" t="s">
        <v>37</v>
      </c>
      <c r="H515" s="2">
        <v>3</v>
      </c>
      <c r="I515" s="2">
        <v>38</v>
      </c>
      <c r="J515" s="2" t="s">
        <v>41</v>
      </c>
      <c r="K515" s="2">
        <v>189</v>
      </c>
      <c r="L515" s="2">
        <v>38.6</v>
      </c>
      <c r="M515" s="2">
        <v>261190</v>
      </c>
      <c r="N515" s="2">
        <v>200301</v>
      </c>
      <c r="O515" s="2"/>
      <c r="P515" s="2"/>
      <c r="Q515">
        <f t="shared" ref="Q515:Q578" si="16">N515/(K515*(0.01*L515))</f>
        <v>2745.5794062011678</v>
      </c>
      <c r="R515">
        <f t="shared" ref="R515:R578" si="17">M515/(K515*(0.01*(100-L515)))</f>
        <v>2250.7453940678697</v>
      </c>
    </row>
    <row r="516" spans="1:18" ht="16" x14ac:dyDescent="0.4">
      <c r="A516" s="2">
        <v>186867</v>
      </c>
      <c r="B516" s="2" t="s">
        <v>560</v>
      </c>
      <c r="C516" s="2" t="s">
        <v>537</v>
      </c>
      <c r="D516" s="2">
        <v>3641</v>
      </c>
      <c r="E516" s="2">
        <v>29.4</v>
      </c>
      <c r="F516" s="2" t="s">
        <v>47</v>
      </c>
      <c r="G516" s="2" t="s">
        <v>37</v>
      </c>
      <c r="H516" s="2">
        <v>3</v>
      </c>
      <c r="I516" s="2">
        <v>38</v>
      </c>
      <c r="J516" s="2" t="s">
        <v>41</v>
      </c>
      <c r="K516" s="2">
        <v>598</v>
      </c>
      <c r="L516" s="2">
        <v>39.6</v>
      </c>
      <c r="M516" s="2">
        <v>1751417</v>
      </c>
      <c r="N516" s="2">
        <v>1431406</v>
      </c>
      <c r="O516" s="2"/>
      <c r="P516" s="2"/>
      <c r="Q516">
        <f t="shared" si="16"/>
        <v>6044.5846424107285</v>
      </c>
      <c r="R516">
        <f t="shared" si="17"/>
        <v>4848.9916720193141</v>
      </c>
    </row>
    <row r="517" spans="1:18" ht="16" x14ac:dyDescent="0.4">
      <c r="A517" s="2">
        <v>186876</v>
      </c>
      <c r="B517" s="2" t="s">
        <v>561</v>
      </c>
      <c r="C517" s="2" t="s">
        <v>537</v>
      </c>
      <c r="D517" s="2">
        <v>8456</v>
      </c>
      <c r="E517" s="2">
        <v>59.1</v>
      </c>
      <c r="F517" s="2" t="s">
        <v>36</v>
      </c>
      <c r="G517" s="2" t="s">
        <v>37</v>
      </c>
      <c r="H517" s="2">
        <v>3</v>
      </c>
      <c r="I517" s="2">
        <v>38</v>
      </c>
      <c r="J517" s="2" t="s">
        <v>41</v>
      </c>
      <c r="K517" s="2">
        <v>482</v>
      </c>
      <c r="L517" s="2">
        <v>54.8</v>
      </c>
      <c r="M517" s="2">
        <v>806901</v>
      </c>
      <c r="N517" s="2">
        <v>1286109</v>
      </c>
      <c r="O517" s="2"/>
      <c r="P517" s="2"/>
      <c r="Q517">
        <f t="shared" si="16"/>
        <v>4869.1166671714582</v>
      </c>
      <c r="R517">
        <f t="shared" si="17"/>
        <v>3703.6912936510848</v>
      </c>
    </row>
    <row r="518" spans="1:18" ht="16" x14ac:dyDescent="0.4">
      <c r="A518" s="2">
        <v>187134</v>
      </c>
      <c r="B518" s="2" t="s">
        <v>562</v>
      </c>
      <c r="C518" s="2" t="s">
        <v>537</v>
      </c>
      <c r="D518" s="2">
        <v>6598</v>
      </c>
      <c r="E518" s="2">
        <v>57.7</v>
      </c>
      <c r="F518" s="2" t="s">
        <v>36</v>
      </c>
      <c r="G518" s="2" t="s">
        <v>37</v>
      </c>
      <c r="H518" s="2">
        <v>3</v>
      </c>
      <c r="I518" s="2">
        <v>11</v>
      </c>
      <c r="J518" s="2" t="s">
        <v>38</v>
      </c>
      <c r="K518" s="2">
        <v>722</v>
      </c>
      <c r="L518" s="2">
        <v>45.4</v>
      </c>
      <c r="M518" s="2">
        <v>1672576</v>
      </c>
      <c r="N518" s="2">
        <v>1233305</v>
      </c>
      <c r="O518" s="2"/>
      <c r="P518" s="2"/>
      <c r="Q518">
        <f t="shared" si="16"/>
        <v>3762.508084493636</v>
      </c>
      <c r="R518">
        <f t="shared" si="17"/>
        <v>4242.8338051606743</v>
      </c>
    </row>
    <row r="519" spans="1:18" ht="16" x14ac:dyDescent="0.4">
      <c r="A519" s="2">
        <v>187444</v>
      </c>
      <c r="B519" s="2" t="s">
        <v>563</v>
      </c>
      <c r="C519" s="2" t="s">
        <v>537</v>
      </c>
      <c r="D519" s="2">
        <v>7155</v>
      </c>
      <c r="E519" s="2">
        <v>56</v>
      </c>
      <c r="F519" s="2" t="s">
        <v>36</v>
      </c>
      <c r="G519" s="2" t="s">
        <v>37</v>
      </c>
      <c r="H519" s="2">
        <v>3</v>
      </c>
      <c r="I519" s="2">
        <v>11</v>
      </c>
      <c r="J519" s="2" t="s">
        <v>38</v>
      </c>
      <c r="K519" s="2">
        <v>296</v>
      </c>
      <c r="L519" s="2">
        <v>39.200000000000003</v>
      </c>
      <c r="M519" s="2">
        <v>892709</v>
      </c>
      <c r="N519" s="2">
        <v>675667</v>
      </c>
      <c r="O519" s="2"/>
      <c r="P519" s="2"/>
      <c r="Q519">
        <f t="shared" si="16"/>
        <v>5823.1091423055705</v>
      </c>
      <c r="R519">
        <f t="shared" si="17"/>
        <v>4960.3762891180659</v>
      </c>
    </row>
    <row r="520" spans="1:18" ht="16" x14ac:dyDescent="0.4">
      <c r="A520" s="2">
        <v>187648</v>
      </c>
      <c r="B520" s="2" t="s">
        <v>564</v>
      </c>
      <c r="C520" s="2" t="s">
        <v>63</v>
      </c>
      <c r="D520" s="2">
        <v>2395</v>
      </c>
      <c r="E520" s="2">
        <v>60.7</v>
      </c>
      <c r="F520" s="2" t="s">
        <v>36</v>
      </c>
      <c r="G520" s="2" t="s">
        <v>37</v>
      </c>
      <c r="H520" s="2">
        <v>2</v>
      </c>
      <c r="I520" s="2">
        <v>8</v>
      </c>
      <c r="J520" s="2" t="s">
        <v>38</v>
      </c>
      <c r="K520" s="2">
        <v>461</v>
      </c>
      <c r="L520" s="2">
        <v>44.9</v>
      </c>
      <c r="M520" s="2">
        <v>2283276</v>
      </c>
      <c r="N520" s="2">
        <v>1785434</v>
      </c>
      <c r="O520" s="2"/>
      <c r="P520" s="2"/>
      <c r="Q520">
        <f t="shared" si="16"/>
        <v>8625.7433969921112</v>
      </c>
      <c r="R520">
        <f t="shared" si="17"/>
        <v>8988.8863080732717</v>
      </c>
    </row>
    <row r="521" spans="1:18" ht="16" x14ac:dyDescent="0.4">
      <c r="A521" s="2">
        <v>187897</v>
      </c>
      <c r="B521" s="2" t="s">
        <v>565</v>
      </c>
      <c r="C521" s="2" t="s">
        <v>63</v>
      </c>
      <c r="D521" s="2">
        <v>1182</v>
      </c>
      <c r="E521" s="2">
        <v>56.9</v>
      </c>
      <c r="F521" s="2" t="s">
        <v>36</v>
      </c>
      <c r="G521" s="2" t="s">
        <v>37</v>
      </c>
      <c r="H521" s="2">
        <v>2</v>
      </c>
      <c r="I521" s="2">
        <v>38</v>
      </c>
      <c r="J521" s="2" t="s">
        <v>38</v>
      </c>
      <c r="K521" s="2">
        <v>296</v>
      </c>
      <c r="L521" s="2">
        <v>41.9</v>
      </c>
      <c r="M521" s="2">
        <v>1968339</v>
      </c>
      <c r="N521" s="2">
        <v>1351426</v>
      </c>
      <c r="O521" s="2"/>
      <c r="P521" s="2"/>
      <c r="Q521">
        <f t="shared" si="16"/>
        <v>10896.487776559376</v>
      </c>
      <c r="R521">
        <f t="shared" si="17"/>
        <v>11445.428431874214</v>
      </c>
    </row>
    <row r="522" spans="1:18" ht="16" x14ac:dyDescent="0.4">
      <c r="A522" s="2">
        <v>187985</v>
      </c>
      <c r="B522" s="2" t="s">
        <v>566</v>
      </c>
      <c r="C522" s="2" t="s">
        <v>63</v>
      </c>
      <c r="D522" s="2">
        <v>12560</v>
      </c>
      <c r="E522" s="2">
        <v>55.8</v>
      </c>
      <c r="F522" s="2" t="s">
        <v>36</v>
      </c>
      <c r="G522" s="2" t="s">
        <v>37</v>
      </c>
      <c r="H522" s="2">
        <v>1</v>
      </c>
      <c r="I522" s="2">
        <v>10</v>
      </c>
      <c r="J522" s="2" t="s">
        <v>38</v>
      </c>
      <c r="K522" s="2">
        <v>455</v>
      </c>
      <c r="L522" s="2">
        <v>51.6</v>
      </c>
      <c r="M522" s="2">
        <v>16617010</v>
      </c>
      <c r="N522" s="2">
        <v>7740856</v>
      </c>
      <c r="O522" s="2"/>
      <c r="P522" s="2"/>
      <c r="Q522">
        <f t="shared" si="16"/>
        <v>32970.67893346963</v>
      </c>
      <c r="R522">
        <f t="shared" si="17"/>
        <v>75456.407229134507</v>
      </c>
    </row>
    <row r="523" spans="1:18" ht="16" x14ac:dyDescent="0.4">
      <c r="A523" s="2">
        <v>188030</v>
      </c>
      <c r="B523" s="2" t="s">
        <v>567</v>
      </c>
      <c r="C523" s="2" t="s">
        <v>63</v>
      </c>
      <c r="D523" s="2">
        <v>9708</v>
      </c>
      <c r="E523" s="2">
        <v>56.4</v>
      </c>
      <c r="F523" s="2" t="s">
        <v>36</v>
      </c>
      <c r="G523" s="2" t="s">
        <v>37</v>
      </c>
      <c r="H523" s="2">
        <v>1</v>
      </c>
      <c r="I523" s="2">
        <v>38</v>
      </c>
      <c r="J523" s="2" t="s">
        <v>38</v>
      </c>
      <c r="K523" s="2">
        <v>471</v>
      </c>
      <c r="L523" s="2">
        <v>53.9</v>
      </c>
      <c r="M523" s="2">
        <v>14366150</v>
      </c>
      <c r="N523" s="2">
        <v>7273483</v>
      </c>
      <c r="O523" s="2"/>
      <c r="P523" s="2"/>
      <c r="Q523">
        <f t="shared" si="16"/>
        <v>28650.536300217827</v>
      </c>
      <c r="R523">
        <f t="shared" si="17"/>
        <v>66163.514191893366</v>
      </c>
    </row>
    <row r="524" spans="1:18" ht="16" x14ac:dyDescent="0.4">
      <c r="A524" s="2">
        <v>188304</v>
      </c>
      <c r="B524" s="2" t="s">
        <v>568</v>
      </c>
      <c r="C524" s="2" t="s">
        <v>63</v>
      </c>
      <c r="D524" s="2">
        <v>1067</v>
      </c>
      <c r="E524" s="2">
        <v>59.6</v>
      </c>
      <c r="F524" s="2" t="s">
        <v>36</v>
      </c>
      <c r="G524" s="2" t="s">
        <v>37</v>
      </c>
      <c r="H524" s="2">
        <v>2</v>
      </c>
      <c r="I524" s="2">
        <v>38</v>
      </c>
      <c r="J524" s="2" t="s">
        <v>38</v>
      </c>
      <c r="K524" s="2">
        <v>234</v>
      </c>
      <c r="L524" s="2">
        <v>33.299999999999997</v>
      </c>
      <c r="M524" s="2">
        <v>1334442</v>
      </c>
      <c r="N524" s="2">
        <v>895488</v>
      </c>
      <c r="O524" s="2"/>
      <c r="P524" s="2"/>
      <c r="Q524">
        <f t="shared" si="16"/>
        <v>11492.107492107492</v>
      </c>
      <c r="R524">
        <f t="shared" si="17"/>
        <v>8549.8404643831927</v>
      </c>
    </row>
    <row r="525" spans="1:18" ht="16" x14ac:dyDescent="0.4">
      <c r="A525" s="2">
        <v>188429</v>
      </c>
      <c r="B525" s="2" t="s">
        <v>569</v>
      </c>
      <c r="C525" s="2" t="s">
        <v>537</v>
      </c>
      <c r="D525" s="2">
        <v>5050</v>
      </c>
      <c r="E525" s="2">
        <v>69.400000000000006</v>
      </c>
      <c r="F525" s="2" t="s">
        <v>47</v>
      </c>
      <c r="G525" s="2" t="s">
        <v>37</v>
      </c>
      <c r="H525" s="2">
        <v>2</v>
      </c>
      <c r="I525" s="2">
        <v>38</v>
      </c>
      <c r="J525" s="2" t="s">
        <v>41</v>
      </c>
      <c r="K525" s="2">
        <v>471</v>
      </c>
      <c r="L525" s="2">
        <v>46.9</v>
      </c>
      <c r="M525" s="2">
        <v>3020777</v>
      </c>
      <c r="N525" s="2">
        <v>3658462</v>
      </c>
      <c r="O525" s="2"/>
      <c r="P525" s="2"/>
      <c r="Q525">
        <f t="shared" si="16"/>
        <v>16561.695616548739</v>
      </c>
      <c r="R525">
        <f t="shared" si="17"/>
        <v>12078.228395728125</v>
      </c>
    </row>
    <row r="526" spans="1:18" ht="16" x14ac:dyDescent="0.4">
      <c r="A526" s="2">
        <v>188641</v>
      </c>
      <c r="B526" s="2" t="s">
        <v>570</v>
      </c>
      <c r="C526" s="2" t="s">
        <v>537</v>
      </c>
      <c r="D526" s="2">
        <v>1639</v>
      </c>
      <c r="E526" s="2">
        <v>47.3</v>
      </c>
      <c r="F526" s="2" t="s">
        <v>47</v>
      </c>
      <c r="G526" s="2" t="s">
        <v>37</v>
      </c>
      <c r="H526" s="2">
        <v>3</v>
      </c>
      <c r="I526" s="2">
        <v>14</v>
      </c>
      <c r="J526" s="2" t="s">
        <v>38</v>
      </c>
      <c r="K526" s="2">
        <v>623</v>
      </c>
      <c r="L526" s="2">
        <v>41.7</v>
      </c>
      <c r="M526" s="2">
        <v>1874033</v>
      </c>
      <c r="N526" s="2">
        <v>907328</v>
      </c>
      <c r="O526" s="2"/>
      <c r="P526" s="2"/>
      <c r="Q526">
        <f t="shared" si="16"/>
        <v>3492.530534160152</v>
      </c>
      <c r="R526">
        <f t="shared" si="17"/>
        <v>5159.654634108736</v>
      </c>
    </row>
    <row r="527" spans="1:18" ht="16" x14ac:dyDescent="0.4">
      <c r="A527" s="2">
        <v>189088</v>
      </c>
      <c r="B527" s="2" t="s">
        <v>571</v>
      </c>
      <c r="C527" s="2" t="s">
        <v>537</v>
      </c>
      <c r="D527" s="2">
        <v>1814</v>
      </c>
      <c r="E527" s="2">
        <v>60.4</v>
      </c>
      <c r="F527" s="2" t="s">
        <v>47</v>
      </c>
      <c r="G527" s="2" t="s">
        <v>37</v>
      </c>
      <c r="H527" s="2">
        <v>3</v>
      </c>
      <c r="I527" s="2">
        <v>38</v>
      </c>
      <c r="J527" s="2" t="s">
        <v>41</v>
      </c>
      <c r="K527" s="2">
        <v>275</v>
      </c>
      <c r="L527" s="2">
        <v>48</v>
      </c>
      <c r="M527" s="2">
        <v>728081</v>
      </c>
      <c r="N527" s="2">
        <v>637261</v>
      </c>
      <c r="O527" s="2"/>
      <c r="P527" s="2"/>
      <c r="Q527">
        <f t="shared" si="16"/>
        <v>4827.734848484848</v>
      </c>
      <c r="R527">
        <f t="shared" si="17"/>
        <v>5091.4755244755243</v>
      </c>
    </row>
    <row r="528" spans="1:18" ht="16" x14ac:dyDescent="0.4">
      <c r="A528" s="2">
        <v>189705</v>
      </c>
      <c r="B528" s="2" t="s">
        <v>572</v>
      </c>
      <c r="C528" s="2" t="s">
        <v>537</v>
      </c>
      <c r="D528" s="2">
        <v>2094</v>
      </c>
      <c r="E528" s="2">
        <v>49</v>
      </c>
      <c r="F528" s="2" t="s">
        <v>47</v>
      </c>
      <c r="G528" s="2" t="s">
        <v>37</v>
      </c>
      <c r="H528" s="2">
        <v>1</v>
      </c>
      <c r="I528" s="2">
        <v>38</v>
      </c>
      <c r="J528" s="2" t="s">
        <v>41</v>
      </c>
      <c r="K528" s="2">
        <v>484</v>
      </c>
      <c r="L528" s="2">
        <v>47.7</v>
      </c>
      <c r="M528" s="2">
        <v>4891823</v>
      </c>
      <c r="N528" s="2">
        <v>4081667</v>
      </c>
      <c r="O528" s="2"/>
      <c r="P528" s="2"/>
      <c r="Q528">
        <f t="shared" si="16"/>
        <v>17679.656773567578</v>
      </c>
      <c r="R528">
        <f t="shared" si="17"/>
        <v>19325.186068928462</v>
      </c>
    </row>
    <row r="529" spans="1:18" ht="16" x14ac:dyDescent="0.4">
      <c r="A529" s="2">
        <v>189848</v>
      </c>
      <c r="B529" s="2" t="s">
        <v>573</v>
      </c>
      <c r="C529" s="2" t="s">
        <v>537</v>
      </c>
      <c r="D529" s="2">
        <v>691</v>
      </c>
      <c r="E529" s="2">
        <v>72.2</v>
      </c>
      <c r="F529" s="2" t="s">
        <v>47</v>
      </c>
      <c r="G529" s="2" t="s">
        <v>37</v>
      </c>
      <c r="H529" s="2">
        <v>3</v>
      </c>
      <c r="I529" s="2">
        <v>10</v>
      </c>
      <c r="J529" s="2" t="s">
        <v>41</v>
      </c>
      <c r="K529" s="2">
        <v>227</v>
      </c>
      <c r="L529" s="2">
        <v>61.7</v>
      </c>
      <c r="M529" s="2">
        <v>152774</v>
      </c>
      <c r="N529" s="2">
        <v>204685</v>
      </c>
      <c r="O529" s="2"/>
      <c r="P529" s="2"/>
      <c r="Q529">
        <f t="shared" si="16"/>
        <v>1461.4198302144096</v>
      </c>
      <c r="R529">
        <f t="shared" si="17"/>
        <v>1757.2146628173127</v>
      </c>
    </row>
    <row r="530" spans="1:18" ht="16" x14ac:dyDescent="0.4">
      <c r="A530" s="2">
        <v>190044</v>
      </c>
      <c r="B530" s="2" t="s">
        <v>574</v>
      </c>
      <c r="C530" s="2" t="s">
        <v>537</v>
      </c>
      <c r="D530" s="2">
        <v>2965</v>
      </c>
      <c r="E530" s="2">
        <v>30.6</v>
      </c>
      <c r="F530" s="2" t="s">
        <v>47</v>
      </c>
      <c r="G530" s="2" t="s">
        <v>37</v>
      </c>
      <c r="H530" s="2">
        <v>3</v>
      </c>
      <c r="I530" s="2">
        <v>38</v>
      </c>
      <c r="J530" s="2" t="s">
        <v>41</v>
      </c>
      <c r="K530" s="2">
        <v>400</v>
      </c>
      <c r="L530" s="2">
        <v>42.3</v>
      </c>
      <c r="M530" s="2">
        <v>3879362</v>
      </c>
      <c r="N530" s="2">
        <v>3143753</v>
      </c>
      <c r="O530" s="2"/>
      <c r="P530" s="2"/>
      <c r="Q530">
        <f t="shared" si="16"/>
        <v>18580.100472813239</v>
      </c>
      <c r="R530">
        <f t="shared" si="17"/>
        <v>16808.327556325821</v>
      </c>
    </row>
    <row r="531" spans="1:18" ht="16" x14ac:dyDescent="0.4">
      <c r="A531" s="2">
        <v>190099</v>
      </c>
      <c r="B531" s="2" t="s">
        <v>575</v>
      </c>
      <c r="C531" s="2" t="s">
        <v>537</v>
      </c>
      <c r="D531" s="2">
        <v>2960</v>
      </c>
      <c r="E531" s="2">
        <v>55.3</v>
      </c>
      <c r="F531" s="2" t="s">
        <v>47</v>
      </c>
      <c r="G531" s="2" t="s">
        <v>37</v>
      </c>
      <c r="H531" s="2">
        <v>1</v>
      </c>
      <c r="I531" s="2">
        <v>13</v>
      </c>
      <c r="J531" s="2" t="s">
        <v>38</v>
      </c>
      <c r="K531" s="2">
        <v>656</v>
      </c>
      <c r="L531" s="2">
        <v>47</v>
      </c>
      <c r="M531" s="2">
        <v>14755417</v>
      </c>
      <c r="N531" s="2">
        <v>10915063</v>
      </c>
      <c r="O531" s="2"/>
      <c r="P531" s="2"/>
      <c r="Q531">
        <f t="shared" si="16"/>
        <v>35401.735210171253</v>
      </c>
      <c r="R531">
        <f t="shared" si="17"/>
        <v>42439.648527381498</v>
      </c>
    </row>
    <row r="532" spans="1:18" ht="16" x14ac:dyDescent="0.4">
      <c r="A532" s="2">
        <v>190150</v>
      </c>
      <c r="B532" s="2" t="s">
        <v>576</v>
      </c>
      <c r="C532" s="2" t="s">
        <v>537</v>
      </c>
      <c r="D532" s="2">
        <v>7701</v>
      </c>
      <c r="E532" s="2">
        <v>47.9</v>
      </c>
      <c r="F532" s="2" t="s">
        <v>47</v>
      </c>
      <c r="G532" s="2" t="s">
        <v>37</v>
      </c>
      <c r="H532" s="2">
        <v>1</v>
      </c>
      <c r="I532" s="2">
        <v>38</v>
      </c>
      <c r="J532" s="2" t="s">
        <v>38</v>
      </c>
      <c r="K532" s="2">
        <v>917</v>
      </c>
      <c r="L532" s="2">
        <v>46.2</v>
      </c>
      <c r="M532" s="2">
        <v>10874881</v>
      </c>
      <c r="N532" s="2">
        <v>5796682</v>
      </c>
      <c r="O532" s="2"/>
      <c r="P532" s="2"/>
      <c r="Q532">
        <f t="shared" si="16"/>
        <v>13682.585317263616</v>
      </c>
      <c r="R532">
        <f t="shared" si="17"/>
        <v>22043.111730915018</v>
      </c>
    </row>
    <row r="533" spans="1:18" ht="16" x14ac:dyDescent="0.4">
      <c r="A533" s="2">
        <v>190169</v>
      </c>
      <c r="B533" s="2" t="s">
        <v>577</v>
      </c>
      <c r="C533" s="2" t="s">
        <v>537</v>
      </c>
      <c r="D533" s="2">
        <v>527</v>
      </c>
      <c r="E533" s="2">
        <v>55.4</v>
      </c>
      <c r="F533" s="2" t="s">
        <v>36</v>
      </c>
      <c r="G533" s="2" t="s">
        <v>578</v>
      </c>
      <c r="H533" s="2">
        <v>3</v>
      </c>
      <c r="I533" s="2">
        <v>38</v>
      </c>
      <c r="J533" s="2" t="s">
        <v>41</v>
      </c>
      <c r="K533" s="2">
        <v>46</v>
      </c>
      <c r="L533" s="2">
        <v>30.4</v>
      </c>
      <c r="M533" s="2">
        <v>47970</v>
      </c>
      <c r="N533" s="2">
        <v>26400</v>
      </c>
      <c r="O533" s="2"/>
      <c r="P533" s="2"/>
      <c r="Q533">
        <f t="shared" si="16"/>
        <v>1887.8718535469109</v>
      </c>
      <c r="R533">
        <f t="shared" si="17"/>
        <v>1498.3133433283358</v>
      </c>
    </row>
    <row r="534" spans="1:18" ht="16" x14ac:dyDescent="0.4">
      <c r="A534" s="2">
        <v>190248</v>
      </c>
      <c r="B534" s="2" t="s">
        <v>579</v>
      </c>
      <c r="C534" s="2" t="s">
        <v>537</v>
      </c>
      <c r="D534" s="2">
        <v>1122</v>
      </c>
      <c r="E534" s="2">
        <v>79.099999999999994</v>
      </c>
      <c r="F534" s="2" t="s">
        <v>47</v>
      </c>
      <c r="G534" s="2" t="s">
        <v>37</v>
      </c>
      <c r="H534" s="2">
        <v>2</v>
      </c>
      <c r="I534" s="2">
        <v>38</v>
      </c>
      <c r="J534" s="2" t="s">
        <v>41</v>
      </c>
      <c r="K534" s="2">
        <v>177</v>
      </c>
      <c r="L534" s="2">
        <v>44.1</v>
      </c>
      <c r="M534" s="2">
        <v>1328025</v>
      </c>
      <c r="N534" s="2">
        <v>1151278</v>
      </c>
      <c r="O534" s="2"/>
      <c r="P534" s="2"/>
      <c r="Q534">
        <f t="shared" si="16"/>
        <v>14749.196100285688</v>
      </c>
      <c r="R534">
        <f t="shared" si="17"/>
        <v>13422.121827718987</v>
      </c>
    </row>
    <row r="535" spans="1:18" ht="16" x14ac:dyDescent="0.4">
      <c r="A535" s="2">
        <v>190415</v>
      </c>
      <c r="B535" s="2" t="s">
        <v>580</v>
      </c>
      <c r="C535" s="2" t="s">
        <v>537</v>
      </c>
      <c r="D535" s="2">
        <v>14971</v>
      </c>
      <c r="E535" s="2">
        <v>53.8</v>
      </c>
      <c r="F535" s="2" t="s">
        <v>47</v>
      </c>
      <c r="G535" s="2" t="s">
        <v>37</v>
      </c>
      <c r="H535" s="2">
        <v>1</v>
      </c>
      <c r="I535" s="2">
        <v>38</v>
      </c>
      <c r="J535" s="2" t="s">
        <v>38</v>
      </c>
      <c r="K535" s="2">
        <v>1340</v>
      </c>
      <c r="L535" s="2">
        <v>47.5</v>
      </c>
      <c r="M535" s="2">
        <v>12716510</v>
      </c>
      <c r="N535" s="2">
        <v>8189284</v>
      </c>
      <c r="O535" s="2"/>
      <c r="P535" s="2"/>
      <c r="Q535">
        <f t="shared" si="16"/>
        <v>12866.117831893165</v>
      </c>
      <c r="R535">
        <f t="shared" si="17"/>
        <v>18076.062544420754</v>
      </c>
    </row>
    <row r="536" spans="1:18" ht="16" x14ac:dyDescent="0.4">
      <c r="A536" s="2">
        <v>190512</v>
      </c>
      <c r="B536" s="2" t="s">
        <v>581</v>
      </c>
      <c r="C536" s="2" t="s">
        <v>537</v>
      </c>
      <c r="D536" s="2">
        <v>12032</v>
      </c>
      <c r="E536" s="2">
        <v>46.3</v>
      </c>
      <c r="F536" s="2" t="s">
        <v>36</v>
      </c>
      <c r="G536" s="2" t="s">
        <v>37</v>
      </c>
      <c r="H536" s="2">
        <v>3</v>
      </c>
      <c r="I536" s="2">
        <v>37</v>
      </c>
      <c r="J536" s="2" t="s">
        <v>41</v>
      </c>
      <c r="K536" s="2">
        <v>187</v>
      </c>
      <c r="L536" s="2">
        <v>30.5</v>
      </c>
      <c r="M536" s="2">
        <v>430024</v>
      </c>
      <c r="N536" s="2">
        <v>253218</v>
      </c>
      <c r="O536" s="2"/>
      <c r="P536" s="2"/>
      <c r="Q536">
        <f t="shared" si="16"/>
        <v>4439.6949241693701</v>
      </c>
      <c r="R536">
        <f t="shared" si="17"/>
        <v>3308.7677451621589</v>
      </c>
    </row>
    <row r="537" spans="1:18" ht="16" x14ac:dyDescent="0.4">
      <c r="A537" s="2">
        <v>190549</v>
      </c>
      <c r="B537" s="2" t="s">
        <v>582</v>
      </c>
      <c r="C537" s="2" t="s">
        <v>537</v>
      </c>
      <c r="D537" s="2">
        <v>11053</v>
      </c>
      <c r="E537" s="2">
        <v>56.3</v>
      </c>
      <c r="F537" s="2" t="s">
        <v>36</v>
      </c>
      <c r="G537" s="2" t="s">
        <v>37</v>
      </c>
      <c r="H537" s="2">
        <v>3</v>
      </c>
      <c r="I537" s="2">
        <v>38</v>
      </c>
      <c r="J537" s="2" t="s">
        <v>41</v>
      </c>
      <c r="K537" s="2">
        <v>164</v>
      </c>
      <c r="L537" s="2">
        <v>54.3</v>
      </c>
      <c r="M537" s="2">
        <v>128902</v>
      </c>
      <c r="N537" s="2">
        <v>152458</v>
      </c>
      <c r="O537" s="2"/>
      <c r="P537" s="2"/>
      <c r="Q537">
        <f t="shared" si="16"/>
        <v>1712.0109598886042</v>
      </c>
      <c r="R537">
        <f t="shared" si="17"/>
        <v>1719.8857874793189</v>
      </c>
    </row>
    <row r="538" spans="1:18" ht="16" x14ac:dyDescent="0.4">
      <c r="A538" s="2">
        <v>190558</v>
      </c>
      <c r="B538" s="2" t="s">
        <v>583</v>
      </c>
      <c r="C538" s="2" t="s">
        <v>537</v>
      </c>
      <c r="D538" s="2">
        <v>9111</v>
      </c>
      <c r="E538" s="2">
        <v>53.6</v>
      </c>
      <c r="F538" s="2" t="s">
        <v>36</v>
      </c>
      <c r="G538" s="2" t="s">
        <v>37</v>
      </c>
      <c r="H538" s="2">
        <v>2</v>
      </c>
      <c r="I538" s="2">
        <v>11</v>
      </c>
      <c r="J538" s="2" t="s">
        <v>41</v>
      </c>
      <c r="K538" s="2">
        <v>269</v>
      </c>
      <c r="L538" s="2">
        <v>46.8</v>
      </c>
      <c r="M538" s="2">
        <v>664259</v>
      </c>
      <c r="N538" s="2">
        <v>584014</v>
      </c>
      <c r="O538" s="2"/>
      <c r="P538" s="2"/>
      <c r="Q538">
        <f t="shared" si="16"/>
        <v>4639.0080386362915</v>
      </c>
      <c r="R538">
        <f t="shared" si="17"/>
        <v>4641.6622411046201</v>
      </c>
    </row>
    <row r="539" spans="1:18" ht="16" x14ac:dyDescent="0.4">
      <c r="A539" s="2">
        <v>190567</v>
      </c>
      <c r="B539" s="2" t="s">
        <v>584</v>
      </c>
      <c r="C539" s="2" t="s">
        <v>537</v>
      </c>
      <c r="D539" s="2">
        <v>10094</v>
      </c>
      <c r="E539" s="2">
        <v>53</v>
      </c>
      <c r="F539" s="2" t="s">
        <v>36</v>
      </c>
      <c r="G539" s="2" t="s">
        <v>37</v>
      </c>
      <c r="H539" s="2">
        <v>3</v>
      </c>
      <c r="I539" s="2">
        <v>8</v>
      </c>
      <c r="J539" s="2" t="s">
        <v>41</v>
      </c>
      <c r="K539" s="2">
        <v>187</v>
      </c>
      <c r="L539" s="2">
        <v>42.2</v>
      </c>
      <c r="M539" s="2">
        <v>185479</v>
      </c>
      <c r="N539" s="2">
        <v>201445</v>
      </c>
      <c r="O539" s="2"/>
      <c r="P539" s="2"/>
      <c r="Q539">
        <f t="shared" si="16"/>
        <v>2552.7156144663809</v>
      </c>
      <c r="R539">
        <f t="shared" si="17"/>
        <v>1716.0316784782488</v>
      </c>
    </row>
    <row r="540" spans="1:18" ht="16" x14ac:dyDescent="0.4">
      <c r="A540" s="2">
        <v>190594</v>
      </c>
      <c r="B540" s="2" t="s">
        <v>585</v>
      </c>
      <c r="C540" s="2" t="s">
        <v>537</v>
      </c>
      <c r="D540" s="2">
        <v>12948</v>
      </c>
      <c r="E540" s="2">
        <v>64.5</v>
      </c>
      <c r="F540" s="2" t="s">
        <v>36</v>
      </c>
      <c r="G540" s="2" t="s">
        <v>37</v>
      </c>
      <c r="H540" s="2">
        <v>3</v>
      </c>
      <c r="I540" s="2">
        <v>10</v>
      </c>
      <c r="J540" s="2" t="s">
        <v>41</v>
      </c>
      <c r="K540" s="2">
        <v>296</v>
      </c>
      <c r="L540" s="2">
        <v>46.6</v>
      </c>
      <c r="M540" s="2">
        <v>218860</v>
      </c>
      <c r="N540" s="2">
        <v>211186</v>
      </c>
      <c r="O540" s="2"/>
      <c r="P540" s="2"/>
      <c r="Q540">
        <f t="shared" si="16"/>
        <v>1531.0433824382321</v>
      </c>
      <c r="R540">
        <f t="shared" si="17"/>
        <v>1384.6290110335053</v>
      </c>
    </row>
    <row r="541" spans="1:18" ht="16" x14ac:dyDescent="0.4">
      <c r="A541" s="2">
        <v>190600</v>
      </c>
      <c r="B541" s="2" t="s">
        <v>586</v>
      </c>
      <c r="C541" s="2" t="s">
        <v>537</v>
      </c>
      <c r="D541" s="2">
        <v>11193</v>
      </c>
      <c r="E541" s="2">
        <v>59.9</v>
      </c>
      <c r="F541" s="2" t="s">
        <v>36</v>
      </c>
      <c r="G541" s="2" t="s">
        <v>37</v>
      </c>
      <c r="H541" s="2">
        <v>3</v>
      </c>
      <c r="I541" s="2">
        <v>38</v>
      </c>
      <c r="J541" s="2" t="s">
        <v>41</v>
      </c>
      <c r="K541" s="2">
        <v>196</v>
      </c>
      <c r="L541" s="2">
        <v>49</v>
      </c>
      <c r="M541" s="2">
        <v>245204</v>
      </c>
      <c r="N541" s="2">
        <v>286583</v>
      </c>
      <c r="O541" s="2"/>
      <c r="P541" s="2"/>
      <c r="Q541">
        <f t="shared" si="16"/>
        <v>2983.9962515618495</v>
      </c>
      <c r="R541">
        <f t="shared" si="17"/>
        <v>2453.0212084833934</v>
      </c>
    </row>
    <row r="542" spans="1:18" ht="16" x14ac:dyDescent="0.4">
      <c r="A542" s="2">
        <v>190637</v>
      </c>
      <c r="B542" s="2" t="s">
        <v>587</v>
      </c>
      <c r="C542" s="2" t="s">
        <v>537</v>
      </c>
      <c r="D542" s="2">
        <v>8049</v>
      </c>
      <c r="E542" s="2">
        <v>66.5</v>
      </c>
      <c r="F542" s="2" t="s">
        <v>36</v>
      </c>
      <c r="G542" s="2" t="s">
        <v>37</v>
      </c>
      <c r="H542" s="2">
        <v>3</v>
      </c>
      <c r="I542" s="2">
        <v>38</v>
      </c>
      <c r="J542" s="2" t="s">
        <v>41</v>
      </c>
      <c r="K542" s="2">
        <v>285</v>
      </c>
      <c r="L542" s="2">
        <v>48.1</v>
      </c>
      <c r="M542" s="2">
        <v>285752</v>
      </c>
      <c r="N542" s="2">
        <v>285182</v>
      </c>
      <c r="O542" s="2"/>
      <c r="P542" s="2"/>
      <c r="Q542">
        <f t="shared" si="16"/>
        <v>2080.3297224349853</v>
      </c>
      <c r="R542">
        <f t="shared" si="17"/>
        <v>1931.8662745495724</v>
      </c>
    </row>
    <row r="543" spans="1:18" ht="16" x14ac:dyDescent="0.4">
      <c r="A543" s="2">
        <v>190646</v>
      </c>
      <c r="B543" s="2" t="s">
        <v>588</v>
      </c>
      <c r="C543" s="2" t="s">
        <v>537</v>
      </c>
      <c r="D543" s="2">
        <v>4024</v>
      </c>
      <c r="E543" s="2">
        <v>71.2</v>
      </c>
      <c r="F543" s="2" t="s">
        <v>36</v>
      </c>
      <c r="G543" s="2" t="s">
        <v>37</v>
      </c>
      <c r="H543" s="2">
        <v>3</v>
      </c>
      <c r="I543" s="2">
        <v>6</v>
      </c>
      <c r="J543" s="2" t="s">
        <v>41</v>
      </c>
      <c r="K543" s="2">
        <v>134</v>
      </c>
      <c r="L543" s="2">
        <v>50.7</v>
      </c>
      <c r="M543" s="2">
        <v>158695</v>
      </c>
      <c r="N543" s="2">
        <v>167049</v>
      </c>
      <c r="O543" s="2"/>
      <c r="P543" s="2"/>
      <c r="Q543">
        <f t="shared" si="16"/>
        <v>2458.8448291088935</v>
      </c>
      <c r="R543">
        <f t="shared" si="17"/>
        <v>2402.2130725681936</v>
      </c>
    </row>
    <row r="544" spans="1:18" ht="16" x14ac:dyDescent="0.4">
      <c r="A544" s="2">
        <v>190664</v>
      </c>
      <c r="B544" s="2" t="s">
        <v>589</v>
      </c>
      <c r="C544" s="2" t="s">
        <v>537</v>
      </c>
      <c r="D544" s="2">
        <v>12489</v>
      </c>
      <c r="E544" s="2">
        <v>53.7</v>
      </c>
      <c r="F544" s="2" t="s">
        <v>36</v>
      </c>
      <c r="G544" s="2" t="s">
        <v>37</v>
      </c>
      <c r="H544" s="2">
        <v>2</v>
      </c>
      <c r="I544" s="2">
        <v>38</v>
      </c>
      <c r="J544" s="2" t="s">
        <v>41</v>
      </c>
      <c r="K544" s="2">
        <v>265</v>
      </c>
      <c r="L544" s="2">
        <v>50.6</v>
      </c>
      <c r="M544" s="2">
        <v>655105</v>
      </c>
      <c r="N544" s="2">
        <v>825678</v>
      </c>
      <c r="O544" s="2"/>
      <c r="P544" s="2"/>
      <c r="Q544">
        <f t="shared" si="16"/>
        <v>6157.6403907823105</v>
      </c>
      <c r="R544">
        <f t="shared" si="17"/>
        <v>5004.2395538919873</v>
      </c>
    </row>
    <row r="545" spans="1:18" ht="16" x14ac:dyDescent="0.4">
      <c r="A545" s="2">
        <v>190691</v>
      </c>
      <c r="B545" s="2" t="s">
        <v>590</v>
      </c>
      <c r="C545" s="2" t="s">
        <v>537</v>
      </c>
      <c r="D545" s="2">
        <v>5034</v>
      </c>
      <c r="E545" s="2">
        <v>66.3</v>
      </c>
      <c r="F545" s="2" t="s">
        <v>36</v>
      </c>
      <c r="G545" s="2" t="s">
        <v>37</v>
      </c>
      <c r="H545" s="2">
        <v>3</v>
      </c>
      <c r="I545" s="2">
        <v>8</v>
      </c>
      <c r="J545" s="2" t="s">
        <v>41</v>
      </c>
      <c r="K545" s="2">
        <v>149</v>
      </c>
      <c r="L545" s="2">
        <v>53</v>
      </c>
      <c r="M545" s="2">
        <v>118636</v>
      </c>
      <c r="N545" s="2">
        <v>127114</v>
      </c>
      <c r="O545" s="2"/>
      <c r="P545" s="2"/>
      <c r="Q545">
        <f t="shared" si="16"/>
        <v>1609.6492338862859</v>
      </c>
      <c r="R545">
        <f t="shared" si="17"/>
        <v>1694.0739682993003</v>
      </c>
    </row>
    <row r="546" spans="1:18" ht="16" x14ac:dyDescent="0.4">
      <c r="A546" s="2">
        <v>190716</v>
      </c>
      <c r="B546" s="2" t="s">
        <v>591</v>
      </c>
      <c r="C546" s="2" t="s">
        <v>537</v>
      </c>
      <c r="D546" s="2">
        <v>1176</v>
      </c>
      <c r="E546" s="2">
        <v>73</v>
      </c>
      <c r="F546" s="2" t="s">
        <v>47</v>
      </c>
      <c r="G546" s="2" t="s">
        <v>37</v>
      </c>
      <c r="H546" s="2">
        <v>3</v>
      </c>
      <c r="I546" s="2">
        <v>38</v>
      </c>
      <c r="J546" s="2" t="s">
        <v>41</v>
      </c>
      <c r="K546" s="2">
        <v>228</v>
      </c>
      <c r="L546" s="2">
        <v>58.8</v>
      </c>
      <c r="M546" s="2">
        <v>306583</v>
      </c>
      <c r="N546" s="2">
        <v>472704</v>
      </c>
      <c r="O546" s="2"/>
      <c r="P546" s="2"/>
      <c r="Q546">
        <f t="shared" si="16"/>
        <v>3525.9577515216615</v>
      </c>
      <c r="R546">
        <f t="shared" si="17"/>
        <v>3263.7433997615394</v>
      </c>
    </row>
    <row r="547" spans="1:18" ht="16" x14ac:dyDescent="0.4">
      <c r="A547" s="2">
        <v>190725</v>
      </c>
      <c r="B547" s="2" t="s">
        <v>592</v>
      </c>
      <c r="C547" s="2" t="s">
        <v>537</v>
      </c>
      <c r="D547" s="2">
        <v>1479</v>
      </c>
      <c r="E547" s="2">
        <v>69</v>
      </c>
      <c r="F547" s="2" t="s">
        <v>47</v>
      </c>
      <c r="G547" s="2" t="s">
        <v>37</v>
      </c>
      <c r="H547" s="2">
        <v>2</v>
      </c>
      <c r="I547" s="2">
        <v>10</v>
      </c>
      <c r="J547" s="2" t="s">
        <v>41</v>
      </c>
      <c r="K547" s="2">
        <v>324</v>
      </c>
      <c r="L547" s="2">
        <v>57.1</v>
      </c>
      <c r="M547" s="2">
        <v>1059377</v>
      </c>
      <c r="N547" s="2">
        <v>1285380</v>
      </c>
      <c r="O547" s="2"/>
      <c r="P547" s="2"/>
      <c r="Q547">
        <f t="shared" si="16"/>
        <v>6947.8497762210536</v>
      </c>
      <c r="R547">
        <f t="shared" si="17"/>
        <v>7621.636593858816</v>
      </c>
    </row>
    <row r="548" spans="1:18" ht="16" x14ac:dyDescent="0.4">
      <c r="A548" s="2">
        <v>190761</v>
      </c>
      <c r="B548" s="2" t="s">
        <v>593</v>
      </c>
      <c r="C548" s="2" t="s">
        <v>537</v>
      </c>
      <c r="D548" s="2">
        <v>1268</v>
      </c>
      <c r="E548" s="2">
        <v>65.099999999999994</v>
      </c>
      <c r="F548" s="2" t="s">
        <v>47</v>
      </c>
      <c r="G548" s="2" t="s">
        <v>37</v>
      </c>
      <c r="H548" s="2">
        <v>2</v>
      </c>
      <c r="I548" s="2">
        <v>10</v>
      </c>
      <c r="J548" s="2" t="s">
        <v>41</v>
      </c>
      <c r="K548" s="2">
        <v>131</v>
      </c>
      <c r="L548" s="2">
        <v>55</v>
      </c>
      <c r="M548" s="2">
        <v>823362</v>
      </c>
      <c r="N548" s="2">
        <v>870781</v>
      </c>
      <c r="O548" s="2"/>
      <c r="P548" s="2"/>
      <c r="Q548">
        <f t="shared" si="16"/>
        <v>12085.787647467036</v>
      </c>
      <c r="R548">
        <f t="shared" si="17"/>
        <v>13967.124681933841</v>
      </c>
    </row>
    <row r="549" spans="1:18" ht="16" x14ac:dyDescent="0.4">
      <c r="A549" s="2">
        <v>190983</v>
      </c>
      <c r="B549" s="2" t="s">
        <v>594</v>
      </c>
      <c r="C549" s="2" t="s">
        <v>537</v>
      </c>
      <c r="D549" s="2">
        <v>733</v>
      </c>
      <c r="E549" s="2">
        <v>64.7</v>
      </c>
      <c r="F549" s="2" t="s">
        <v>47</v>
      </c>
      <c r="G549" s="2" t="s">
        <v>37</v>
      </c>
      <c r="H549" s="2">
        <v>3</v>
      </c>
      <c r="I549" s="2">
        <v>38</v>
      </c>
      <c r="J549" s="2" t="s">
        <v>41</v>
      </c>
      <c r="K549" s="2">
        <v>322</v>
      </c>
      <c r="L549" s="2">
        <v>46.6</v>
      </c>
      <c r="M549" s="2">
        <v>736096</v>
      </c>
      <c r="N549" s="2">
        <v>734799</v>
      </c>
      <c r="O549" s="2"/>
      <c r="P549" s="2"/>
      <c r="Q549">
        <f t="shared" si="16"/>
        <v>4896.9623863727238</v>
      </c>
      <c r="R549">
        <f t="shared" si="17"/>
        <v>4280.9221392514009</v>
      </c>
    </row>
    <row r="550" spans="1:18" ht="16" x14ac:dyDescent="0.4">
      <c r="A550" s="2">
        <v>191241</v>
      </c>
      <c r="B550" s="2" t="s">
        <v>595</v>
      </c>
      <c r="C550" s="2" t="s">
        <v>537</v>
      </c>
      <c r="D550" s="2">
        <v>9141</v>
      </c>
      <c r="E550" s="2">
        <v>56.7</v>
      </c>
      <c r="F550" s="2" t="s">
        <v>47</v>
      </c>
      <c r="G550" s="2" t="s">
        <v>37</v>
      </c>
      <c r="H550" s="2">
        <v>1</v>
      </c>
      <c r="I550" s="2">
        <v>38</v>
      </c>
      <c r="J550" s="2" t="s">
        <v>38</v>
      </c>
      <c r="K550" s="2">
        <v>653</v>
      </c>
      <c r="L550" s="2">
        <v>42.9</v>
      </c>
      <c r="M550" s="2">
        <v>16378144</v>
      </c>
      <c r="N550" s="2">
        <v>11154066</v>
      </c>
      <c r="O550" s="2"/>
      <c r="P550" s="2"/>
      <c r="Q550">
        <f t="shared" si="16"/>
        <v>39816.468370832845</v>
      </c>
      <c r="R550">
        <f t="shared" si="17"/>
        <v>43925.366689642033</v>
      </c>
    </row>
    <row r="551" spans="1:18" ht="16" x14ac:dyDescent="0.4">
      <c r="A551" s="2">
        <v>191515</v>
      </c>
      <c r="B551" s="2" t="s">
        <v>596</v>
      </c>
      <c r="C551" s="2" t="s">
        <v>537</v>
      </c>
      <c r="D551" s="2">
        <v>1997</v>
      </c>
      <c r="E551" s="2">
        <v>52.6</v>
      </c>
      <c r="F551" s="2" t="s">
        <v>47</v>
      </c>
      <c r="G551" s="2" t="s">
        <v>37</v>
      </c>
      <c r="H551" s="2">
        <v>3</v>
      </c>
      <c r="I551" s="2">
        <v>38</v>
      </c>
      <c r="J551" s="2" t="s">
        <v>38</v>
      </c>
      <c r="K551" s="2">
        <v>749</v>
      </c>
      <c r="L551" s="2">
        <v>43.4</v>
      </c>
      <c r="M551" s="2">
        <v>2457014</v>
      </c>
      <c r="N551" s="2">
        <v>1923854</v>
      </c>
      <c r="O551" s="2"/>
      <c r="P551" s="2"/>
      <c r="Q551">
        <f t="shared" si="16"/>
        <v>5918.3488891486659</v>
      </c>
      <c r="R551">
        <f t="shared" si="17"/>
        <v>5795.7465077111056</v>
      </c>
    </row>
    <row r="552" spans="1:18" ht="16" x14ac:dyDescent="0.4">
      <c r="A552" s="2">
        <v>191533</v>
      </c>
      <c r="B552" s="2" t="s">
        <v>597</v>
      </c>
      <c r="C552" s="2" t="s">
        <v>537</v>
      </c>
      <c r="D552" s="2">
        <v>1164</v>
      </c>
      <c r="E552" s="2">
        <v>60.4</v>
      </c>
      <c r="F552" s="2" t="s">
        <v>47</v>
      </c>
      <c r="G552" s="2" t="s">
        <v>37</v>
      </c>
      <c r="H552" s="2">
        <v>3</v>
      </c>
      <c r="I552" s="2">
        <v>38</v>
      </c>
      <c r="J552" s="2" t="s">
        <v>38</v>
      </c>
      <c r="K552" s="2">
        <v>385</v>
      </c>
      <c r="L552" s="2">
        <v>47.3</v>
      </c>
      <c r="M552" s="2">
        <v>841361</v>
      </c>
      <c r="N552" s="2">
        <v>868451</v>
      </c>
      <c r="O552" s="2"/>
      <c r="P552" s="2"/>
      <c r="Q552">
        <f t="shared" si="16"/>
        <v>4768.957469591719</v>
      </c>
      <c r="R552">
        <f t="shared" si="17"/>
        <v>4146.7803543704867</v>
      </c>
    </row>
    <row r="553" spans="1:18" ht="16" x14ac:dyDescent="0.4">
      <c r="A553" s="2">
        <v>191621</v>
      </c>
      <c r="B553" s="2" t="s">
        <v>598</v>
      </c>
      <c r="C553" s="2" t="s">
        <v>537</v>
      </c>
      <c r="D553" s="2">
        <v>686</v>
      </c>
      <c r="E553" s="2">
        <v>54.7</v>
      </c>
      <c r="F553" s="2" t="s">
        <v>47</v>
      </c>
      <c r="G553" s="2" t="s">
        <v>37</v>
      </c>
      <c r="H553" s="2">
        <v>3</v>
      </c>
      <c r="I553" s="2">
        <v>38</v>
      </c>
      <c r="J553" s="2" t="s">
        <v>41</v>
      </c>
      <c r="K553" s="2">
        <v>175</v>
      </c>
      <c r="L553" s="2">
        <v>44.6</v>
      </c>
      <c r="M553" s="2">
        <v>352344</v>
      </c>
      <c r="N553" s="2">
        <v>273634</v>
      </c>
      <c r="O553" s="2"/>
      <c r="P553" s="2"/>
      <c r="Q553">
        <f t="shared" si="16"/>
        <v>3505.8808456117877</v>
      </c>
      <c r="R553">
        <f t="shared" si="17"/>
        <v>3634.2857142857142</v>
      </c>
    </row>
    <row r="554" spans="1:18" ht="16" x14ac:dyDescent="0.4">
      <c r="A554" s="2">
        <v>191630</v>
      </c>
      <c r="B554" s="2" t="s">
        <v>599</v>
      </c>
      <c r="C554" s="2" t="s">
        <v>537</v>
      </c>
      <c r="D554" s="2">
        <v>2031</v>
      </c>
      <c r="E554" s="2">
        <v>52.6</v>
      </c>
      <c r="F554" s="2" t="s">
        <v>47</v>
      </c>
      <c r="G554" s="2" t="s">
        <v>37</v>
      </c>
      <c r="H554" s="2">
        <v>3</v>
      </c>
      <c r="I554" s="2">
        <v>38</v>
      </c>
      <c r="J554" s="2" t="s">
        <v>38</v>
      </c>
      <c r="K554" s="2">
        <v>550</v>
      </c>
      <c r="L554" s="2">
        <v>43.1</v>
      </c>
      <c r="M554" s="2">
        <v>2731014</v>
      </c>
      <c r="N554" s="2">
        <v>1734342</v>
      </c>
      <c r="O554" s="2"/>
      <c r="P554" s="2"/>
      <c r="Q554">
        <f t="shared" si="16"/>
        <v>7316.3551993250358</v>
      </c>
      <c r="R554">
        <f t="shared" si="17"/>
        <v>8726.6783831282955</v>
      </c>
    </row>
    <row r="555" spans="1:18" ht="16" x14ac:dyDescent="0.4">
      <c r="A555" s="2">
        <v>191649</v>
      </c>
      <c r="B555" s="2" t="s">
        <v>600</v>
      </c>
      <c r="C555" s="2" t="s">
        <v>537</v>
      </c>
      <c r="D555" s="2">
        <v>6116</v>
      </c>
      <c r="E555" s="2">
        <v>55.7</v>
      </c>
      <c r="F555" s="2" t="s">
        <v>47</v>
      </c>
      <c r="G555" s="2" t="s">
        <v>37</v>
      </c>
      <c r="H555" s="2">
        <v>1</v>
      </c>
      <c r="I555" s="2">
        <v>38</v>
      </c>
      <c r="J555" s="2" t="s">
        <v>41</v>
      </c>
      <c r="K555" s="2">
        <v>451</v>
      </c>
      <c r="L555" s="2">
        <v>59.4</v>
      </c>
      <c r="M555" s="2">
        <v>8785971</v>
      </c>
      <c r="N555" s="2">
        <v>8791754</v>
      </c>
      <c r="O555" s="2"/>
      <c r="P555" s="2"/>
      <c r="Q555">
        <f t="shared" si="16"/>
        <v>32818.032505393923</v>
      </c>
      <c r="R555">
        <f t="shared" si="17"/>
        <v>47982.977073389178</v>
      </c>
    </row>
    <row r="556" spans="1:18" ht="16" x14ac:dyDescent="0.4">
      <c r="A556" s="2">
        <v>191676</v>
      </c>
      <c r="B556" s="2" t="s">
        <v>601</v>
      </c>
      <c r="C556" s="2" t="s">
        <v>537</v>
      </c>
      <c r="D556" s="2">
        <v>883</v>
      </c>
      <c r="E556" s="2">
        <v>59.5</v>
      </c>
      <c r="F556" s="2" t="s">
        <v>47</v>
      </c>
      <c r="G556" s="2" t="s">
        <v>37</v>
      </c>
      <c r="H556" s="2">
        <v>3</v>
      </c>
      <c r="I556" s="2">
        <v>38</v>
      </c>
      <c r="J556" s="2" t="s">
        <v>41</v>
      </c>
      <c r="K556" s="2">
        <v>367</v>
      </c>
      <c r="L556" s="2">
        <v>52.6</v>
      </c>
      <c r="M556" s="2">
        <v>390656</v>
      </c>
      <c r="N556" s="2">
        <v>473676</v>
      </c>
      <c r="O556" s="2"/>
      <c r="P556" s="2"/>
      <c r="Q556">
        <f t="shared" si="16"/>
        <v>2453.7458169724723</v>
      </c>
      <c r="R556">
        <f t="shared" si="17"/>
        <v>2245.691488750158</v>
      </c>
    </row>
    <row r="557" spans="1:18" ht="16" x14ac:dyDescent="0.4">
      <c r="A557" s="2">
        <v>191931</v>
      </c>
      <c r="B557" s="2" t="s">
        <v>602</v>
      </c>
      <c r="C557" s="2" t="s">
        <v>537</v>
      </c>
      <c r="D557" s="2">
        <v>2702</v>
      </c>
      <c r="E557" s="2">
        <v>48.6</v>
      </c>
      <c r="F557" s="2" t="s">
        <v>47</v>
      </c>
      <c r="G557" s="2" t="s">
        <v>37</v>
      </c>
      <c r="H557" s="2">
        <v>1</v>
      </c>
      <c r="I557" s="2">
        <v>38</v>
      </c>
      <c r="J557" s="2" t="s">
        <v>38</v>
      </c>
      <c r="K557" s="2">
        <v>427</v>
      </c>
      <c r="L557" s="2">
        <v>51.5</v>
      </c>
      <c r="M557" s="2">
        <v>5437652</v>
      </c>
      <c r="N557" s="2">
        <v>4979384</v>
      </c>
      <c r="O557" s="2"/>
      <c r="P557" s="2"/>
      <c r="Q557">
        <f t="shared" si="16"/>
        <v>22643.341442895795</v>
      </c>
      <c r="R557">
        <f t="shared" si="17"/>
        <v>26256.800019314807</v>
      </c>
    </row>
    <row r="558" spans="1:18" ht="16" x14ac:dyDescent="0.4">
      <c r="A558" s="2">
        <v>191968</v>
      </c>
      <c r="B558" s="2" t="s">
        <v>603</v>
      </c>
      <c r="C558" s="2" t="s">
        <v>537</v>
      </c>
      <c r="D558" s="2">
        <v>5735</v>
      </c>
      <c r="E558" s="2">
        <v>57.5</v>
      </c>
      <c r="F558" s="2" t="s">
        <v>47</v>
      </c>
      <c r="G558" s="2" t="s">
        <v>37</v>
      </c>
      <c r="H558" s="2">
        <v>3</v>
      </c>
      <c r="I558" s="2">
        <v>38</v>
      </c>
      <c r="J558" s="2" t="s">
        <v>38</v>
      </c>
      <c r="K558" s="2">
        <v>823</v>
      </c>
      <c r="L558" s="2">
        <v>42.5</v>
      </c>
      <c r="M558" s="2">
        <v>2667426</v>
      </c>
      <c r="N558" s="2">
        <v>2419191</v>
      </c>
      <c r="O558" s="2"/>
      <c r="P558" s="2"/>
      <c r="Q558">
        <f t="shared" si="16"/>
        <v>6916.420556071761</v>
      </c>
      <c r="R558">
        <f t="shared" si="17"/>
        <v>5636.6971313857039</v>
      </c>
    </row>
    <row r="559" spans="1:18" ht="16" x14ac:dyDescent="0.4">
      <c r="A559" s="2">
        <v>192192</v>
      </c>
      <c r="B559" s="2" t="s">
        <v>604</v>
      </c>
      <c r="C559" s="2" t="s">
        <v>537</v>
      </c>
      <c r="D559" s="2">
        <v>1283</v>
      </c>
      <c r="E559" s="2">
        <v>70.8</v>
      </c>
      <c r="F559" s="2" t="s">
        <v>47</v>
      </c>
      <c r="G559" s="2" t="s">
        <v>37</v>
      </c>
      <c r="H559" s="2">
        <v>3</v>
      </c>
      <c r="I559" s="2">
        <v>11</v>
      </c>
      <c r="J559" s="2" t="s">
        <v>41</v>
      </c>
      <c r="K559" s="2">
        <v>298</v>
      </c>
      <c r="L559" s="2">
        <v>51.3</v>
      </c>
      <c r="M559" s="2">
        <v>532413</v>
      </c>
      <c r="N559" s="2">
        <v>623781</v>
      </c>
      <c r="O559" s="2"/>
      <c r="P559" s="2"/>
      <c r="Q559">
        <f t="shared" si="16"/>
        <v>4080.3602967149418</v>
      </c>
      <c r="R559">
        <f t="shared" si="17"/>
        <v>3668.6258837148407</v>
      </c>
    </row>
    <row r="560" spans="1:18" ht="16" x14ac:dyDescent="0.4">
      <c r="A560" s="2">
        <v>192323</v>
      </c>
      <c r="B560" s="2" t="s">
        <v>605</v>
      </c>
      <c r="C560" s="2" t="s">
        <v>537</v>
      </c>
      <c r="D560" s="2">
        <v>2384</v>
      </c>
      <c r="E560" s="2">
        <v>57.8</v>
      </c>
      <c r="F560" s="2" t="s">
        <v>47</v>
      </c>
      <c r="G560" s="2" t="s">
        <v>37</v>
      </c>
      <c r="H560" s="2">
        <v>2</v>
      </c>
      <c r="I560" s="2">
        <v>38</v>
      </c>
      <c r="J560" s="2" t="s">
        <v>41</v>
      </c>
      <c r="K560" s="2">
        <v>431</v>
      </c>
      <c r="L560" s="2">
        <v>47.6</v>
      </c>
      <c r="M560" s="2">
        <v>2815923</v>
      </c>
      <c r="N560" s="2">
        <v>2973495</v>
      </c>
      <c r="O560" s="2"/>
      <c r="P560" s="2"/>
      <c r="Q560">
        <f t="shared" si="16"/>
        <v>14493.824211819297</v>
      </c>
      <c r="R560">
        <f t="shared" si="17"/>
        <v>12468.442818936965</v>
      </c>
    </row>
    <row r="561" spans="1:18" ht="16" x14ac:dyDescent="0.4">
      <c r="A561" s="2">
        <v>192448</v>
      </c>
      <c r="B561" s="2" t="s">
        <v>606</v>
      </c>
      <c r="C561" s="2" t="s">
        <v>537</v>
      </c>
      <c r="D561" s="2">
        <v>5534</v>
      </c>
      <c r="E561" s="2">
        <v>66.8</v>
      </c>
      <c r="F561" s="2" t="s">
        <v>47</v>
      </c>
      <c r="G561" s="2" t="s">
        <v>37</v>
      </c>
      <c r="H561" s="2">
        <v>1</v>
      </c>
      <c r="I561" s="2">
        <v>21</v>
      </c>
      <c r="J561" s="2" t="s">
        <v>38</v>
      </c>
      <c r="K561" s="2">
        <v>660</v>
      </c>
      <c r="L561" s="2">
        <v>53.3</v>
      </c>
      <c r="M561" s="2">
        <v>10386301</v>
      </c>
      <c r="N561" s="2">
        <v>12590435</v>
      </c>
      <c r="O561" s="2"/>
      <c r="P561" s="2"/>
      <c r="Q561">
        <f t="shared" si="16"/>
        <v>35790.650406504064</v>
      </c>
      <c r="R561">
        <f t="shared" si="17"/>
        <v>33697.686717279859</v>
      </c>
    </row>
    <row r="562" spans="1:18" ht="16" x14ac:dyDescent="0.4">
      <c r="A562" s="2">
        <v>192703</v>
      </c>
      <c r="B562" s="2" t="s">
        <v>607</v>
      </c>
      <c r="C562" s="2" t="s">
        <v>537</v>
      </c>
      <c r="D562" s="2">
        <v>3365</v>
      </c>
      <c r="E562" s="2">
        <v>44.5</v>
      </c>
      <c r="F562" s="2" t="s">
        <v>47</v>
      </c>
      <c r="G562" s="2" t="s">
        <v>37</v>
      </c>
      <c r="H562" s="2">
        <v>1</v>
      </c>
      <c r="I562" s="2">
        <v>38</v>
      </c>
      <c r="J562" s="2" t="s">
        <v>41</v>
      </c>
      <c r="K562" s="2">
        <v>512</v>
      </c>
      <c r="L562" s="2">
        <v>47.5</v>
      </c>
      <c r="M562" s="2">
        <v>6169539</v>
      </c>
      <c r="N562" s="2">
        <v>5828583</v>
      </c>
      <c r="O562" s="2"/>
      <c r="P562" s="2"/>
      <c r="Q562">
        <f t="shared" si="16"/>
        <v>23966.21299342105</v>
      </c>
      <c r="R562">
        <f t="shared" si="17"/>
        <v>22952.154017857141</v>
      </c>
    </row>
    <row r="563" spans="1:18" ht="16" x14ac:dyDescent="0.4">
      <c r="A563" s="2">
        <v>192749</v>
      </c>
      <c r="B563" s="2" t="s">
        <v>608</v>
      </c>
      <c r="C563" s="2" t="s">
        <v>537</v>
      </c>
      <c r="D563" s="2">
        <v>1470</v>
      </c>
      <c r="E563" s="2">
        <v>57.9</v>
      </c>
      <c r="F563" s="2" t="s">
        <v>47</v>
      </c>
      <c r="G563" s="2" t="s">
        <v>37</v>
      </c>
      <c r="H563" s="2">
        <v>3</v>
      </c>
      <c r="I563" s="2">
        <v>13</v>
      </c>
      <c r="J563" s="2" t="s">
        <v>41</v>
      </c>
      <c r="K563" s="2">
        <v>328</v>
      </c>
      <c r="L563" s="2">
        <v>44.2</v>
      </c>
      <c r="M563" s="2">
        <v>723186</v>
      </c>
      <c r="N563" s="2">
        <v>798124</v>
      </c>
      <c r="O563" s="2"/>
      <c r="P563" s="2"/>
      <c r="Q563">
        <f t="shared" si="16"/>
        <v>5505.2146562189591</v>
      </c>
      <c r="R563">
        <f t="shared" si="17"/>
        <v>3951.3178599527937</v>
      </c>
    </row>
    <row r="564" spans="1:18" ht="16" x14ac:dyDescent="0.4">
      <c r="A564" s="2">
        <v>192819</v>
      </c>
      <c r="B564" s="2" t="s">
        <v>609</v>
      </c>
      <c r="C564" s="2" t="s">
        <v>537</v>
      </c>
      <c r="D564" s="2">
        <v>5198</v>
      </c>
      <c r="E564" s="2">
        <v>58.3</v>
      </c>
      <c r="F564" s="2" t="s">
        <v>47</v>
      </c>
      <c r="G564" s="2" t="s">
        <v>37</v>
      </c>
      <c r="H564" s="2">
        <v>1</v>
      </c>
      <c r="I564" s="2">
        <v>38</v>
      </c>
      <c r="J564" s="2" t="s">
        <v>38</v>
      </c>
      <c r="K564" s="2">
        <v>746</v>
      </c>
      <c r="L564" s="2">
        <v>45.3</v>
      </c>
      <c r="M564" s="2">
        <v>7632907</v>
      </c>
      <c r="N564" s="2">
        <v>6329390</v>
      </c>
      <c r="O564" s="2"/>
      <c r="P564" s="2"/>
      <c r="Q564">
        <f t="shared" si="16"/>
        <v>18729.441495185507</v>
      </c>
      <c r="R564">
        <f t="shared" si="17"/>
        <v>18705.262925731873</v>
      </c>
    </row>
    <row r="565" spans="1:18" ht="16" x14ac:dyDescent="0.4">
      <c r="A565" s="2">
        <v>192925</v>
      </c>
      <c r="B565" s="2" t="s">
        <v>610</v>
      </c>
      <c r="C565" s="2" t="s">
        <v>537</v>
      </c>
      <c r="D565" s="2">
        <v>1339</v>
      </c>
      <c r="E565" s="2">
        <v>71.099999999999994</v>
      </c>
      <c r="F565" s="2" t="s">
        <v>47</v>
      </c>
      <c r="G565" s="2" t="s">
        <v>37</v>
      </c>
      <c r="H565" s="2">
        <v>3</v>
      </c>
      <c r="I565" s="2">
        <v>38</v>
      </c>
      <c r="J565" s="2" t="s">
        <v>41</v>
      </c>
      <c r="K565" s="2">
        <v>207</v>
      </c>
      <c r="L565" s="2">
        <v>48.3</v>
      </c>
      <c r="M565" s="2">
        <v>326451</v>
      </c>
      <c r="N565" s="2">
        <v>364092</v>
      </c>
      <c r="O565" s="2"/>
      <c r="P565" s="2"/>
      <c r="Q565">
        <f t="shared" si="16"/>
        <v>3641.6119062621901</v>
      </c>
      <c r="R565">
        <f t="shared" si="17"/>
        <v>3050.402265018361</v>
      </c>
    </row>
    <row r="566" spans="1:18" ht="16" x14ac:dyDescent="0.4">
      <c r="A566" s="2">
        <v>193016</v>
      </c>
      <c r="B566" s="2" t="s">
        <v>611</v>
      </c>
      <c r="C566" s="2" t="s">
        <v>537</v>
      </c>
      <c r="D566" s="2">
        <v>6199</v>
      </c>
      <c r="E566" s="2">
        <v>69.900000000000006</v>
      </c>
      <c r="F566" s="2" t="s">
        <v>47</v>
      </c>
      <c r="G566" s="2" t="s">
        <v>37</v>
      </c>
      <c r="H566" s="2">
        <v>2</v>
      </c>
      <c r="I566" s="2">
        <v>38</v>
      </c>
      <c r="J566" s="2" t="s">
        <v>41</v>
      </c>
      <c r="K566" s="2">
        <v>241</v>
      </c>
      <c r="L566" s="2">
        <v>51.5</v>
      </c>
      <c r="M566" s="2">
        <v>988648</v>
      </c>
      <c r="N566" s="2">
        <v>1323305</v>
      </c>
      <c r="O566" s="2"/>
      <c r="P566" s="2"/>
      <c r="Q566">
        <f t="shared" si="16"/>
        <v>10661.926439189461</v>
      </c>
      <c r="R566">
        <f t="shared" si="17"/>
        <v>8458.2966163322926</v>
      </c>
    </row>
    <row r="567" spans="1:18" ht="16" x14ac:dyDescent="0.4">
      <c r="A567" s="2">
        <v>193292</v>
      </c>
      <c r="B567" s="2" t="s">
        <v>612</v>
      </c>
      <c r="C567" s="2" t="s">
        <v>537</v>
      </c>
      <c r="D567" s="2">
        <v>2777</v>
      </c>
      <c r="E567" s="2">
        <v>70.400000000000006</v>
      </c>
      <c r="F567" s="2" t="s">
        <v>47</v>
      </c>
      <c r="G567" s="2" t="s">
        <v>37</v>
      </c>
      <c r="H567" s="2">
        <v>2</v>
      </c>
      <c r="I567" s="2">
        <v>38</v>
      </c>
      <c r="J567" s="2" t="s">
        <v>41</v>
      </c>
      <c r="K567" s="2">
        <v>347</v>
      </c>
      <c r="L567" s="2">
        <v>58.8</v>
      </c>
      <c r="M567" s="2">
        <v>1369927</v>
      </c>
      <c r="N567" s="2">
        <v>2117975</v>
      </c>
      <c r="O567" s="2"/>
      <c r="P567" s="2"/>
      <c r="Q567">
        <f t="shared" si="16"/>
        <v>10380.398557117371</v>
      </c>
      <c r="R567">
        <f t="shared" si="17"/>
        <v>9582.3214235751657</v>
      </c>
    </row>
    <row r="568" spans="1:18" ht="16" x14ac:dyDescent="0.4">
      <c r="A568" s="2">
        <v>193353</v>
      </c>
      <c r="B568" s="2" t="s">
        <v>613</v>
      </c>
      <c r="C568" s="2" t="s">
        <v>537</v>
      </c>
      <c r="D568" s="2">
        <v>1596</v>
      </c>
      <c r="E568" s="2">
        <v>71.2</v>
      </c>
      <c r="F568" s="2" t="s">
        <v>47</v>
      </c>
      <c r="G568" s="2" t="s">
        <v>37</v>
      </c>
      <c r="H568" s="2">
        <v>3</v>
      </c>
      <c r="I568" s="2">
        <v>9</v>
      </c>
      <c r="J568" s="2" t="s">
        <v>41</v>
      </c>
      <c r="K568" s="2">
        <v>330</v>
      </c>
      <c r="L568" s="2">
        <v>46.7</v>
      </c>
      <c r="M568" s="2">
        <v>604314</v>
      </c>
      <c r="N568" s="2">
        <v>506542</v>
      </c>
      <c r="O568" s="2"/>
      <c r="P568" s="2"/>
      <c r="Q568">
        <f t="shared" si="16"/>
        <v>3286.885990526247</v>
      </c>
      <c r="R568">
        <f t="shared" si="17"/>
        <v>3435.7496162374209</v>
      </c>
    </row>
    <row r="569" spans="1:18" ht="16" x14ac:dyDescent="0.4">
      <c r="A569" s="2">
        <v>193399</v>
      </c>
      <c r="B569" s="2" t="s">
        <v>614</v>
      </c>
      <c r="C569" s="2" t="s">
        <v>537</v>
      </c>
      <c r="D569" s="2">
        <v>1784</v>
      </c>
      <c r="E569" s="2">
        <v>71.900000000000006</v>
      </c>
      <c r="F569" s="2" t="s">
        <v>47</v>
      </c>
      <c r="G569" s="2" t="s">
        <v>37</v>
      </c>
      <c r="H569" s="2">
        <v>3</v>
      </c>
      <c r="I569" s="2">
        <v>38</v>
      </c>
      <c r="J569" s="2" t="s">
        <v>41</v>
      </c>
      <c r="K569" s="2">
        <v>219</v>
      </c>
      <c r="L569" s="2">
        <v>44.7</v>
      </c>
      <c r="M569" s="2">
        <v>370285</v>
      </c>
      <c r="N569" s="2">
        <v>242762</v>
      </c>
      <c r="O569" s="2"/>
      <c r="P569" s="2"/>
      <c r="Q569">
        <f t="shared" si="16"/>
        <v>2479.8708794295808</v>
      </c>
      <c r="R569">
        <f t="shared" si="17"/>
        <v>3057.5028693634558</v>
      </c>
    </row>
    <row r="570" spans="1:18" ht="16" x14ac:dyDescent="0.4">
      <c r="A570" s="2">
        <v>193584</v>
      </c>
      <c r="B570" s="2" t="s">
        <v>615</v>
      </c>
      <c r="C570" s="2" t="s">
        <v>537</v>
      </c>
      <c r="D570" s="2">
        <v>2177</v>
      </c>
      <c r="E570" s="2">
        <v>73.400000000000006</v>
      </c>
      <c r="F570" s="2" t="s">
        <v>47</v>
      </c>
      <c r="G570" s="2" t="s">
        <v>37</v>
      </c>
      <c r="H570" s="2">
        <v>3</v>
      </c>
      <c r="I570" s="2">
        <v>13</v>
      </c>
      <c r="J570" s="2" t="s">
        <v>41</v>
      </c>
      <c r="K570" s="2">
        <v>481</v>
      </c>
      <c r="L570" s="2">
        <v>59.5</v>
      </c>
      <c r="M570" s="2">
        <v>1067827</v>
      </c>
      <c r="N570" s="2">
        <v>1175426</v>
      </c>
      <c r="O570" s="2"/>
      <c r="P570" s="2"/>
      <c r="Q570">
        <f t="shared" si="16"/>
        <v>4107.0808364926015</v>
      </c>
      <c r="R570">
        <f t="shared" si="17"/>
        <v>5481.5174148507476</v>
      </c>
    </row>
    <row r="571" spans="1:18" ht="16" x14ac:dyDescent="0.4">
      <c r="A571" s="2">
        <v>193900</v>
      </c>
      <c r="B571" s="2" t="s">
        <v>616</v>
      </c>
      <c r="C571" s="2" t="s">
        <v>537</v>
      </c>
      <c r="D571" s="2">
        <v>25696</v>
      </c>
      <c r="E571" s="2">
        <v>57.6</v>
      </c>
      <c r="F571" s="2" t="s">
        <v>47</v>
      </c>
      <c r="G571" s="2" t="s">
        <v>37</v>
      </c>
      <c r="H571" s="2">
        <v>3</v>
      </c>
      <c r="I571" s="2">
        <v>38</v>
      </c>
      <c r="J571" s="2" t="s">
        <v>41</v>
      </c>
      <c r="K571" s="2">
        <v>637</v>
      </c>
      <c r="L571" s="2">
        <v>40.5</v>
      </c>
      <c r="M571" s="2">
        <v>3328940</v>
      </c>
      <c r="N571" s="2">
        <v>2819891</v>
      </c>
      <c r="O571" s="2"/>
      <c r="P571" s="2"/>
      <c r="Q571">
        <f t="shared" si="16"/>
        <v>10930.445568540807</v>
      </c>
      <c r="R571">
        <f t="shared" si="17"/>
        <v>8783.1352321148242</v>
      </c>
    </row>
    <row r="572" spans="1:18" ht="16" x14ac:dyDescent="0.4">
      <c r="A572" s="2">
        <v>193973</v>
      </c>
      <c r="B572" s="2" t="s">
        <v>617</v>
      </c>
      <c r="C572" s="2" t="s">
        <v>537</v>
      </c>
      <c r="D572" s="2">
        <v>2649</v>
      </c>
      <c r="E572" s="2">
        <v>63.7</v>
      </c>
      <c r="F572" s="2" t="s">
        <v>47</v>
      </c>
      <c r="G572" s="2" t="s">
        <v>37</v>
      </c>
      <c r="H572" s="2">
        <v>1</v>
      </c>
      <c r="I572" s="2">
        <v>38</v>
      </c>
      <c r="J572" s="2" t="s">
        <v>41</v>
      </c>
      <c r="K572" s="2">
        <v>359</v>
      </c>
      <c r="L572" s="2">
        <v>54.9</v>
      </c>
      <c r="M572" s="2">
        <v>4775784</v>
      </c>
      <c r="N572" s="2">
        <v>4341711</v>
      </c>
      <c r="O572" s="2"/>
      <c r="P572" s="2"/>
      <c r="Q572">
        <f t="shared" si="16"/>
        <v>22028.966315052436</v>
      </c>
      <c r="R572">
        <f t="shared" si="17"/>
        <v>29496.71729181207</v>
      </c>
    </row>
    <row r="573" spans="1:18" ht="16" x14ac:dyDescent="0.4">
      <c r="A573" s="2">
        <v>194091</v>
      </c>
      <c r="B573" s="2" t="s">
        <v>618</v>
      </c>
      <c r="C573" s="2" t="s">
        <v>537</v>
      </c>
      <c r="D573" s="2">
        <v>3355</v>
      </c>
      <c r="E573" s="2">
        <v>39.200000000000003</v>
      </c>
      <c r="F573" s="2" t="s">
        <v>47</v>
      </c>
      <c r="G573" s="2" t="s">
        <v>37</v>
      </c>
      <c r="H573" s="2">
        <v>2</v>
      </c>
      <c r="I573" s="2">
        <v>38</v>
      </c>
      <c r="J573" s="2" t="s">
        <v>41</v>
      </c>
      <c r="K573" s="2">
        <v>322</v>
      </c>
      <c r="L573" s="2">
        <v>39.799999999999997</v>
      </c>
      <c r="M573" s="2">
        <v>2939007</v>
      </c>
      <c r="N573" s="2">
        <v>2077595</v>
      </c>
      <c r="O573" s="2"/>
      <c r="P573" s="2"/>
      <c r="Q573">
        <f t="shared" si="16"/>
        <v>16211.453228877308</v>
      </c>
      <c r="R573">
        <f t="shared" si="17"/>
        <v>15161.712511091391</v>
      </c>
    </row>
    <row r="574" spans="1:18" ht="16" x14ac:dyDescent="0.4">
      <c r="A574" s="2">
        <v>194161</v>
      </c>
      <c r="B574" s="2" t="s">
        <v>619</v>
      </c>
      <c r="C574" s="2" t="s">
        <v>537</v>
      </c>
      <c r="D574" s="2">
        <v>840</v>
      </c>
      <c r="E574" s="2">
        <v>56.3</v>
      </c>
      <c r="F574" s="2" t="s">
        <v>47</v>
      </c>
      <c r="G574" s="2" t="s">
        <v>37</v>
      </c>
      <c r="H574" s="2">
        <v>2</v>
      </c>
      <c r="I574" s="2">
        <v>38</v>
      </c>
      <c r="J574" s="2" t="s">
        <v>41</v>
      </c>
      <c r="K574" s="2">
        <v>170</v>
      </c>
      <c r="L574" s="2">
        <v>55.3</v>
      </c>
      <c r="M574" s="2">
        <v>1023615</v>
      </c>
      <c r="N574" s="2">
        <v>1304460</v>
      </c>
      <c r="O574" s="2"/>
      <c r="P574" s="2"/>
      <c r="Q574">
        <f t="shared" si="16"/>
        <v>13875.757898095948</v>
      </c>
      <c r="R574">
        <f t="shared" si="17"/>
        <v>13470.390840900116</v>
      </c>
    </row>
    <row r="575" spans="1:18" ht="16" x14ac:dyDescent="0.4">
      <c r="A575" s="2">
        <v>194310</v>
      </c>
      <c r="B575" s="2" t="s">
        <v>620</v>
      </c>
      <c r="C575" s="2" t="s">
        <v>537</v>
      </c>
      <c r="D575" s="2">
        <v>7794</v>
      </c>
      <c r="E575" s="2">
        <v>63.1</v>
      </c>
      <c r="F575" s="2" t="s">
        <v>47</v>
      </c>
      <c r="G575" s="2" t="s">
        <v>37</v>
      </c>
      <c r="H575" s="2">
        <v>2</v>
      </c>
      <c r="I575" s="2">
        <v>38</v>
      </c>
      <c r="J575" s="2" t="s">
        <v>38</v>
      </c>
      <c r="K575" s="2">
        <v>419</v>
      </c>
      <c r="L575" s="2">
        <v>46.1</v>
      </c>
      <c r="M575" s="2">
        <v>3026742</v>
      </c>
      <c r="N575" s="2">
        <v>2467954</v>
      </c>
      <c r="O575" s="2"/>
      <c r="P575" s="2"/>
      <c r="Q575">
        <f t="shared" si="16"/>
        <v>12776.800459724889</v>
      </c>
      <c r="R575">
        <f t="shared" si="17"/>
        <v>13402.092622685872</v>
      </c>
    </row>
    <row r="576" spans="1:18" ht="16" x14ac:dyDescent="0.4">
      <c r="A576" s="2">
        <v>194578</v>
      </c>
      <c r="B576" s="2" t="s">
        <v>621</v>
      </c>
      <c r="C576" s="2" t="s">
        <v>537</v>
      </c>
      <c r="D576" s="2">
        <v>3549</v>
      </c>
      <c r="E576" s="2">
        <v>71.2</v>
      </c>
      <c r="F576" s="2" t="s">
        <v>47</v>
      </c>
      <c r="G576" s="2" t="s">
        <v>37</v>
      </c>
      <c r="H576" s="2">
        <v>3</v>
      </c>
      <c r="I576" s="2">
        <v>38</v>
      </c>
      <c r="J576" s="2" t="s">
        <v>41</v>
      </c>
      <c r="K576" s="2">
        <v>206</v>
      </c>
      <c r="L576" s="2">
        <v>56.3</v>
      </c>
      <c r="M576" s="2">
        <v>187335</v>
      </c>
      <c r="N576" s="2">
        <v>184996</v>
      </c>
      <c r="O576" s="2"/>
      <c r="P576" s="2"/>
      <c r="Q576">
        <f t="shared" si="16"/>
        <v>1595.0956215834037</v>
      </c>
      <c r="R576">
        <f t="shared" si="17"/>
        <v>2080.9913132345428</v>
      </c>
    </row>
    <row r="577" spans="1:18" ht="16" x14ac:dyDescent="0.4">
      <c r="A577" s="2">
        <v>194824</v>
      </c>
      <c r="B577" s="2" t="s">
        <v>622</v>
      </c>
      <c r="C577" s="2" t="s">
        <v>537</v>
      </c>
      <c r="D577" s="2">
        <v>6198</v>
      </c>
      <c r="E577" s="2">
        <v>32.1</v>
      </c>
      <c r="F577" s="2" t="s">
        <v>47</v>
      </c>
      <c r="G577" s="2" t="s">
        <v>37</v>
      </c>
      <c r="H577" s="2">
        <v>3</v>
      </c>
      <c r="I577" s="2">
        <v>38</v>
      </c>
      <c r="J577" s="2" t="s">
        <v>38</v>
      </c>
      <c r="K577" s="2">
        <v>807</v>
      </c>
      <c r="L577" s="2">
        <v>35.9</v>
      </c>
      <c r="M577" s="2">
        <v>4215012</v>
      </c>
      <c r="N577" s="2">
        <v>3064631</v>
      </c>
      <c r="O577" s="2"/>
      <c r="P577" s="2"/>
      <c r="Q577">
        <f t="shared" si="16"/>
        <v>10578.161836023928</v>
      </c>
      <c r="R577">
        <f t="shared" si="17"/>
        <v>8148.3045195413779</v>
      </c>
    </row>
    <row r="578" spans="1:18" ht="16" x14ac:dyDescent="0.4">
      <c r="A578" s="2">
        <v>194958</v>
      </c>
      <c r="B578" s="2" t="s">
        <v>623</v>
      </c>
      <c r="C578" s="2" t="s">
        <v>537</v>
      </c>
      <c r="D578" s="2">
        <v>1176</v>
      </c>
      <c r="E578" s="2">
        <v>67.3</v>
      </c>
      <c r="F578" s="2" t="s">
        <v>47</v>
      </c>
      <c r="G578" s="2" t="s">
        <v>37</v>
      </c>
      <c r="H578" s="2">
        <v>2</v>
      </c>
      <c r="I578" s="2">
        <v>12</v>
      </c>
      <c r="J578" s="2" t="s">
        <v>41</v>
      </c>
      <c r="K578" s="2">
        <v>432</v>
      </c>
      <c r="L578" s="2">
        <v>48.8</v>
      </c>
      <c r="M578" s="2">
        <v>1520424</v>
      </c>
      <c r="N578" s="2">
        <v>1519004</v>
      </c>
      <c r="O578" s="2"/>
      <c r="P578" s="2"/>
      <c r="Q578">
        <f t="shared" si="16"/>
        <v>7205.3544323011538</v>
      </c>
      <c r="R578">
        <f t="shared" si="17"/>
        <v>6874.0234375</v>
      </c>
    </row>
    <row r="579" spans="1:18" ht="16" x14ac:dyDescent="0.4">
      <c r="A579" s="2">
        <v>195030</v>
      </c>
      <c r="B579" s="2" t="s">
        <v>624</v>
      </c>
      <c r="C579" s="2" t="s">
        <v>537</v>
      </c>
      <c r="D579" s="2">
        <v>6371</v>
      </c>
      <c r="E579" s="2">
        <v>49.8</v>
      </c>
      <c r="F579" s="2" t="s">
        <v>47</v>
      </c>
      <c r="G579" s="2" t="s">
        <v>37</v>
      </c>
      <c r="H579" s="2">
        <v>3</v>
      </c>
      <c r="I579" s="2">
        <v>38</v>
      </c>
      <c r="J579" s="2" t="s">
        <v>38</v>
      </c>
      <c r="K579" s="2">
        <v>669</v>
      </c>
      <c r="L579" s="2">
        <v>45.9</v>
      </c>
      <c r="M579" s="2">
        <v>1858911</v>
      </c>
      <c r="N579" s="2">
        <v>1765953</v>
      </c>
      <c r="O579" s="2"/>
      <c r="P579" s="2"/>
      <c r="Q579">
        <f t="shared" ref="Q579:Q642" si="18">N579/(K579*(0.01*L579))</f>
        <v>5750.9598757290651</v>
      </c>
      <c r="R579">
        <f t="shared" ref="R579:R642" si="19">M579/(K579*(0.01*(100-L579)))</f>
        <v>5136.1206203426636</v>
      </c>
    </row>
    <row r="580" spans="1:18" ht="16" x14ac:dyDescent="0.4">
      <c r="A580" s="2">
        <v>195128</v>
      </c>
      <c r="B580" s="2" t="s">
        <v>625</v>
      </c>
      <c r="C580" s="2" t="s">
        <v>537</v>
      </c>
      <c r="D580" s="2">
        <v>1231</v>
      </c>
      <c r="E580" s="2">
        <v>78.2</v>
      </c>
      <c r="F580" s="2" t="s">
        <v>47</v>
      </c>
      <c r="G580" s="2" t="s">
        <v>37</v>
      </c>
      <c r="H580" s="2">
        <v>3</v>
      </c>
      <c r="I580" s="2">
        <v>38</v>
      </c>
      <c r="J580" s="2" t="s">
        <v>41</v>
      </c>
      <c r="K580" s="2">
        <v>231</v>
      </c>
      <c r="L580" s="2">
        <v>56.7</v>
      </c>
      <c r="M580" s="2">
        <v>377572</v>
      </c>
      <c r="N580" s="2">
        <v>583980</v>
      </c>
      <c r="O580" s="2"/>
      <c r="P580" s="2"/>
      <c r="Q580">
        <f t="shared" si="18"/>
        <v>4458.645411026363</v>
      </c>
      <c r="R580">
        <f t="shared" si="19"/>
        <v>3774.8517840896593</v>
      </c>
    </row>
    <row r="581" spans="1:18" ht="16" x14ac:dyDescent="0.4">
      <c r="A581" s="2">
        <v>195164</v>
      </c>
      <c r="B581" s="2" t="s">
        <v>626</v>
      </c>
      <c r="C581" s="2" t="s">
        <v>537</v>
      </c>
      <c r="D581" s="2">
        <v>1765</v>
      </c>
      <c r="E581" s="2">
        <v>46.7</v>
      </c>
      <c r="F581" s="2" t="s">
        <v>47</v>
      </c>
      <c r="G581" s="2" t="s">
        <v>37</v>
      </c>
      <c r="H581" s="2">
        <v>1</v>
      </c>
      <c r="I581" s="2">
        <v>9</v>
      </c>
      <c r="J581" s="2" t="s">
        <v>41</v>
      </c>
      <c r="K581" s="2">
        <v>393</v>
      </c>
      <c r="L581" s="2">
        <v>45.8</v>
      </c>
      <c r="M581" s="2">
        <v>6895266</v>
      </c>
      <c r="N581" s="2">
        <v>4069880</v>
      </c>
      <c r="O581" s="2"/>
      <c r="P581" s="2"/>
      <c r="Q581">
        <f t="shared" si="18"/>
        <v>22611.198151049484</v>
      </c>
      <c r="R581">
        <f t="shared" si="19"/>
        <v>32371.228979465362</v>
      </c>
    </row>
    <row r="582" spans="1:18" ht="16" x14ac:dyDescent="0.4">
      <c r="A582" s="2">
        <v>195173</v>
      </c>
      <c r="B582" s="2" t="s">
        <v>627</v>
      </c>
      <c r="C582" s="2" t="s">
        <v>537</v>
      </c>
      <c r="D582" s="2">
        <v>2374</v>
      </c>
      <c r="E582" s="2">
        <v>61.2</v>
      </c>
      <c r="F582" s="2" t="s">
        <v>47</v>
      </c>
      <c r="G582" s="2" t="s">
        <v>37</v>
      </c>
      <c r="H582" s="2">
        <v>1</v>
      </c>
      <c r="I582" s="2">
        <v>38</v>
      </c>
      <c r="J582" s="2" t="s">
        <v>41</v>
      </c>
      <c r="K582" s="2">
        <v>371</v>
      </c>
      <c r="L582" s="2">
        <v>43.7</v>
      </c>
      <c r="M582" s="2">
        <v>3315009</v>
      </c>
      <c r="N582" s="2">
        <v>3182420</v>
      </c>
      <c r="O582" s="2"/>
      <c r="P582" s="2"/>
      <c r="Q582">
        <f t="shared" si="18"/>
        <v>19629.17959377525</v>
      </c>
      <c r="R582">
        <f t="shared" si="19"/>
        <v>15870.93113997501</v>
      </c>
    </row>
    <row r="583" spans="1:18" ht="16" x14ac:dyDescent="0.4">
      <c r="A583" s="2">
        <v>195216</v>
      </c>
      <c r="B583" s="2" t="s">
        <v>628</v>
      </c>
      <c r="C583" s="2" t="s">
        <v>537</v>
      </c>
      <c r="D583" s="2">
        <v>2359</v>
      </c>
      <c r="E583" s="2">
        <v>54.6</v>
      </c>
      <c r="F583" s="2" t="s">
        <v>47</v>
      </c>
      <c r="G583" s="2" t="s">
        <v>37</v>
      </c>
      <c r="H583" s="2">
        <v>3</v>
      </c>
      <c r="I583" s="2">
        <v>19</v>
      </c>
      <c r="J583" s="2" t="s">
        <v>38</v>
      </c>
      <c r="K583" s="2">
        <v>849</v>
      </c>
      <c r="L583" s="2">
        <v>45.7</v>
      </c>
      <c r="M583" s="2">
        <v>4189182</v>
      </c>
      <c r="N583" s="2">
        <v>3551202</v>
      </c>
      <c r="O583" s="2"/>
      <c r="P583" s="2"/>
      <c r="Q583">
        <f t="shared" si="18"/>
        <v>9152.7476011165145</v>
      </c>
      <c r="R583">
        <f t="shared" si="19"/>
        <v>9087.0247089523582</v>
      </c>
    </row>
    <row r="584" spans="1:18" ht="16" x14ac:dyDescent="0.4">
      <c r="A584" s="2">
        <v>195234</v>
      </c>
      <c r="B584" s="2" t="s">
        <v>629</v>
      </c>
      <c r="C584" s="2" t="s">
        <v>537</v>
      </c>
      <c r="D584" s="2">
        <v>2363</v>
      </c>
      <c r="E584" s="2">
        <v>65.7</v>
      </c>
      <c r="F584" s="2" t="s">
        <v>47</v>
      </c>
      <c r="G584" s="2" t="s">
        <v>37</v>
      </c>
      <c r="H584" s="2">
        <v>2</v>
      </c>
      <c r="I584" s="2">
        <v>11</v>
      </c>
      <c r="J584" s="2" t="s">
        <v>41</v>
      </c>
      <c r="K584" s="2">
        <v>421</v>
      </c>
      <c r="L584" s="2">
        <v>45.8</v>
      </c>
      <c r="M584" s="2">
        <v>2012800</v>
      </c>
      <c r="N584" s="2">
        <v>2139086</v>
      </c>
      <c r="O584" s="2"/>
      <c r="P584" s="2"/>
      <c r="Q584">
        <f t="shared" si="18"/>
        <v>11093.808669315107</v>
      </c>
      <c r="R584">
        <f t="shared" si="19"/>
        <v>8821.0288278654753</v>
      </c>
    </row>
    <row r="585" spans="1:18" ht="16" x14ac:dyDescent="0.4">
      <c r="A585" s="2">
        <v>195243</v>
      </c>
      <c r="B585" s="2" t="s">
        <v>630</v>
      </c>
      <c r="C585" s="2" t="s">
        <v>537</v>
      </c>
      <c r="D585" s="2">
        <v>1110</v>
      </c>
      <c r="E585" s="2">
        <v>49.6</v>
      </c>
      <c r="F585" s="2" t="s">
        <v>47</v>
      </c>
      <c r="G585" s="2" t="s">
        <v>37</v>
      </c>
      <c r="H585" s="2">
        <v>2</v>
      </c>
      <c r="I585" s="2">
        <v>38</v>
      </c>
      <c r="J585" s="2" t="s">
        <v>41</v>
      </c>
      <c r="K585" s="2">
        <v>430</v>
      </c>
      <c r="L585" s="2">
        <v>43.5</v>
      </c>
      <c r="M585" s="2">
        <v>2180281</v>
      </c>
      <c r="N585" s="2">
        <v>1996394</v>
      </c>
      <c r="O585" s="2"/>
      <c r="P585" s="2"/>
      <c r="Q585">
        <f t="shared" si="18"/>
        <v>10673.049986634589</v>
      </c>
      <c r="R585">
        <f t="shared" si="19"/>
        <v>8974.196336694793</v>
      </c>
    </row>
    <row r="586" spans="1:18" ht="16" x14ac:dyDescent="0.4">
      <c r="A586" s="2">
        <v>195304</v>
      </c>
      <c r="B586" s="2" t="s">
        <v>631</v>
      </c>
      <c r="C586" s="2" t="s">
        <v>537</v>
      </c>
      <c r="D586" s="2">
        <v>1354</v>
      </c>
      <c r="E586" s="2">
        <v>74.7</v>
      </c>
      <c r="F586" s="2" t="s">
        <v>47</v>
      </c>
      <c r="G586" s="2" t="s">
        <v>37</v>
      </c>
      <c r="H586" s="2">
        <v>3</v>
      </c>
      <c r="I586" s="2">
        <v>38</v>
      </c>
      <c r="J586" s="2" t="s">
        <v>41</v>
      </c>
      <c r="K586" s="2">
        <v>172</v>
      </c>
      <c r="L586" s="2">
        <v>61</v>
      </c>
      <c r="M586" s="2">
        <v>228699</v>
      </c>
      <c r="N586" s="2">
        <v>312191</v>
      </c>
      <c r="O586" s="2"/>
      <c r="P586" s="2"/>
      <c r="Q586">
        <f t="shared" si="18"/>
        <v>2975.5146778497901</v>
      </c>
      <c r="R586">
        <f t="shared" si="19"/>
        <v>3409.3470483005367</v>
      </c>
    </row>
    <row r="587" spans="1:18" ht="16" x14ac:dyDescent="0.4">
      <c r="A587" s="2">
        <v>195474</v>
      </c>
      <c r="B587" s="2" t="s">
        <v>632</v>
      </c>
      <c r="C587" s="2" t="s">
        <v>537</v>
      </c>
      <c r="D587" s="2">
        <v>3078</v>
      </c>
      <c r="E587" s="2">
        <v>56.9</v>
      </c>
      <c r="F587" s="2" t="s">
        <v>47</v>
      </c>
      <c r="G587" s="2" t="s">
        <v>37</v>
      </c>
      <c r="H587" s="2">
        <v>1</v>
      </c>
      <c r="I587" s="2">
        <v>13</v>
      </c>
      <c r="J587" s="2" t="s">
        <v>41</v>
      </c>
      <c r="K587" s="2">
        <v>424</v>
      </c>
      <c r="L587" s="2">
        <v>50.7</v>
      </c>
      <c r="M587" s="2">
        <v>5784436</v>
      </c>
      <c r="N587" s="2">
        <v>5816086</v>
      </c>
      <c r="O587" s="2"/>
      <c r="P587" s="2"/>
      <c r="Q587">
        <f t="shared" si="18"/>
        <v>27055.589669160061</v>
      </c>
      <c r="R587">
        <f t="shared" si="19"/>
        <v>27672.49033640782</v>
      </c>
    </row>
    <row r="588" spans="1:18" ht="16" x14ac:dyDescent="0.4">
      <c r="A588" s="2">
        <v>195526</v>
      </c>
      <c r="B588" s="2" t="s">
        <v>633</v>
      </c>
      <c r="C588" s="2" t="s">
        <v>537</v>
      </c>
      <c r="D588" s="2">
        <v>2617</v>
      </c>
      <c r="E588" s="2">
        <v>59.5</v>
      </c>
      <c r="F588" s="2" t="s">
        <v>47</v>
      </c>
      <c r="G588" s="2" t="s">
        <v>37</v>
      </c>
      <c r="H588" s="2">
        <v>3</v>
      </c>
      <c r="I588" s="2">
        <v>38</v>
      </c>
      <c r="J588" s="2" t="s">
        <v>41</v>
      </c>
      <c r="K588" s="2">
        <v>387</v>
      </c>
      <c r="L588" s="2">
        <v>48.3</v>
      </c>
      <c r="M588" s="2">
        <v>1092453</v>
      </c>
      <c r="N588" s="2">
        <v>942178</v>
      </c>
      <c r="O588" s="2"/>
      <c r="P588" s="2"/>
      <c r="Q588">
        <f t="shared" si="18"/>
        <v>5040.5144419300132</v>
      </c>
      <c r="R588">
        <f t="shared" si="19"/>
        <v>5460.1082572383903</v>
      </c>
    </row>
    <row r="589" spans="1:18" ht="16" x14ac:dyDescent="0.4">
      <c r="A589" s="2">
        <v>195544</v>
      </c>
      <c r="B589" s="2" t="s">
        <v>634</v>
      </c>
      <c r="C589" s="2" t="s">
        <v>537</v>
      </c>
      <c r="D589" s="2">
        <v>884</v>
      </c>
      <c r="E589" s="2">
        <v>64.900000000000006</v>
      </c>
      <c r="F589" s="2" t="s">
        <v>47</v>
      </c>
      <c r="G589" s="2" t="s">
        <v>37</v>
      </c>
      <c r="H589" s="2">
        <v>3</v>
      </c>
      <c r="I589" s="2">
        <v>38</v>
      </c>
      <c r="J589" s="2" t="s">
        <v>41</v>
      </c>
      <c r="K589" s="2">
        <v>165</v>
      </c>
      <c r="L589" s="2">
        <v>52.7</v>
      </c>
      <c r="M589" s="2">
        <v>171443</v>
      </c>
      <c r="N589" s="2">
        <v>217684</v>
      </c>
      <c r="O589" s="2"/>
      <c r="P589" s="2"/>
      <c r="Q589">
        <f t="shared" si="18"/>
        <v>2503.4098096716693</v>
      </c>
      <c r="R589">
        <f t="shared" si="19"/>
        <v>2196.719841117304</v>
      </c>
    </row>
    <row r="590" spans="1:18" ht="16" x14ac:dyDescent="0.4">
      <c r="A590" s="2">
        <v>195562</v>
      </c>
      <c r="B590" s="2" t="s">
        <v>635</v>
      </c>
      <c r="C590" s="2" t="s">
        <v>537</v>
      </c>
      <c r="D590" s="2">
        <v>2611</v>
      </c>
      <c r="E590" s="2">
        <v>68.2</v>
      </c>
      <c r="F590" s="2" t="s">
        <v>47</v>
      </c>
      <c r="G590" s="2" t="s">
        <v>37</v>
      </c>
      <c r="H590" s="2">
        <v>3</v>
      </c>
      <c r="I590" s="2">
        <v>35</v>
      </c>
      <c r="J590" s="2" t="s">
        <v>41</v>
      </c>
      <c r="K590" s="2">
        <v>268</v>
      </c>
      <c r="L590" s="2">
        <v>42.2</v>
      </c>
      <c r="M590" s="2">
        <v>308826</v>
      </c>
      <c r="N590" s="2">
        <v>278667</v>
      </c>
      <c r="O590" s="2"/>
      <c r="P590" s="2"/>
      <c r="Q590">
        <f t="shared" si="18"/>
        <v>2463.9863478814455</v>
      </c>
      <c r="R590">
        <f t="shared" si="19"/>
        <v>1993.6605897846409</v>
      </c>
    </row>
    <row r="591" spans="1:18" ht="16" x14ac:dyDescent="0.4">
      <c r="A591" s="2">
        <v>195720</v>
      </c>
      <c r="B591" s="2" t="s">
        <v>636</v>
      </c>
      <c r="C591" s="2" t="s">
        <v>537</v>
      </c>
      <c r="D591" s="2">
        <v>2535</v>
      </c>
      <c r="E591" s="2">
        <v>58.9</v>
      </c>
      <c r="F591" s="2" t="s">
        <v>47</v>
      </c>
      <c r="G591" s="2" t="s">
        <v>37</v>
      </c>
      <c r="H591" s="2">
        <v>3</v>
      </c>
      <c r="I591" s="2">
        <v>38</v>
      </c>
      <c r="J591" s="2" t="s">
        <v>38</v>
      </c>
      <c r="K591" s="2">
        <v>629</v>
      </c>
      <c r="L591" s="2">
        <v>40.200000000000003</v>
      </c>
      <c r="M591" s="2">
        <v>1574896</v>
      </c>
      <c r="N591" s="2">
        <v>1062942</v>
      </c>
      <c r="O591" s="2"/>
      <c r="P591" s="2"/>
      <c r="Q591">
        <f t="shared" si="18"/>
        <v>4203.7111738604272</v>
      </c>
      <c r="R591">
        <f t="shared" si="19"/>
        <v>4186.9719414476449</v>
      </c>
    </row>
    <row r="592" spans="1:18" ht="16" x14ac:dyDescent="0.4">
      <c r="A592" s="2">
        <v>195809</v>
      </c>
      <c r="B592" s="2" t="s">
        <v>637</v>
      </c>
      <c r="C592" s="2" t="s">
        <v>537</v>
      </c>
      <c r="D592" s="2">
        <v>11467</v>
      </c>
      <c r="E592" s="2">
        <v>56.5</v>
      </c>
      <c r="F592" s="2" t="s">
        <v>47</v>
      </c>
      <c r="G592" s="2" t="s">
        <v>37</v>
      </c>
      <c r="H592" s="2">
        <v>1</v>
      </c>
      <c r="I592" s="2">
        <v>13</v>
      </c>
      <c r="J592" s="2" t="s">
        <v>41</v>
      </c>
      <c r="K592" s="2">
        <v>360</v>
      </c>
      <c r="L592" s="2">
        <v>53.9</v>
      </c>
      <c r="M592" s="2">
        <v>16776319</v>
      </c>
      <c r="N592" s="2">
        <v>9698693</v>
      </c>
      <c r="O592" s="2"/>
      <c r="P592" s="2"/>
      <c r="Q592">
        <f t="shared" si="18"/>
        <v>49982.957122242835</v>
      </c>
      <c r="R592">
        <f t="shared" si="19"/>
        <v>101086.52084839719</v>
      </c>
    </row>
    <row r="593" spans="1:18" ht="16" x14ac:dyDescent="0.4">
      <c r="A593" s="2">
        <v>196006</v>
      </c>
      <c r="B593" s="2" t="s">
        <v>638</v>
      </c>
      <c r="C593" s="2" t="s">
        <v>537</v>
      </c>
      <c r="D593" s="2">
        <v>3482</v>
      </c>
      <c r="E593" s="2">
        <v>34.4</v>
      </c>
      <c r="F593" s="2" t="s">
        <v>36</v>
      </c>
      <c r="G593" s="2" t="s">
        <v>37</v>
      </c>
      <c r="H593" s="2">
        <v>3</v>
      </c>
      <c r="I593" s="2">
        <v>38</v>
      </c>
      <c r="J593" s="2" t="s">
        <v>38</v>
      </c>
      <c r="K593" s="2">
        <v>450</v>
      </c>
      <c r="L593" s="2">
        <v>30.9</v>
      </c>
      <c r="M593" s="2">
        <v>1193620</v>
      </c>
      <c r="N593" s="2">
        <v>652921</v>
      </c>
      <c r="O593" s="2"/>
      <c r="P593" s="2"/>
      <c r="Q593">
        <f t="shared" si="18"/>
        <v>4695.5843221862633</v>
      </c>
      <c r="R593">
        <f t="shared" si="19"/>
        <v>3838.6235729216919</v>
      </c>
    </row>
    <row r="594" spans="1:18" ht="16" x14ac:dyDescent="0.4">
      <c r="A594" s="2">
        <v>196015</v>
      </c>
      <c r="B594" s="2" t="s">
        <v>639</v>
      </c>
      <c r="C594" s="2" t="s">
        <v>537</v>
      </c>
      <c r="D594" s="2">
        <v>2783</v>
      </c>
      <c r="E594" s="2">
        <v>53.9</v>
      </c>
      <c r="F594" s="2" t="s">
        <v>36</v>
      </c>
      <c r="G594" s="2" t="s">
        <v>37</v>
      </c>
      <c r="H594" s="2">
        <v>3</v>
      </c>
      <c r="I594" s="2">
        <v>38</v>
      </c>
      <c r="J594" s="2" t="s">
        <v>41</v>
      </c>
      <c r="K594" s="2">
        <v>371</v>
      </c>
      <c r="L594" s="2">
        <v>35.6</v>
      </c>
      <c r="M594" s="2">
        <v>771120</v>
      </c>
      <c r="N594" s="2">
        <v>700211</v>
      </c>
      <c r="O594" s="2"/>
      <c r="P594" s="2"/>
      <c r="Q594">
        <f t="shared" si="18"/>
        <v>5301.57636512311</v>
      </c>
      <c r="R594">
        <f t="shared" si="19"/>
        <v>3227.4698230399622</v>
      </c>
    </row>
    <row r="595" spans="1:18" ht="16" x14ac:dyDescent="0.4">
      <c r="A595" s="2">
        <v>196024</v>
      </c>
      <c r="B595" s="2" t="s">
        <v>640</v>
      </c>
      <c r="C595" s="2" t="s">
        <v>537</v>
      </c>
      <c r="D595" s="2">
        <v>2391</v>
      </c>
      <c r="E595" s="2">
        <v>47.6</v>
      </c>
      <c r="F595" s="2" t="s">
        <v>36</v>
      </c>
      <c r="G595" s="2" t="s">
        <v>37</v>
      </c>
      <c r="H595" s="2">
        <v>3</v>
      </c>
      <c r="I595" s="2">
        <v>13</v>
      </c>
      <c r="J595" s="2" t="s">
        <v>41</v>
      </c>
      <c r="K595" s="2">
        <v>308</v>
      </c>
      <c r="L595" s="2">
        <v>40.9</v>
      </c>
      <c r="M595" s="2">
        <v>365113</v>
      </c>
      <c r="N595" s="2">
        <v>377832</v>
      </c>
      <c r="O595" s="2"/>
      <c r="P595" s="2"/>
      <c r="Q595">
        <f t="shared" si="18"/>
        <v>2999.3331851522562</v>
      </c>
      <c r="R595">
        <f t="shared" si="19"/>
        <v>2005.8067989540068</v>
      </c>
    </row>
    <row r="596" spans="1:18" ht="16" x14ac:dyDescent="0.4">
      <c r="A596" s="2">
        <v>196033</v>
      </c>
      <c r="B596" s="2" t="s">
        <v>641</v>
      </c>
      <c r="C596" s="2" t="s">
        <v>537</v>
      </c>
      <c r="D596" s="2">
        <v>2086</v>
      </c>
      <c r="E596" s="2">
        <v>54.6</v>
      </c>
      <c r="F596" s="2" t="s">
        <v>36</v>
      </c>
      <c r="G596" s="2" t="s">
        <v>37</v>
      </c>
      <c r="H596" s="2">
        <v>3</v>
      </c>
      <c r="I596" s="2">
        <v>12</v>
      </c>
      <c r="J596" s="2" t="s">
        <v>41</v>
      </c>
      <c r="K596" s="2">
        <v>299</v>
      </c>
      <c r="L596" s="2">
        <v>52.5</v>
      </c>
      <c r="M596" s="2">
        <v>348627</v>
      </c>
      <c r="N596" s="2">
        <v>303017</v>
      </c>
      <c r="O596" s="2"/>
      <c r="P596" s="2"/>
      <c r="Q596">
        <f t="shared" si="18"/>
        <v>1930.351966873706</v>
      </c>
      <c r="R596">
        <f t="shared" si="19"/>
        <v>2454.6875550079212</v>
      </c>
    </row>
    <row r="597" spans="1:18" ht="16" x14ac:dyDescent="0.4">
      <c r="A597" s="2">
        <v>196042</v>
      </c>
      <c r="B597" s="2" t="s">
        <v>642</v>
      </c>
      <c r="C597" s="2" t="s">
        <v>537</v>
      </c>
      <c r="D597" s="2">
        <v>7666</v>
      </c>
      <c r="E597" s="2">
        <v>40.799999999999997</v>
      </c>
      <c r="F597" s="2" t="s">
        <v>36</v>
      </c>
      <c r="G597" s="2" t="s">
        <v>37</v>
      </c>
      <c r="H597" s="2">
        <v>3</v>
      </c>
      <c r="I597" s="2">
        <v>38</v>
      </c>
      <c r="J597" s="2" t="s">
        <v>41</v>
      </c>
      <c r="K597" s="2">
        <v>424</v>
      </c>
      <c r="L597" s="2">
        <v>43.4</v>
      </c>
      <c r="M597" s="2">
        <v>537854</v>
      </c>
      <c r="N597" s="2">
        <v>525677</v>
      </c>
      <c r="O597" s="2"/>
      <c r="P597" s="2"/>
      <c r="Q597">
        <f t="shared" si="18"/>
        <v>2856.6918094078778</v>
      </c>
      <c r="R597">
        <f t="shared" si="19"/>
        <v>2241.2077471831453</v>
      </c>
    </row>
    <row r="598" spans="1:18" ht="16" x14ac:dyDescent="0.4">
      <c r="A598" s="2">
        <v>196051</v>
      </c>
      <c r="B598" s="2" t="s">
        <v>643</v>
      </c>
      <c r="C598" s="2" t="s">
        <v>537</v>
      </c>
      <c r="D598" s="2">
        <v>2283</v>
      </c>
      <c r="E598" s="2">
        <v>49.4</v>
      </c>
      <c r="F598" s="2" t="s">
        <v>36</v>
      </c>
      <c r="G598" s="2" t="s">
        <v>37</v>
      </c>
      <c r="H598" s="2">
        <v>3</v>
      </c>
      <c r="I598" s="2">
        <v>38</v>
      </c>
      <c r="J598" s="2" t="s">
        <v>38</v>
      </c>
      <c r="K598" s="2">
        <v>435</v>
      </c>
      <c r="L598" s="2">
        <v>43</v>
      </c>
      <c r="M598" s="2">
        <v>1240482</v>
      </c>
      <c r="N598" s="2">
        <v>1128396</v>
      </c>
      <c r="O598" s="2"/>
      <c r="P598" s="2"/>
      <c r="Q598">
        <f t="shared" si="18"/>
        <v>6032.5902165196476</v>
      </c>
      <c r="R598">
        <f t="shared" si="19"/>
        <v>5002.9522081064724</v>
      </c>
    </row>
    <row r="599" spans="1:18" ht="16" x14ac:dyDescent="0.4">
      <c r="A599" s="2">
        <v>196060</v>
      </c>
      <c r="B599" s="2" t="s">
        <v>644</v>
      </c>
      <c r="C599" s="2" t="s">
        <v>537</v>
      </c>
      <c r="D599" s="2">
        <v>12548</v>
      </c>
      <c r="E599" s="2">
        <v>52.1</v>
      </c>
      <c r="F599" s="2" t="s">
        <v>36</v>
      </c>
      <c r="G599" s="2" t="s">
        <v>37</v>
      </c>
      <c r="H599" s="2">
        <v>1</v>
      </c>
      <c r="I599" s="2">
        <v>38</v>
      </c>
      <c r="J599" s="2" t="s">
        <v>38</v>
      </c>
      <c r="K599" s="2">
        <v>600</v>
      </c>
      <c r="L599" s="2">
        <v>48</v>
      </c>
      <c r="M599" s="2">
        <v>9019420</v>
      </c>
      <c r="N599" s="2">
        <v>6108597</v>
      </c>
      <c r="O599" s="2"/>
      <c r="P599" s="2"/>
      <c r="Q599">
        <f t="shared" si="18"/>
        <v>21210.40625</v>
      </c>
      <c r="R599">
        <f t="shared" si="19"/>
        <v>28908.397435897437</v>
      </c>
    </row>
    <row r="600" spans="1:18" ht="16" x14ac:dyDescent="0.4">
      <c r="A600" s="2">
        <v>196079</v>
      </c>
      <c r="B600" s="2" t="s">
        <v>645</v>
      </c>
      <c r="C600" s="2" t="s">
        <v>537</v>
      </c>
      <c r="D600" s="2">
        <v>13844</v>
      </c>
      <c r="E600" s="2">
        <v>50.5</v>
      </c>
      <c r="F600" s="2" t="s">
        <v>36</v>
      </c>
      <c r="G600" s="2" t="s">
        <v>37</v>
      </c>
      <c r="H600" s="2">
        <v>1</v>
      </c>
      <c r="I600" s="2">
        <v>38</v>
      </c>
      <c r="J600" s="2" t="s">
        <v>41</v>
      </c>
      <c r="K600" s="2">
        <v>529</v>
      </c>
      <c r="L600" s="2">
        <v>48.6</v>
      </c>
      <c r="M600" s="2">
        <v>6462101</v>
      </c>
      <c r="N600" s="2">
        <v>5571453</v>
      </c>
      <c r="O600" s="2"/>
      <c r="P600" s="2"/>
      <c r="Q600">
        <f t="shared" si="18"/>
        <v>21670.879133702067</v>
      </c>
      <c r="R600">
        <f t="shared" si="19"/>
        <v>23765.937493104233</v>
      </c>
    </row>
    <row r="601" spans="1:18" ht="16" x14ac:dyDescent="0.4">
      <c r="A601" s="2">
        <v>196088</v>
      </c>
      <c r="B601" s="2" t="s">
        <v>646</v>
      </c>
      <c r="C601" s="2" t="s">
        <v>537</v>
      </c>
      <c r="D601" s="2">
        <v>20374</v>
      </c>
      <c r="E601" s="2">
        <v>43.4</v>
      </c>
      <c r="F601" s="2" t="s">
        <v>36</v>
      </c>
      <c r="G601" s="2" t="s">
        <v>37</v>
      </c>
      <c r="H601" s="2">
        <v>1</v>
      </c>
      <c r="I601" s="2">
        <v>38</v>
      </c>
      <c r="J601" s="2" t="s">
        <v>38</v>
      </c>
      <c r="K601" s="2">
        <v>513</v>
      </c>
      <c r="L601" s="2">
        <v>45.6</v>
      </c>
      <c r="M601" s="2">
        <v>12901405</v>
      </c>
      <c r="N601" s="2">
        <v>6766629</v>
      </c>
      <c r="O601" s="2"/>
      <c r="P601" s="2"/>
      <c r="Q601">
        <f t="shared" si="18"/>
        <v>28926.118292808045</v>
      </c>
      <c r="R601">
        <f t="shared" si="19"/>
        <v>46229.664746015362</v>
      </c>
    </row>
    <row r="602" spans="1:18" ht="16" x14ac:dyDescent="0.4">
      <c r="A602" s="2">
        <v>196097</v>
      </c>
      <c r="B602" s="2" t="s">
        <v>647</v>
      </c>
      <c r="C602" s="2" t="s">
        <v>537</v>
      </c>
      <c r="D602" s="2">
        <v>16579</v>
      </c>
      <c r="E602" s="2">
        <v>49.5</v>
      </c>
      <c r="F602" s="2" t="s">
        <v>36</v>
      </c>
      <c r="G602" s="2" t="s">
        <v>37</v>
      </c>
      <c r="H602" s="2">
        <v>1</v>
      </c>
      <c r="I602" s="2">
        <v>38</v>
      </c>
      <c r="J602" s="2" t="s">
        <v>38</v>
      </c>
      <c r="K602" s="2">
        <v>623</v>
      </c>
      <c r="L602" s="2">
        <v>38.799999999999997</v>
      </c>
      <c r="M602" s="2">
        <v>13760423</v>
      </c>
      <c r="N602" s="2">
        <v>7493982</v>
      </c>
      <c r="O602" s="2"/>
      <c r="P602" s="2"/>
      <c r="Q602">
        <f t="shared" si="18"/>
        <v>31002.22567887343</v>
      </c>
      <c r="R602">
        <f t="shared" si="19"/>
        <v>36090.451536419809</v>
      </c>
    </row>
    <row r="603" spans="1:18" ht="16" x14ac:dyDescent="0.4">
      <c r="A603" s="2">
        <v>196112</v>
      </c>
      <c r="B603" s="2" t="s">
        <v>648</v>
      </c>
      <c r="C603" s="2" t="s">
        <v>537</v>
      </c>
      <c r="D603" s="2">
        <v>1901</v>
      </c>
      <c r="E603" s="2">
        <v>29.1</v>
      </c>
      <c r="F603" s="2" t="s">
        <v>36</v>
      </c>
      <c r="G603" s="2" t="s">
        <v>37</v>
      </c>
      <c r="H603" s="2">
        <v>3</v>
      </c>
      <c r="I603" s="2">
        <v>38</v>
      </c>
      <c r="J603" s="2" t="s">
        <v>41</v>
      </c>
      <c r="K603" s="2">
        <v>217</v>
      </c>
      <c r="L603" s="2">
        <v>38.700000000000003</v>
      </c>
      <c r="M603" s="2">
        <v>557174</v>
      </c>
      <c r="N603" s="2">
        <v>481218</v>
      </c>
      <c r="O603" s="2"/>
      <c r="P603" s="2"/>
      <c r="Q603">
        <f t="shared" si="18"/>
        <v>5730.2182688529274</v>
      </c>
      <c r="R603">
        <f t="shared" si="19"/>
        <v>4188.6168349358377</v>
      </c>
    </row>
    <row r="604" spans="1:18" ht="16" x14ac:dyDescent="0.4">
      <c r="A604" s="2">
        <v>196121</v>
      </c>
      <c r="B604" s="2" t="s">
        <v>649</v>
      </c>
      <c r="C604" s="2" t="s">
        <v>537</v>
      </c>
      <c r="D604" s="2">
        <v>5960</v>
      </c>
      <c r="E604" s="2">
        <v>56.7</v>
      </c>
      <c r="F604" s="2" t="s">
        <v>36</v>
      </c>
      <c r="G604" s="2" t="s">
        <v>37</v>
      </c>
      <c r="H604" s="2">
        <v>3</v>
      </c>
      <c r="I604" s="2">
        <v>38</v>
      </c>
      <c r="J604" s="2" t="s">
        <v>38</v>
      </c>
      <c r="K604" s="2">
        <v>738</v>
      </c>
      <c r="L604" s="2">
        <v>39.4</v>
      </c>
      <c r="M604" s="2">
        <v>1708672</v>
      </c>
      <c r="N604" s="2">
        <v>1174736</v>
      </c>
      <c r="O604" s="2"/>
      <c r="P604" s="2"/>
      <c r="Q604">
        <f t="shared" si="18"/>
        <v>4040.058877746138</v>
      </c>
      <c r="R604">
        <f t="shared" si="19"/>
        <v>3820.5836843846987</v>
      </c>
    </row>
    <row r="605" spans="1:18" ht="16" x14ac:dyDescent="0.4">
      <c r="A605" s="2">
        <v>196130</v>
      </c>
      <c r="B605" s="2" t="s">
        <v>650</v>
      </c>
      <c r="C605" s="2" t="s">
        <v>537</v>
      </c>
      <c r="D605" s="2">
        <v>6883</v>
      </c>
      <c r="E605" s="2">
        <v>58.4</v>
      </c>
      <c r="F605" s="2" t="s">
        <v>36</v>
      </c>
      <c r="G605" s="2" t="s">
        <v>37</v>
      </c>
      <c r="H605" s="2">
        <v>3</v>
      </c>
      <c r="I605" s="2">
        <v>38</v>
      </c>
      <c r="J605" s="2" t="s">
        <v>38</v>
      </c>
      <c r="K605" s="2">
        <v>419</v>
      </c>
      <c r="L605" s="2">
        <v>40.1</v>
      </c>
      <c r="M605" s="2">
        <v>1085172</v>
      </c>
      <c r="N605" s="2">
        <v>832800</v>
      </c>
      <c r="O605" s="2"/>
      <c r="P605" s="2"/>
      <c r="Q605">
        <f t="shared" si="18"/>
        <v>4956.5822912884851</v>
      </c>
      <c r="R605">
        <f t="shared" si="19"/>
        <v>4323.7217159864695</v>
      </c>
    </row>
    <row r="606" spans="1:18" ht="16" x14ac:dyDescent="0.4">
      <c r="A606" s="2">
        <v>196149</v>
      </c>
      <c r="B606" s="2" t="s">
        <v>651</v>
      </c>
      <c r="C606" s="2" t="s">
        <v>537</v>
      </c>
      <c r="D606" s="2">
        <v>6170</v>
      </c>
      <c r="E606" s="2">
        <v>56.5</v>
      </c>
      <c r="F606" s="2" t="s">
        <v>36</v>
      </c>
      <c r="G606" s="2" t="s">
        <v>37</v>
      </c>
      <c r="H606" s="2">
        <v>3</v>
      </c>
      <c r="I606" s="2">
        <v>17</v>
      </c>
      <c r="J606" s="2" t="s">
        <v>38</v>
      </c>
      <c r="K606" s="2">
        <v>795</v>
      </c>
      <c r="L606" s="2">
        <v>39.9</v>
      </c>
      <c r="M606" s="2">
        <v>2089922</v>
      </c>
      <c r="N606" s="2">
        <v>1420812</v>
      </c>
      <c r="O606" s="2"/>
      <c r="P606" s="2"/>
      <c r="Q606">
        <f t="shared" si="18"/>
        <v>4479.1601645623487</v>
      </c>
      <c r="R606">
        <f t="shared" si="19"/>
        <v>4374.0976778744025</v>
      </c>
    </row>
    <row r="607" spans="1:18" ht="16" x14ac:dyDescent="0.4">
      <c r="A607" s="2">
        <v>196158</v>
      </c>
      <c r="B607" s="2" t="s">
        <v>652</v>
      </c>
      <c r="C607" s="2" t="s">
        <v>537</v>
      </c>
      <c r="D607" s="2">
        <v>4127</v>
      </c>
      <c r="E607" s="2">
        <v>57.4</v>
      </c>
      <c r="F607" s="2" t="s">
        <v>36</v>
      </c>
      <c r="G607" s="2" t="s">
        <v>37</v>
      </c>
      <c r="H607" s="2">
        <v>3</v>
      </c>
      <c r="I607" s="2">
        <v>38</v>
      </c>
      <c r="J607" s="2" t="s">
        <v>41</v>
      </c>
      <c r="K607" s="2">
        <v>376</v>
      </c>
      <c r="L607" s="2">
        <v>46.5</v>
      </c>
      <c r="M607" s="2">
        <v>898557</v>
      </c>
      <c r="N607" s="2">
        <v>726298</v>
      </c>
      <c r="O607" s="2"/>
      <c r="P607" s="2"/>
      <c r="Q607">
        <f t="shared" si="18"/>
        <v>4154.0722946694123</v>
      </c>
      <c r="R607">
        <f t="shared" si="19"/>
        <v>4466.8771127460723</v>
      </c>
    </row>
    <row r="608" spans="1:18" ht="16" x14ac:dyDescent="0.4">
      <c r="A608" s="2">
        <v>196167</v>
      </c>
      <c r="B608" s="2" t="s">
        <v>653</v>
      </c>
      <c r="C608" s="2" t="s">
        <v>537</v>
      </c>
      <c r="D608" s="2">
        <v>5133</v>
      </c>
      <c r="E608" s="2">
        <v>62.4</v>
      </c>
      <c r="F608" s="2" t="s">
        <v>36</v>
      </c>
      <c r="G608" s="2" t="s">
        <v>37</v>
      </c>
      <c r="H608" s="2">
        <v>3</v>
      </c>
      <c r="I608" s="2">
        <v>38</v>
      </c>
      <c r="J608" s="2" t="s">
        <v>41</v>
      </c>
      <c r="K608" s="2">
        <v>603</v>
      </c>
      <c r="L608" s="2">
        <v>58.5</v>
      </c>
      <c r="M608" s="2">
        <v>971828</v>
      </c>
      <c r="N608" s="2">
        <v>1140021</v>
      </c>
      <c r="O608" s="2"/>
      <c r="P608" s="2"/>
      <c r="Q608">
        <f t="shared" si="18"/>
        <v>3231.7642556448527</v>
      </c>
      <c r="R608">
        <f t="shared" si="19"/>
        <v>3883.5061639593196</v>
      </c>
    </row>
    <row r="609" spans="1:18" ht="16" x14ac:dyDescent="0.4">
      <c r="A609" s="2">
        <v>196176</v>
      </c>
      <c r="B609" s="2" t="s">
        <v>654</v>
      </c>
      <c r="C609" s="2" t="s">
        <v>537</v>
      </c>
      <c r="D609" s="2">
        <v>6290</v>
      </c>
      <c r="E609" s="2">
        <v>63</v>
      </c>
      <c r="F609" s="2" t="s">
        <v>36</v>
      </c>
      <c r="G609" s="2" t="s">
        <v>37</v>
      </c>
      <c r="H609" s="2">
        <v>3</v>
      </c>
      <c r="I609" s="2">
        <v>38</v>
      </c>
      <c r="J609" s="2" t="s">
        <v>41</v>
      </c>
      <c r="K609" s="2">
        <v>307</v>
      </c>
      <c r="L609" s="2">
        <v>55</v>
      </c>
      <c r="M609" s="2">
        <v>824048</v>
      </c>
      <c r="N609" s="2">
        <v>1335726</v>
      </c>
      <c r="O609" s="2"/>
      <c r="P609" s="2"/>
      <c r="Q609">
        <f t="shared" si="18"/>
        <v>7910.7254960023683</v>
      </c>
      <c r="R609">
        <f t="shared" si="19"/>
        <v>5964.8787549764747</v>
      </c>
    </row>
    <row r="610" spans="1:18" ht="16" x14ac:dyDescent="0.4">
      <c r="A610" s="2">
        <v>196185</v>
      </c>
      <c r="B610" s="2" t="s">
        <v>655</v>
      </c>
      <c r="C610" s="2" t="s">
        <v>537</v>
      </c>
      <c r="D610" s="2">
        <v>5938</v>
      </c>
      <c r="E610" s="2">
        <v>62.1</v>
      </c>
      <c r="F610" s="2" t="s">
        <v>36</v>
      </c>
      <c r="G610" s="2" t="s">
        <v>37</v>
      </c>
      <c r="H610" s="2">
        <v>3</v>
      </c>
      <c r="I610" s="2">
        <v>13</v>
      </c>
      <c r="J610" s="2" t="s">
        <v>41</v>
      </c>
      <c r="K610" s="2">
        <v>446</v>
      </c>
      <c r="L610" s="2">
        <v>48.2</v>
      </c>
      <c r="M610" s="2">
        <v>1039507</v>
      </c>
      <c r="N610" s="2">
        <v>1108707</v>
      </c>
      <c r="O610" s="2"/>
      <c r="P610" s="2"/>
      <c r="Q610">
        <f t="shared" si="18"/>
        <v>5157.4484118861992</v>
      </c>
      <c r="R610">
        <f t="shared" si="19"/>
        <v>4499.4849109198885</v>
      </c>
    </row>
    <row r="611" spans="1:18" ht="16" x14ac:dyDescent="0.4">
      <c r="A611" s="2">
        <v>196194</v>
      </c>
      <c r="B611" s="2" t="s">
        <v>656</v>
      </c>
      <c r="C611" s="2" t="s">
        <v>537</v>
      </c>
      <c r="D611" s="2">
        <v>6561</v>
      </c>
      <c r="E611" s="2">
        <v>50.5</v>
      </c>
      <c r="F611" s="2" t="s">
        <v>36</v>
      </c>
      <c r="G611" s="2" t="s">
        <v>37</v>
      </c>
      <c r="H611" s="2">
        <v>3</v>
      </c>
      <c r="I611" s="2">
        <v>38</v>
      </c>
      <c r="J611" s="2" t="s">
        <v>41</v>
      </c>
      <c r="K611" s="2">
        <v>499</v>
      </c>
      <c r="L611" s="2">
        <v>44.3</v>
      </c>
      <c r="M611" s="2">
        <v>1340215</v>
      </c>
      <c r="N611" s="2">
        <v>1058513</v>
      </c>
      <c r="O611" s="2"/>
      <c r="P611" s="2"/>
      <c r="Q611">
        <f t="shared" si="18"/>
        <v>4788.4165622441269</v>
      </c>
      <c r="R611">
        <f t="shared" si="19"/>
        <v>4821.9059303526255</v>
      </c>
    </row>
    <row r="612" spans="1:18" ht="16" x14ac:dyDescent="0.4">
      <c r="A612" s="2">
        <v>196200</v>
      </c>
      <c r="B612" s="2" t="s">
        <v>657</v>
      </c>
      <c r="C612" s="2" t="s">
        <v>537</v>
      </c>
      <c r="D612" s="2">
        <v>2977</v>
      </c>
      <c r="E612" s="2">
        <v>61.9</v>
      </c>
      <c r="F612" s="2" t="s">
        <v>36</v>
      </c>
      <c r="G612" s="2" t="s">
        <v>37</v>
      </c>
      <c r="H612" s="2">
        <v>3</v>
      </c>
      <c r="I612" s="2">
        <v>11</v>
      </c>
      <c r="J612" s="2" t="s">
        <v>41</v>
      </c>
      <c r="K612" s="2">
        <v>342</v>
      </c>
      <c r="L612" s="2">
        <v>50.3</v>
      </c>
      <c r="M612" s="2">
        <v>715894</v>
      </c>
      <c r="N612" s="2">
        <v>715918</v>
      </c>
      <c r="O612" s="2"/>
      <c r="P612" s="2"/>
      <c r="Q612">
        <f t="shared" si="18"/>
        <v>4161.6848615906893</v>
      </c>
      <c r="R612">
        <f t="shared" si="19"/>
        <v>4211.7853318742864</v>
      </c>
    </row>
    <row r="613" spans="1:18" ht="16" x14ac:dyDescent="0.4">
      <c r="A613" s="2">
        <v>196219</v>
      </c>
      <c r="B613" s="2" t="s">
        <v>658</v>
      </c>
      <c r="C613" s="2" t="s">
        <v>537</v>
      </c>
      <c r="D613" s="2">
        <v>3697</v>
      </c>
      <c r="E613" s="2">
        <v>58.3</v>
      </c>
      <c r="F613" s="2" t="s">
        <v>36</v>
      </c>
      <c r="G613" s="2" t="s">
        <v>37</v>
      </c>
      <c r="H613" s="2">
        <v>3</v>
      </c>
      <c r="I613" s="2">
        <v>38</v>
      </c>
      <c r="J613" s="2" t="s">
        <v>41</v>
      </c>
      <c r="K613" s="2">
        <v>264</v>
      </c>
      <c r="L613" s="2">
        <v>43.9</v>
      </c>
      <c r="M613" s="2">
        <v>343521</v>
      </c>
      <c r="N613" s="2">
        <v>289795</v>
      </c>
      <c r="O613" s="2"/>
      <c r="P613" s="2"/>
      <c r="Q613">
        <f t="shared" si="18"/>
        <v>2500.4745634016704</v>
      </c>
      <c r="R613">
        <f t="shared" si="19"/>
        <v>2319.4579484686433</v>
      </c>
    </row>
    <row r="614" spans="1:18" ht="16" x14ac:dyDescent="0.4">
      <c r="A614" s="2">
        <v>196237</v>
      </c>
      <c r="B614" s="2" t="s">
        <v>659</v>
      </c>
      <c r="C614" s="2" t="s">
        <v>537</v>
      </c>
      <c r="D614" s="2">
        <v>4101</v>
      </c>
      <c r="E614" s="2">
        <v>58.8</v>
      </c>
      <c r="F614" s="2" t="s">
        <v>36</v>
      </c>
      <c r="G614" s="2" t="s">
        <v>37</v>
      </c>
      <c r="H614" s="2">
        <v>3</v>
      </c>
      <c r="I614" s="2">
        <v>9</v>
      </c>
      <c r="J614" s="2" t="s">
        <v>41</v>
      </c>
      <c r="K614" s="2">
        <v>209</v>
      </c>
      <c r="L614" s="2">
        <v>52.2</v>
      </c>
      <c r="M614" s="2">
        <v>263854</v>
      </c>
      <c r="N614" s="2">
        <v>319736</v>
      </c>
      <c r="O614" s="2"/>
      <c r="P614" s="2"/>
      <c r="Q614">
        <f t="shared" si="18"/>
        <v>2930.7228363489708</v>
      </c>
      <c r="R614">
        <f t="shared" si="19"/>
        <v>2641.1283057396249</v>
      </c>
    </row>
    <row r="615" spans="1:18" ht="16" x14ac:dyDescent="0.4">
      <c r="A615" s="2">
        <v>196246</v>
      </c>
      <c r="B615" s="2" t="s">
        <v>660</v>
      </c>
      <c r="C615" s="2" t="s">
        <v>537</v>
      </c>
      <c r="D615" s="2">
        <v>4406</v>
      </c>
      <c r="E615" s="2">
        <v>57.8</v>
      </c>
      <c r="F615" s="2" t="s">
        <v>36</v>
      </c>
      <c r="G615" s="2" t="s">
        <v>37</v>
      </c>
      <c r="H615" s="2">
        <v>3</v>
      </c>
      <c r="I615" s="2">
        <v>38</v>
      </c>
      <c r="J615" s="2" t="s">
        <v>41</v>
      </c>
      <c r="K615" s="2">
        <v>426</v>
      </c>
      <c r="L615" s="2">
        <v>48.6</v>
      </c>
      <c r="M615" s="2">
        <v>1268830</v>
      </c>
      <c r="N615" s="2">
        <v>1302505</v>
      </c>
      <c r="O615" s="2"/>
      <c r="P615" s="2"/>
      <c r="Q615">
        <f t="shared" si="18"/>
        <v>6291.2005641530932</v>
      </c>
      <c r="R615">
        <f t="shared" si="19"/>
        <v>5794.6968451434941</v>
      </c>
    </row>
    <row r="616" spans="1:18" ht="16" x14ac:dyDescent="0.4">
      <c r="A616" s="2">
        <v>196291</v>
      </c>
      <c r="B616" s="2" t="s">
        <v>661</v>
      </c>
      <c r="C616" s="2" t="s">
        <v>537</v>
      </c>
      <c r="D616" s="2">
        <v>1465</v>
      </c>
      <c r="E616" s="2">
        <v>13.9</v>
      </c>
      <c r="F616" s="2" t="s">
        <v>36</v>
      </c>
      <c r="G616" s="2" t="s">
        <v>37</v>
      </c>
      <c r="H616" s="2">
        <v>3</v>
      </c>
      <c r="I616" s="2">
        <v>38</v>
      </c>
      <c r="J616" s="2" t="s">
        <v>38</v>
      </c>
      <c r="K616" s="2">
        <v>437</v>
      </c>
      <c r="L616" s="2">
        <v>22.4</v>
      </c>
      <c r="M616" s="2">
        <v>692753</v>
      </c>
      <c r="N616" s="2">
        <v>151579</v>
      </c>
      <c r="O616" s="2"/>
      <c r="P616" s="2"/>
      <c r="Q616">
        <f t="shared" si="18"/>
        <v>1548.4941974501473</v>
      </c>
      <c r="R616">
        <f t="shared" si="19"/>
        <v>2042.8442520465217</v>
      </c>
    </row>
    <row r="617" spans="1:18" ht="16" x14ac:dyDescent="0.4">
      <c r="A617" s="2">
        <v>196413</v>
      </c>
      <c r="B617" s="2" t="s">
        <v>662</v>
      </c>
      <c r="C617" s="2" t="s">
        <v>537</v>
      </c>
      <c r="D617" s="2">
        <v>14437</v>
      </c>
      <c r="E617" s="2">
        <v>53.5</v>
      </c>
      <c r="F617" s="2" t="s">
        <v>47</v>
      </c>
      <c r="G617" s="2" t="s">
        <v>37</v>
      </c>
      <c r="H617" s="2">
        <v>1</v>
      </c>
      <c r="I617" s="2">
        <v>38</v>
      </c>
      <c r="J617" s="2" t="s">
        <v>38</v>
      </c>
      <c r="K617" s="2">
        <v>712</v>
      </c>
      <c r="L617" s="2">
        <v>45.4</v>
      </c>
      <c r="M617" s="2">
        <v>50222377</v>
      </c>
      <c r="N617" s="2">
        <v>23995337</v>
      </c>
      <c r="O617" s="2"/>
      <c r="P617" s="2"/>
      <c r="Q617">
        <f t="shared" si="18"/>
        <v>74231.973593030736</v>
      </c>
      <c r="R617">
        <f t="shared" si="19"/>
        <v>129188.72957566778</v>
      </c>
    </row>
    <row r="618" spans="1:18" ht="16" x14ac:dyDescent="0.4">
      <c r="A618" s="2">
        <v>196866</v>
      </c>
      <c r="B618" s="2" t="s">
        <v>663</v>
      </c>
      <c r="C618" s="2" t="s">
        <v>537</v>
      </c>
      <c r="D618" s="2">
        <v>2157</v>
      </c>
      <c r="E618" s="2">
        <v>46.4</v>
      </c>
      <c r="F618" s="2" t="s">
        <v>47</v>
      </c>
      <c r="G618" s="2" t="s">
        <v>37</v>
      </c>
      <c r="H618" s="2">
        <v>3</v>
      </c>
      <c r="I618" s="2">
        <v>36</v>
      </c>
      <c r="J618" s="2" t="s">
        <v>38</v>
      </c>
      <c r="K618" s="2">
        <v>642</v>
      </c>
      <c r="L618" s="2">
        <v>43.9</v>
      </c>
      <c r="M618" s="2">
        <v>2499054</v>
      </c>
      <c r="N618" s="2">
        <v>1632050</v>
      </c>
      <c r="O618" s="2"/>
      <c r="P618" s="2"/>
      <c r="Q618">
        <f t="shared" si="18"/>
        <v>5790.7379416544254</v>
      </c>
      <c r="R618">
        <f t="shared" si="19"/>
        <v>6938.6942542522529</v>
      </c>
    </row>
    <row r="619" spans="1:18" ht="16" x14ac:dyDescent="0.4">
      <c r="A619" s="2">
        <v>197027</v>
      </c>
      <c r="B619" s="2" t="s">
        <v>664</v>
      </c>
      <c r="C619" s="2" t="s">
        <v>537</v>
      </c>
      <c r="D619" s="2">
        <v>1007</v>
      </c>
      <c r="E619" s="2">
        <v>21.4</v>
      </c>
      <c r="F619" s="2" t="s">
        <v>36</v>
      </c>
      <c r="G619" s="2" t="s">
        <v>37</v>
      </c>
      <c r="H619" s="2">
        <v>3</v>
      </c>
      <c r="I619" s="2">
        <v>38</v>
      </c>
      <c r="J619" s="2" t="s">
        <v>38</v>
      </c>
      <c r="K619" s="2">
        <v>507</v>
      </c>
      <c r="L619" s="2">
        <v>27</v>
      </c>
      <c r="M619" s="2">
        <v>1662708</v>
      </c>
      <c r="N619" s="2">
        <v>609587</v>
      </c>
      <c r="O619" s="2"/>
      <c r="P619" s="2"/>
      <c r="Q619">
        <f t="shared" si="18"/>
        <v>4453.1156402951274</v>
      </c>
      <c r="R619">
        <f t="shared" si="19"/>
        <v>4492.4698062738107</v>
      </c>
    </row>
    <row r="620" spans="1:18" ht="16" x14ac:dyDescent="0.4">
      <c r="A620" s="2">
        <v>197045</v>
      </c>
      <c r="B620" s="2" t="s">
        <v>665</v>
      </c>
      <c r="C620" s="2" t="s">
        <v>537</v>
      </c>
      <c r="D620" s="2">
        <v>2810</v>
      </c>
      <c r="E620" s="2">
        <v>57.1</v>
      </c>
      <c r="F620" s="2" t="s">
        <v>47</v>
      </c>
      <c r="G620" s="2" t="s">
        <v>37</v>
      </c>
      <c r="H620" s="2">
        <v>3</v>
      </c>
      <c r="I620" s="2">
        <v>17</v>
      </c>
      <c r="J620" s="2" t="s">
        <v>38</v>
      </c>
      <c r="K620" s="2">
        <v>755</v>
      </c>
      <c r="L620" s="2">
        <v>39.200000000000003</v>
      </c>
      <c r="M620" s="2">
        <v>2523241</v>
      </c>
      <c r="N620" s="2">
        <v>1566055</v>
      </c>
      <c r="O620" s="2"/>
      <c r="P620" s="2"/>
      <c r="Q620">
        <f t="shared" si="18"/>
        <v>5291.4414110014859</v>
      </c>
      <c r="R620">
        <f t="shared" si="19"/>
        <v>5496.778058556989</v>
      </c>
    </row>
    <row r="621" spans="1:18" ht="16" x14ac:dyDescent="0.4">
      <c r="A621" s="2">
        <v>197133</v>
      </c>
      <c r="B621" s="2" t="s">
        <v>666</v>
      </c>
      <c r="C621" s="2" t="s">
        <v>537</v>
      </c>
      <c r="D621" s="2">
        <v>2417</v>
      </c>
      <c r="E621" s="2">
        <v>58.9</v>
      </c>
      <c r="F621" s="2" t="s">
        <v>47</v>
      </c>
      <c r="G621" s="2" t="s">
        <v>37</v>
      </c>
      <c r="H621" s="2">
        <v>3</v>
      </c>
      <c r="I621" s="2">
        <v>38</v>
      </c>
      <c r="J621" s="2" t="s">
        <v>41</v>
      </c>
      <c r="K621" s="2">
        <v>393</v>
      </c>
      <c r="L621" s="2">
        <v>44.8</v>
      </c>
      <c r="M621" s="2">
        <v>1395207</v>
      </c>
      <c r="N621" s="2">
        <v>1482378</v>
      </c>
      <c r="O621" s="2"/>
      <c r="P621" s="2"/>
      <c r="Q621">
        <f t="shared" si="18"/>
        <v>8419.5406215921485</v>
      </c>
      <c r="R621">
        <f t="shared" si="19"/>
        <v>6431.4221705940918</v>
      </c>
    </row>
    <row r="622" spans="1:18" ht="16" x14ac:dyDescent="0.4">
      <c r="A622" s="2">
        <v>197197</v>
      </c>
      <c r="B622" s="2" t="s">
        <v>667</v>
      </c>
      <c r="C622" s="2" t="s">
        <v>537</v>
      </c>
      <c r="D622" s="2">
        <v>1659</v>
      </c>
      <c r="E622" s="2">
        <v>66.599999999999994</v>
      </c>
      <c r="F622" s="2" t="s">
        <v>47</v>
      </c>
      <c r="G622" s="2" t="s">
        <v>37</v>
      </c>
      <c r="H622" s="2">
        <v>1</v>
      </c>
      <c r="I622" s="2">
        <v>14</v>
      </c>
      <c r="J622" s="2" t="s">
        <v>38</v>
      </c>
      <c r="K622" s="2">
        <v>562</v>
      </c>
      <c r="L622" s="2">
        <v>46.8</v>
      </c>
      <c r="M622" s="2">
        <v>7625662</v>
      </c>
      <c r="N622" s="2">
        <v>6158892</v>
      </c>
      <c r="O622" s="2"/>
      <c r="P622" s="2"/>
      <c r="Q622">
        <f t="shared" si="18"/>
        <v>23416.415731362355</v>
      </c>
      <c r="R622">
        <f t="shared" si="19"/>
        <v>25505.251117116633</v>
      </c>
    </row>
    <row r="623" spans="1:18" ht="16" x14ac:dyDescent="0.4">
      <c r="A623" s="2">
        <v>197230</v>
      </c>
      <c r="B623" s="2" t="s">
        <v>668</v>
      </c>
      <c r="C623" s="2" t="s">
        <v>537</v>
      </c>
      <c r="D623" s="2">
        <v>410</v>
      </c>
      <c r="E623" s="2">
        <v>65.099999999999994</v>
      </c>
      <c r="F623" s="2" t="s">
        <v>47</v>
      </c>
      <c r="G623" s="2" t="s">
        <v>37</v>
      </c>
      <c r="H623" s="2">
        <v>3</v>
      </c>
      <c r="I623" s="2">
        <v>38</v>
      </c>
      <c r="J623" s="2" t="s">
        <v>41</v>
      </c>
      <c r="K623" s="2">
        <v>192</v>
      </c>
      <c r="L623" s="2">
        <v>48.4</v>
      </c>
      <c r="M623" s="2">
        <v>328010</v>
      </c>
      <c r="N623" s="2">
        <v>343490</v>
      </c>
      <c r="O623" s="2"/>
      <c r="P623" s="2"/>
      <c r="Q623">
        <f t="shared" si="18"/>
        <v>3696.3025137741047</v>
      </c>
      <c r="R623">
        <f t="shared" si="19"/>
        <v>3310.8244509043925</v>
      </c>
    </row>
    <row r="624" spans="1:18" ht="16" x14ac:dyDescent="0.4">
      <c r="A624" s="2">
        <v>197708</v>
      </c>
      <c r="B624" s="2" t="s">
        <v>669</v>
      </c>
      <c r="C624" s="2" t="s">
        <v>537</v>
      </c>
      <c r="D624" s="2">
        <v>2643</v>
      </c>
      <c r="E624" s="2">
        <v>47</v>
      </c>
      <c r="F624" s="2" t="s">
        <v>47</v>
      </c>
      <c r="G624" s="2" t="s">
        <v>37</v>
      </c>
      <c r="H624" s="2">
        <v>3</v>
      </c>
      <c r="I624" s="2">
        <v>38</v>
      </c>
      <c r="J624" s="2" t="s">
        <v>41</v>
      </c>
      <c r="K624" s="2">
        <v>229</v>
      </c>
      <c r="L624" s="2">
        <v>45.4</v>
      </c>
      <c r="M624" s="2">
        <v>556891</v>
      </c>
      <c r="N624" s="2">
        <v>497158</v>
      </c>
      <c r="O624" s="2"/>
      <c r="P624" s="2"/>
      <c r="Q624">
        <f t="shared" si="18"/>
        <v>4781.9287074620543</v>
      </c>
      <c r="R624">
        <f t="shared" si="19"/>
        <v>4453.916534702561</v>
      </c>
    </row>
    <row r="625" spans="1:18" ht="16" x14ac:dyDescent="0.4">
      <c r="A625" s="2">
        <v>197869</v>
      </c>
      <c r="B625" s="2" t="s">
        <v>670</v>
      </c>
      <c r="C625" s="2" t="s">
        <v>172</v>
      </c>
      <c r="D625" s="2">
        <v>16557</v>
      </c>
      <c r="E625" s="2">
        <v>56.3</v>
      </c>
      <c r="F625" s="2" t="s">
        <v>36</v>
      </c>
      <c r="G625" s="2" t="s">
        <v>37</v>
      </c>
      <c r="H625" s="2">
        <v>1</v>
      </c>
      <c r="I625" s="2">
        <v>38</v>
      </c>
      <c r="J625" s="2" t="s">
        <v>38</v>
      </c>
      <c r="K625" s="2">
        <v>629</v>
      </c>
      <c r="L625" s="2">
        <v>44.5</v>
      </c>
      <c r="M625" s="2">
        <v>14128110</v>
      </c>
      <c r="N625" s="2">
        <v>5858912</v>
      </c>
      <c r="O625" s="2"/>
      <c r="P625" s="2"/>
      <c r="Q625">
        <f t="shared" si="18"/>
        <v>20931.787570782941</v>
      </c>
      <c r="R625">
        <f t="shared" si="19"/>
        <v>40470.674171787046</v>
      </c>
    </row>
    <row r="626" spans="1:18" ht="16" x14ac:dyDescent="0.4">
      <c r="A626" s="2">
        <v>197911</v>
      </c>
      <c r="B626" s="2" t="s">
        <v>671</v>
      </c>
      <c r="C626" s="2" t="s">
        <v>172</v>
      </c>
      <c r="D626" s="2">
        <v>990</v>
      </c>
      <c r="E626" s="2">
        <v>56.6</v>
      </c>
      <c r="F626" s="2" t="s">
        <v>47</v>
      </c>
      <c r="G626" s="2" t="s">
        <v>37</v>
      </c>
      <c r="H626" s="2">
        <v>2</v>
      </c>
      <c r="I626" s="2">
        <v>38</v>
      </c>
      <c r="J626" s="2" t="s">
        <v>41</v>
      </c>
      <c r="K626" s="2">
        <v>502</v>
      </c>
      <c r="L626" s="2">
        <v>41</v>
      </c>
      <c r="M626" s="2">
        <v>2718508</v>
      </c>
      <c r="N626" s="2">
        <v>2294725</v>
      </c>
      <c r="O626" s="2"/>
      <c r="P626" s="2"/>
      <c r="Q626">
        <f t="shared" si="18"/>
        <v>11149.183752793702</v>
      </c>
      <c r="R626">
        <f t="shared" si="19"/>
        <v>9178.567087581876</v>
      </c>
    </row>
    <row r="627" spans="1:18" ht="16" x14ac:dyDescent="0.4">
      <c r="A627" s="2">
        <v>197984</v>
      </c>
      <c r="B627" s="2" t="s">
        <v>672</v>
      </c>
      <c r="C627" s="2" t="s">
        <v>172</v>
      </c>
      <c r="D627" s="2">
        <v>1385</v>
      </c>
      <c r="E627" s="2">
        <v>48.2</v>
      </c>
      <c r="F627" s="2" t="s">
        <v>47</v>
      </c>
      <c r="G627" s="2" t="s">
        <v>37</v>
      </c>
      <c r="H627" s="2">
        <v>2</v>
      </c>
      <c r="I627" s="2">
        <v>15</v>
      </c>
      <c r="J627" s="2" t="s">
        <v>41</v>
      </c>
      <c r="K627" s="2">
        <v>733</v>
      </c>
      <c r="L627" s="2">
        <v>39.4</v>
      </c>
      <c r="M627" s="2">
        <v>3189632</v>
      </c>
      <c r="N627" s="2">
        <v>2391589</v>
      </c>
      <c r="O627" s="2"/>
      <c r="P627" s="2"/>
      <c r="Q627">
        <f t="shared" si="18"/>
        <v>8281.0679981440571</v>
      </c>
      <c r="R627">
        <f t="shared" si="19"/>
        <v>7180.6536724613798</v>
      </c>
    </row>
    <row r="628" spans="1:18" ht="16" x14ac:dyDescent="0.4">
      <c r="A628" s="2">
        <v>198066</v>
      </c>
      <c r="B628" s="2" t="s">
        <v>673</v>
      </c>
      <c r="C628" s="2" t="s">
        <v>172</v>
      </c>
      <c r="D628" s="2">
        <v>727</v>
      </c>
      <c r="E628" s="2">
        <v>44.7</v>
      </c>
      <c r="F628" s="2" t="s">
        <v>47</v>
      </c>
      <c r="G628" s="2" t="s">
        <v>37</v>
      </c>
      <c r="H628" s="2">
        <v>3</v>
      </c>
      <c r="I628" s="2">
        <v>10</v>
      </c>
      <c r="J628" s="2" t="s">
        <v>38</v>
      </c>
      <c r="K628" s="2">
        <v>440</v>
      </c>
      <c r="L628" s="2">
        <v>32.299999999999997</v>
      </c>
      <c r="M628" s="2">
        <v>1135603</v>
      </c>
      <c r="N628" s="2">
        <v>606418</v>
      </c>
      <c r="O628" s="2"/>
      <c r="P628" s="2"/>
      <c r="Q628">
        <f t="shared" si="18"/>
        <v>4266.94342808894</v>
      </c>
      <c r="R628">
        <f t="shared" si="19"/>
        <v>3812.2834698536326</v>
      </c>
    </row>
    <row r="629" spans="1:18" ht="16" x14ac:dyDescent="0.4">
      <c r="A629" s="2">
        <v>198136</v>
      </c>
      <c r="B629" s="2" t="s">
        <v>674</v>
      </c>
      <c r="C629" s="2" t="s">
        <v>172</v>
      </c>
      <c r="D629" s="2">
        <v>3255</v>
      </c>
      <c r="E629" s="2">
        <v>54.8</v>
      </c>
      <c r="F629" s="2" t="s">
        <v>47</v>
      </c>
      <c r="G629" s="2" t="s">
        <v>37</v>
      </c>
      <c r="H629" s="2">
        <v>1</v>
      </c>
      <c r="I629" s="2">
        <v>38</v>
      </c>
      <c r="J629" s="2" t="s">
        <v>38</v>
      </c>
      <c r="K629" s="2">
        <v>608</v>
      </c>
      <c r="L629" s="2">
        <v>39.1</v>
      </c>
      <c r="M629" s="2">
        <v>11552531</v>
      </c>
      <c r="N629" s="2">
        <v>6815313</v>
      </c>
      <c r="O629" s="2"/>
      <c r="P629" s="2"/>
      <c r="Q629">
        <f t="shared" si="18"/>
        <v>28668.532945214698</v>
      </c>
      <c r="R629">
        <f t="shared" si="19"/>
        <v>31200.12045199205</v>
      </c>
    </row>
    <row r="630" spans="1:18" ht="16" x14ac:dyDescent="0.4">
      <c r="A630" s="2">
        <v>198215</v>
      </c>
      <c r="B630" s="2" t="s">
        <v>675</v>
      </c>
      <c r="C630" s="2" t="s">
        <v>172</v>
      </c>
      <c r="D630" s="2">
        <v>1222</v>
      </c>
      <c r="E630" s="2">
        <v>53.2</v>
      </c>
      <c r="F630" s="2" t="s">
        <v>47</v>
      </c>
      <c r="G630" s="2" t="s">
        <v>37</v>
      </c>
      <c r="H630" s="2">
        <v>2</v>
      </c>
      <c r="I630" s="2">
        <v>37</v>
      </c>
      <c r="J630" s="2" t="s">
        <v>38</v>
      </c>
      <c r="K630" s="2">
        <v>638</v>
      </c>
      <c r="L630" s="2">
        <v>42.5</v>
      </c>
      <c r="M630" s="2">
        <v>4230147</v>
      </c>
      <c r="N630" s="2">
        <v>2883331</v>
      </c>
      <c r="O630" s="2"/>
      <c r="P630" s="2"/>
      <c r="Q630">
        <f t="shared" si="18"/>
        <v>10633.71196754564</v>
      </c>
      <c r="R630">
        <f t="shared" si="19"/>
        <v>11530.99904593158</v>
      </c>
    </row>
    <row r="631" spans="1:18" ht="16" x14ac:dyDescent="0.4">
      <c r="A631" s="2">
        <v>198303</v>
      </c>
      <c r="B631" s="2" t="s">
        <v>676</v>
      </c>
      <c r="C631" s="2" t="s">
        <v>172</v>
      </c>
      <c r="D631" s="2">
        <v>1243</v>
      </c>
      <c r="E631" s="2">
        <v>46.7</v>
      </c>
      <c r="F631" s="2" t="s">
        <v>47</v>
      </c>
      <c r="G631" s="2" t="s">
        <v>37</v>
      </c>
      <c r="H631" s="2">
        <v>2</v>
      </c>
      <c r="I631" s="2">
        <v>38</v>
      </c>
      <c r="J631" s="2" t="s">
        <v>38</v>
      </c>
      <c r="K631" s="2">
        <v>477</v>
      </c>
      <c r="L631" s="2">
        <v>34</v>
      </c>
      <c r="M631" s="2">
        <v>3192775</v>
      </c>
      <c r="N631" s="2">
        <v>1916052</v>
      </c>
      <c r="O631" s="2"/>
      <c r="P631" s="2"/>
      <c r="Q631">
        <f t="shared" si="18"/>
        <v>11814.354421013688</v>
      </c>
      <c r="R631">
        <f t="shared" si="19"/>
        <v>10141.588844419033</v>
      </c>
    </row>
    <row r="632" spans="1:18" ht="16" x14ac:dyDescent="0.4">
      <c r="A632" s="2">
        <v>198385</v>
      </c>
      <c r="B632" s="2" t="s">
        <v>677</v>
      </c>
      <c r="C632" s="2" t="s">
        <v>172</v>
      </c>
      <c r="D632" s="2">
        <v>1833</v>
      </c>
      <c r="E632" s="2">
        <v>49.4</v>
      </c>
      <c r="F632" s="2" t="s">
        <v>47</v>
      </c>
      <c r="G632" s="2" t="s">
        <v>37</v>
      </c>
      <c r="H632" s="2">
        <v>1</v>
      </c>
      <c r="I632" s="2">
        <v>38</v>
      </c>
      <c r="J632" s="2" t="s">
        <v>38</v>
      </c>
      <c r="K632" s="2">
        <v>611</v>
      </c>
      <c r="L632" s="2">
        <v>44</v>
      </c>
      <c r="M632" s="2">
        <v>8106889</v>
      </c>
      <c r="N632" s="2">
        <v>5095270</v>
      </c>
      <c r="O632" s="2"/>
      <c r="P632" s="2"/>
      <c r="Q632">
        <f t="shared" si="18"/>
        <v>18952.797202797203</v>
      </c>
      <c r="R632">
        <f t="shared" si="19"/>
        <v>23693.26923076923</v>
      </c>
    </row>
    <row r="633" spans="1:18" ht="16" x14ac:dyDescent="0.4">
      <c r="A633" s="2">
        <v>198419</v>
      </c>
      <c r="B633" s="2" t="s">
        <v>678</v>
      </c>
      <c r="C633" s="2" t="s">
        <v>172</v>
      </c>
      <c r="D633" s="2">
        <v>6526</v>
      </c>
      <c r="E633" s="2">
        <v>50.5</v>
      </c>
      <c r="F633" s="2" t="s">
        <v>47</v>
      </c>
      <c r="G633" s="2" t="s">
        <v>37</v>
      </c>
      <c r="H633" s="2">
        <v>1</v>
      </c>
      <c r="I633" s="2">
        <v>38</v>
      </c>
      <c r="J633" s="2" t="s">
        <v>38</v>
      </c>
      <c r="K633" s="2">
        <v>804</v>
      </c>
      <c r="L633" s="2">
        <v>43.9</v>
      </c>
      <c r="M633" s="2">
        <v>57114331</v>
      </c>
      <c r="N633" s="2">
        <v>25472405</v>
      </c>
      <c r="O633" s="2"/>
      <c r="P633" s="2"/>
      <c r="Q633">
        <f t="shared" si="18"/>
        <v>72168.783077777392</v>
      </c>
      <c r="R633">
        <f t="shared" si="19"/>
        <v>126626.96100602158</v>
      </c>
    </row>
    <row r="634" spans="1:18" ht="16" x14ac:dyDescent="0.4">
      <c r="A634" s="2">
        <v>198464</v>
      </c>
      <c r="B634" s="2" t="s">
        <v>679</v>
      </c>
      <c r="C634" s="2" t="s">
        <v>172</v>
      </c>
      <c r="D634" s="2">
        <v>19170</v>
      </c>
      <c r="E634" s="2">
        <v>56.5</v>
      </c>
      <c r="F634" s="2" t="s">
        <v>36</v>
      </c>
      <c r="G634" s="2" t="s">
        <v>37</v>
      </c>
      <c r="H634" s="2">
        <v>1</v>
      </c>
      <c r="I634" s="2">
        <v>11</v>
      </c>
      <c r="J634" s="2" t="s">
        <v>38</v>
      </c>
      <c r="K634" s="2">
        <v>553</v>
      </c>
      <c r="L634" s="2">
        <v>51</v>
      </c>
      <c r="M634" s="2">
        <v>19843426</v>
      </c>
      <c r="N634" s="2">
        <v>8461871</v>
      </c>
      <c r="O634" s="2"/>
      <c r="P634" s="2"/>
      <c r="Q634">
        <f t="shared" si="18"/>
        <v>30003.442896145796</v>
      </c>
      <c r="R634">
        <f t="shared" si="19"/>
        <v>73231.08093146843</v>
      </c>
    </row>
    <row r="635" spans="1:18" ht="16" x14ac:dyDescent="0.4">
      <c r="A635" s="2">
        <v>198507</v>
      </c>
      <c r="B635" s="2" t="s">
        <v>680</v>
      </c>
      <c r="C635" s="2" t="s">
        <v>172</v>
      </c>
      <c r="D635" s="2">
        <v>1516</v>
      </c>
      <c r="E635" s="2">
        <v>57.1</v>
      </c>
      <c r="F635" s="2" t="s">
        <v>36</v>
      </c>
      <c r="G635" s="2" t="s">
        <v>37</v>
      </c>
      <c r="H635" s="2">
        <v>2</v>
      </c>
      <c r="I635" s="2">
        <v>38</v>
      </c>
      <c r="J635" s="2" t="s">
        <v>38</v>
      </c>
      <c r="K635" s="2">
        <v>195</v>
      </c>
      <c r="L635" s="2">
        <v>32.299999999999997</v>
      </c>
      <c r="M635" s="2">
        <v>795474</v>
      </c>
      <c r="N635" s="2">
        <v>555587</v>
      </c>
      <c r="O635" s="2"/>
      <c r="P635" s="2"/>
      <c r="Q635">
        <f t="shared" si="18"/>
        <v>8820.9414940065108</v>
      </c>
      <c r="R635">
        <f t="shared" si="19"/>
        <v>6025.6334507442325</v>
      </c>
    </row>
    <row r="636" spans="1:18" ht="16" x14ac:dyDescent="0.4">
      <c r="A636" s="2">
        <v>198516</v>
      </c>
      <c r="B636" s="2" t="s">
        <v>681</v>
      </c>
      <c r="C636" s="2" t="s">
        <v>172</v>
      </c>
      <c r="D636" s="2">
        <v>6079</v>
      </c>
      <c r="E636" s="2">
        <v>60.6</v>
      </c>
      <c r="F636" s="2" t="s">
        <v>47</v>
      </c>
      <c r="G636" s="2" t="s">
        <v>37</v>
      </c>
      <c r="H636" s="2">
        <v>1</v>
      </c>
      <c r="I636" s="2">
        <v>38</v>
      </c>
      <c r="J636" s="2" t="s">
        <v>38</v>
      </c>
      <c r="K636" s="2">
        <v>475</v>
      </c>
      <c r="L636" s="2">
        <v>52.2</v>
      </c>
      <c r="M636" s="2">
        <v>11678289</v>
      </c>
      <c r="N636" s="2">
        <v>8089376</v>
      </c>
      <c r="O636" s="2"/>
      <c r="P636" s="2"/>
      <c r="Q636">
        <f t="shared" si="18"/>
        <v>32625.029239766081</v>
      </c>
      <c r="R636">
        <f t="shared" si="19"/>
        <v>51434.877780224626</v>
      </c>
    </row>
    <row r="637" spans="1:18" ht="16" x14ac:dyDescent="0.4">
      <c r="A637" s="2">
        <v>198543</v>
      </c>
      <c r="B637" s="2" t="s">
        <v>682</v>
      </c>
      <c r="C637" s="2" t="s">
        <v>172</v>
      </c>
      <c r="D637" s="2">
        <v>3901</v>
      </c>
      <c r="E637" s="2">
        <v>68.2</v>
      </c>
      <c r="F637" s="2" t="s">
        <v>36</v>
      </c>
      <c r="G637" s="2" t="s">
        <v>37</v>
      </c>
      <c r="H637" s="2">
        <v>2</v>
      </c>
      <c r="I637" s="2">
        <v>38</v>
      </c>
      <c r="J637" s="2" t="s">
        <v>38</v>
      </c>
      <c r="K637" s="2">
        <v>202</v>
      </c>
      <c r="L637" s="2">
        <v>54</v>
      </c>
      <c r="M637" s="2">
        <v>1531784</v>
      </c>
      <c r="N637" s="2">
        <v>1327926</v>
      </c>
      <c r="O637" s="2"/>
      <c r="P637" s="2"/>
      <c r="Q637">
        <f t="shared" si="18"/>
        <v>12173.872387238722</v>
      </c>
      <c r="R637">
        <f t="shared" si="19"/>
        <v>16484.976323719329</v>
      </c>
    </row>
    <row r="638" spans="1:18" ht="16" x14ac:dyDescent="0.4">
      <c r="A638" s="2">
        <v>198561</v>
      </c>
      <c r="B638" s="2" t="s">
        <v>683</v>
      </c>
      <c r="C638" s="2" t="s">
        <v>172</v>
      </c>
      <c r="D638" s="2">
        <v>1632</v>
      </c>
      <c r="E638" s="2">
        <v>61.6</v>
      </c>
      <c r="F638" s="2" t="s">
        <v>47</v>
      </c>
      <c r="G638" s="2" t="s">
        <v>37</v>
      </c>
      <c r="H638" s="2">
        <v>1</v>
      </c>
      <c r="I638" s="2">
        <v>35</v>
      </c>
      <c r="J638" s="2" t="s">
        <v>38</v>
      </c>
      <c r="K638" s="2">
        <v>549</v>
      </c>
      <c r="L638" s="2">
        <v>37.200000000000003</v>
      </c>
      <c r="M638" s="2">
        <v>7584242</v>
      </c>
      <c r="N638" s="2">
        <v>4749130</v>
      </c>
      <c r="O638" s="2"/>
      <c r="P638" s="2"/>
      <c r="Q638">
        <f t="shared" si="18"/>
        <v>23254.059188749823</v>
      </c>
      <c r="R638">
        <f t="shared" si="19"/>
        <v>21997.847853073916</v>
      </c>
    </row>
    <row r="639" spans="1:18" ht="16" x14ac:dyDescent="0.4">
      <c r="A639" s="2">
        <v>198598</v>
      </c>
      <c r="B639" s="2" t="s">
        <v>684</v>
      </c>
      <c r="C639" s="2" t="s">
        <v>172</v>
      </c>
      <c r="D639" s="2">
        <v>696</v>
      </c>
      <c r="E639" s="2">
        <v>44.7</v>
      </c>
      <c r="F639" s="2" t="s">
        <v>47</v>
      </c>
      <c r="G639" s="2" t="s">
        <v>37</v>
      </c>
      <c r="H639" s="2">
        <v>3</v>
      </c>
      <c r="I639" s="2">
        <v>12</v>
      </c>
      <c r="J639" s="2" t="s">
        <v>38</v>
      </c>
      <c r="K639" s="2">
        <v>416</v>
      </c>
      <c r="L639" s="2">
        <v>31</v>
      </c>
      <c r="M639" s="2">
        <v>869124</v>
      </c>
      <c r="N639" s="2">
        <v>449845</v>
      </c>
      <c r="O639" s="2"/>
      <c r="P639" s="2"/>
      <c r="Q639">
        <f t="shared" si="18"/>
        <v>3488.2521712158805</v>
      </c>
      <c r="R639">
        <f t="shared" si="19"/>
        <v>3027.8846153846152</v>
      </c>
    </row>
    <row r="640" spans="1:18" ht="16" x14ac:dyDescent="0.4">
      <c r="A640" s="2">
        <v>198613</v>
      </c>
      <c r="B640" s="2" t="s">
        <v>685</v>
      </c>
      <c r="C640" s="2" t="s">
        <v>172</v>
      </c>
      <c r="D640" s="2">
        <v>1266</v>
      </c>
      <c r="E640" s="2">
        <v>52.1</v>
      </c>
      <c r="F640" s="2" t="s">
        <v>47</v>
      </c>
      <c r="G640" s="2" t="s">
        <v>37</v>
      </c>
      <c r="H640" s="2">
        <v>3</v>
      </c>
      <c r="I640" s="2">
        <v>12</v>
      </c>
      <c r="J640" s="2" t="s">
        <v>38</v>
      </c>
      <c r="K640" s="2">
        <v>471</v>
      </c>
      <c r="L640" s="2">
        <v>37.4</v>
      </c>
      <c r="M640" s="2">
        <v>1239052</v>
      </c>
      <c r="N640" s="2">
        <v>796124</v>
      </c>
      <c r="O640" s="2"/>
      <c r="P640" s="2"/>
      <c r="Q640">
        <f t="shared" si="18"/>
        <v>4519.4772755656986</v>
      </c>
      <c r="R640">
        <f t="shared" si="19"/>
        <v>4202.3700508061838</v>
      </c>
    </row>
    <row r="641" spans="1:18" ht="16" x14ac:dyDescent="0.4">
      <c r="A641" s="2">
        <v>198695</v>
      </c>
      <c r="B641" s="2" t="s">
        <v>686</v>
      </c>
      <c r="C641" s="2" t="s">
        <v>172</v>
      </c>
      <c r="D641" s="2">
        <v>4530</v>
      </c>
      <c r="E641" s="2">
        <v>56.5</v>
      </c>
      <c r="F641" s="2" t="s">
        <v>47</v>
      </c>
      <c r="G641" s="2" t="s">
        <v>37</v>
      </c>
      <c r="H641" s="2">
        <v>1</v>
      </c>
      <c r="I641" s="2">
        <v>38</v>
      </c>
      <c r="J641" s="2" t="s">
        <v>41</v>
      </c>
      <c r="K641" s="2">
        <v>505</v>
      </c>
      <c r="L641" s="2">
        <v>42.4</v>
      </c>
      <c r="M641" s="2">
        <v>7118447</v>
      </c>
      <c r="N641" s="2">
        <v>5190745</v>
      </c>
      <c r="O641" s="2"/>
      <c r="P641" s="2"/>
      <c r="Q641">
        <f t="shared" si="18"/>
        <v>24242.223986549598</v>
      </c>
      <c r="R641">
        <f t="shared" si="19"/>
        <v>24472.108773377335</v>
      </c>
    </row>
    <row r="642" spans="1:18" ht="16" x14ac:dyDescent="0.4">
      <c r="A642" s="2">
        <v>198756</v>
      </c>
      <c r="B642" s="2" t="s">
        <v>687</v>
      </c>
      <c r="C642" s="2" t="s">
        <v>172</v>
      </c>
      <c r="D642" s="2">
        <v>1359</v>
      </c>
      <c r="E642" s="2">
        <v>60.4</v>
      </c>
      <c r="F642" s="2" t="s">
        <v>47</v>
      </c>
      <c r="G642" s="2" t="s">
        <v>37</v>
      </c>
      <c r="H642" s="2">
        <v>2</v>
      </c>
      <c r="I642" s="2">
        <v>38</v>
      </c>
      <c r="J642" s="2" t="s">
        <v>38</v>
      </c>
      <c r="K642" s="2">
        <v>275</v>
      </c>
      <c r="L642" s="2">
        <v>36.700000000000003</v>
      </c>
      <c r="M642" s="2">
        <v>1724330</v>
      </c>
      <c r="N642" s="2">
        <v>1228652</v>
      </c>
      <c r="O642" s="2"/>
      <c r="P642" s="2"/>
      <c r="Q642">
        <f t="shared" si="18"/>
        <v>12173.911320287341</v>
      </c>
      <c r="R642">
        <f t="shared" si="19"/>
        <v>9905.6728421657335</v>
      </c>
    </row>
    <row r="643" spans="1:18" ht="16" x14ac:dyDescent="0.4">
      <c r="A643" s="2">
        <v>198808</v>
      </c>
      <c r="B643" s="2" t="s">
        <v>688</v>
      </c>
      <c r="C643" s="2" t="s">
        <v>172</v>
      </c>
      <c r="D643" s="2">
        <v>794</v>
      </c>
      <c r="E643" s="2">
        <v>67.3</v>
      </c>
      <c r="F643" s="2" t="s">
        <v>47</v>
      </c>
      <c r="G643" s="2" t="s">
        <v>37</v>
      </c>
      <c r="H643" s="2">
        <v>2</v>
      </c>
      <c r="I643" s="2">
        <v>10</v>
      </c>
      <c r="J643" s="2" t="s">
        <v>41</v>
      </c>
      <c r="K643" s="2">
        <v>321</v>
      </c>
      <c r="L643" s="2">
        <v>49.2</v>
      </c>
      <c r="M643" s="2">
        <v>1590703</v>
      </c>
      <c r="N643" s="2">
        <v>1565667</v>
      </c>
      <c r="O643" s="2"/>
      <c r="P643" s="2"/>
      <c r="Q643">
        <f t="shared" ref="Q643:Q706" si="20">N643/(K643*(0.01*L643))</f>
        <v>9913.5514018691574</v>
      </c>
      <c r="R643">
        <f t="shared" ref="R643:R706" si="21">M643/(K643*(0.01*(100-L643)))</f>
        <v>9754.8446047047855</v>
      </c>
    </row>
    <row r="644" spans="1:18" ht="16" x14ac:dyDescent="0.4">
      <c r="A644" s="2">
        <v>198835</v>
      </c>
      <c r="B644" s="2" t="s">
        <v>689</v>
      </c>
      <c r="C644" s="2" t="s">
        <v>172</v>
      </c>
      <c r="D644" s="2">
        <v>1575</v>
      </c>
      <c r="E644" s="2">
        <v>56.8</v>
      </c>
      <c r="F644" s="2" t="s">
        <v>47</v>
      </c>
      <c r="G644" s="2" t="s">
        <v>37</v>
      </c>
      <c r="H644" s="2">
        <v>2</v>
      </c>
      <c r="I644" s="2">
        <v>36</v>
      </c>
      <c r="J644" s="2" t="s">
        <v>38</v>
      </c>
      <c r="K644" s="2">
        <v>661</v>
      </c>
      <c r="L644" s="2">
        <v>35.200000000000003</v>
      </c>
      <c r="M644" s="2">
        <v>5856286</v>
      </c>
      <c r="N644" s="2">
        <v>3579371</v>
      </c>
      <c r="O644" s="2"/>
      <c r="P644" s="2"/>
      <c r="Q644">
        <f t="shared" si="20"/>
        <v>15383.76340943474</v>
      </c>
      <c r="R644">
        <f t="shared" si="21"/>
        <v>13672.433275433779</v>
      </c>
    </row>
    <row r="645" spans="1:18" ht="16" x14ac:dyDescent="0.4">
      <c r="A645" s="2">
        <v>198862</v>
      </c>
      <c r="B645" s="2" t="s">
        <v>690</v>
      </c>
      <c r="C645" s="2" t="s">
        <v>172</v>
      </c>
      <c r="D645" s="2">
        <v>1103</v>
      </c>
      <c r="E645" s="2">
        <v>49.2</v>
      </c>
      <c r="F645" s="2" t="s">
        <v>47</v>
      </c>
      <c r="G645" s="2" t="s">
        <v>37</v>
      </c>
      <c r="H645" s="2">
        <v>2</v>
      </c>
      <c r="I645" s="2">
        <v>11</v>
      </c>
      <c r="J645" s="2" t="s">
        <v>38</v>
      </c>
      <c r="K645" s="2">
        <v>274</v>
      </c>
      <c r="L645" s="2">
        <v>36.5</v>
      </c>
      <c r="M645" s="2">
        <v>1663321</v>
      </c>
      <c r="N645" s="2">
        <v>748019</v>
      </c>
      <c r="O645" s="2"/>
      <c r="P645" s="2"/>
      <c r="Q645">
        <f t="shared" si="20"/>
        <v>7479.4420557944213</v>
      </c>
      <c r="R645">
        <f t="shared" si="21"/>
        <v>9559.8655095120412</v>
      </c>
    </row>
    <row r="646" spans="1:18" ht="16" x14ac:dyDescent="0.4">
      <c r="A646" s="2">
        <v>198899</v>
      </c>
      <c r="B646" s="2" t="s">
        <v>691</v>
      </c>
      <c r="C646" s="2" t="s">
        <v>172</v>
      </c>
      <c r="D646" s="2">
        <v>985</v>
      </c>
      <c r="E646" s="2">
        <v>53.4</v>
      </c>
      <c r="F646" s="2" t="s">
        <v>47</v>
      </c>
      <c r="G646" s="2" t="s">
        <v>37</v>
      </c>
      <c r="H646" s="2">
        <v>2</v>
      </c>
      <c r="I646" s="2">
        <v>11</v>
      </c>
      <c r="J646" s="2" t="s">
        <v>38</v>
      </c>
      <c r="K646" s="2">
        <v>526</v>
      </c>
      <c r="L646" s="2">
        <v>34</v>
      </c>
      <c r="M646" s="2">
        <v>2981049</v>
      </c>
      <c r="N646" s="2">
        <v>1620295</v>
      </c>
      <c r="O646" s="2"/>
      <c r="P646" s="2"/>
      <c r="Q646">
        <f t="shared" si="20"/>
        <v>9060.0257213151417</v>
      </c>
      <c r="R646">
        <f t="shared" si="21"/>
        <v>8586.9599032146562</v>
      </c>
    </row>
    <row r="647" spans="1:18" ht="16" x14ac:dyDescent="0.4">
      <c r="A647" s="2">
        <v>198969</v>
      </c>
      <c r="B647" s="2" t="s">
        <v>692</v>
      </c>
      <c r="C647" s="2" t="s">
        <v>172</v>
      </c>
      <c r="D647" s="2">
        <v>1495</v>
      </c>
      <c r="E647" s="2">
        <v>46.4</v>
      </c>
      <c r="F647" s="2" t="s">
        <v>47</v>
      </c>
      <c r="G647" s="2" t="s">
        <v>37</v>
      </c>
      <c r="H647" s="2">
        <v>3</v>
      </c>
      <c r="I647" s="2">
        <v>38</v>
      </c>
      <c r="J647" s="2" t="s">
        <v>38</v>
      </c>
      <c r="K647" s="2">
        <v>592</v>
      </c>
      <c r="L647" s="2">
        <v>29.2</v>
      </c>
      <c r="M647" s="2">
        <v>1549511</v>
      </c>
      <c r="N647" s="2">
        <v>795053</v>
      </c>
      <c r="O647" s="2"/>
      <c r="P647" s="2"/>
      <c r="Q647">
        <f t="shared" si="20"/>
        <v>4599.2977138097003</v>
      </c>
      <c r="R647">
        <f t="shared" si="21"/>
        <v>3696.9169911436866</v>
      </c>
    </row>
    <row r="648" spans="1:18" ht="16" x14ac:dyDescent="0.4">
      <c r="A648" s="2">
        <v>199069</v>
      </c>
      <c r="B648" s="2" t="s">
        <v>693</v>
      </c>
      <c r="C648" s="2" t="s">
        <v>172</v>
      </c>
      <c r="D648" s="2">
        <v>1488</v>
      </c>
      <c r="E648" s="2">
        <v>61.2</v>
      </c>
      <c r="F648" s="2" t="s">
        <v>47</v>
      </c>
      <c r="G648" s="2" t="s">
        <v>37</v>
      </c>
      <c r="H648" s="2">
        <v>2</v>
      </c>
      <c r="I648" s="2">
        <v>38</v>
      </c>
      <c r="J648" s="2" t="s">
        <v>41</v>
      </c>
      <c r="K648" s="2">
        <v>577</v>
      </c>
      <c r="L648" s="2">
        <v>43.5</v>
      </c>
      <c r="M648" s="2">
        <v>2855378</v>
      </c>
      <c r="N648" s="2">
        <v>2862541</v>
      </c>
      <c r="O648" s="2"/>
      <c r="P648" s="2"/>
      <c r="Q648">
        <f t="shared" si="20"/>
        <v>11404.773003446284</v>
      </c>
      <c r="R648">
        <f t="shared" si="21"/>
        <v>8758.6938850631104</v>
      </c>
    </row>
    <row r="649" spans="1:18" ht="16" x14ac:dyDescent="0.4">
      <c r="A649" s="2">
        <v>199102</v>
      </c>
      <c r="B649" s="2" t="s">
        <v>694</v>
      </c>
      <c r="C649" s="2" t="s">
        <v>172</v>
      </c>
      <c r="D649" s="2">
        <v>9926</v>
      </c>
      <c r="E649" s="2">
        <v>59.1</v>
      </c>
      <c r="F649" s="2" t="s">
        <v>36</v>
      </c>
      <c r="G649" s="2" t="s">
        <v>37</v>
      </c>
      <c r="H649" s="2">
        <v>1</v>
      </c>
      <c r="I649" s="2">
        <v>38</v>
      </c>
      <c r="J649" s="2" t="s">
        <v>38</v>
      </c>
      <c r="K649" s="2">
        <v>422</v>
      </c>
      <c r="L649" s="2">
        <v>38.200000000000003</v>
      </c>
      <c r="M649" s="2">
        <v>7047348</v>
      </c>
      <c r="N649" s="2">
        <v>4053800</v>
      </c>
      <c r="O649" s="2"/>
      <c r="P649" s="2"/>
      <c r="Q649">
        <f t="shared" si="20"/>
        <v>25147.018684399885</v>
      </c>
      <c r="R649">
        <f t="shared" si="21"/>
        <v>27022.454332121659</v>
      </c>
    </row>
    <row r="650" spans="1:18" ht="16" x14ac:dyDescent="0.4">
      <c r="A650" s="2">
        <v>199111</v>
      </c>
      <c r="B650" s="2" t="s">
        <v>695</v>
      </c>
      <c r="C650" s="2" t="s">
        <v>172</v>
      </c>
      <c r="D650" s="2">
        <v>2990</v>
      </c>
      <c r="E650" s="2">
        <v>58.3</v>
      </c>
      <c r="F650" s="2" t="s">
        <v>36</v>
      </c>
      <c r="G650" s="2" t="s">
        <v>37</v>
      </c>
      <c r="H650" s="2">
        <v>1</v>
      </c>
      <c r="I650" s="2">
        <v>38</v>
      </c>
      <c r="J650" s="2" t="s">
        <v>41</v>
      </c>
      <c r="K650" s="2">
        <v>325</v>
      </c>
      <c r="L650" s="2">
        <v>49.8</v>
      </c>
      <c r="M650" s="2">
        <v>3226102</v>
      </c>
      <c r="N650" s="2">
        <v>3121662</v>
      </c>
      <c r="O650" s="2"/>
      <c r="P650" s="2"/>
      <c r="Q650">
        <f t="shared" si="20"/>
        <v>19287.37720111214</v>
      </c>
      <c r="R650">
        <f t="shared" si="21"/>
        <v>19773.840024517314</v>
      </c>
    </row>
    <row r="651" spans="1:18" ht="16" x14ac:dyDescent="0.4">
      <c r="A651" s="2">
        <v>199120</v>
      </c>
      <c r="B651" s="2" t="s">
        <v>696</v>
      </c>
      <c r="C651" s="2" t="s">
        <v>172</v>
      </c>
      <c r="D651" s="2">
        <v>18516</v>
      </c>
      <c r="E651" s="2">
        <v>59.9</v>
      </c>
      <c r="F651" s="2" t="s">
        <v>36</v>
      </c>
      <c r="G651" s="2" t="s">
        <v>37</v>
      </c>
      <c r="H651" s="2">
        <v>1</v>
      </c>
      <c r="I651" s="2">
        <v>38</v>
      </c>
      <c r="J651" s="2" t="s">
        <v>38</v>
      </c>
      <c r="K651" s="2">
        <v>986</v>
      </c>
      <c r="L651" s="2">
        <v>45.5</v>
      </c>
      <c r="M651" s="2">
        <v>50996455</v>
      </c>
      <c r="N651" s="2">
        <v>18372396</v>
      </c>
      <c r="O651" s="2"/>
      <c r="P651" s="2"/>
      <c r="Q651">
        <f t="shared" si="20"/>
        <v>40952.223435793414</v>
      </c>
      <c r="R651">
        <f t="shared" si="21"/>
        <v>94900.078158438322</v>
      </c>
    </row>
    <row r="652" spans="1:18" ht="16" x14ac:dyDescent="0.4">
      <c r="A652" s="2">
        <v>199139</v>
      </c>
      <c r="B652" s="2" t="s">
        <v>697</v>
      </c>
      <c r="C652" s="2" t="s">
        <v>172</v>
      </c>
      <c r="D652" s="2">
        <v>20802</v>
      </c>
      <c r="E652" s="2">
        <v>46.6</v>
      </c>
      <c r="F652" s="2" t="s">
        <v>36</v>
      </c>
      <c r="G652" s="2" t="s">
        <v>37</v>
      </c>
      <c r="H652" s="2">
        <v>1</v>
      </c>
      <c r="I652" s="2">
        <v>38</v>
      </c>
      <c r="J652" s="2" t="s">
        <v>38</v>
      </c>
      <c r="K652" s="2">
        <v>598</v>
      </c>
      <c r="L652" s="2">
        <v>37.799999999999997</v>
      </c>
      <c r="M652" s="2">
        <v>17756920</v>
      </c>
      <c r="N652" s="2">
        <v>6071762</v>
      </c>
      <c r="O652" s="2"/>
      <c r="P652" s="2"/>
      <c r="Q652">
        <f t="shared" si="20"/>
        <v>26860.97396966962</v>
      </c>
      <c r="R652">
        <f t="shared" si="21"/>
        <v>47739.302498144942</v>
      </c>
    </row>
    <row r="653" spans="1:18" ht="16" x14ac:dyDescent="0.4">
      <c r="A653" s="2">
        <v>199148</v>
      </c>
      <c r="B653" s="2" t="s">
        <v>698</v>
      </c>
      <c r="C653" s="2" t="s">
        <v>172</v>
      </c>
      <c r="D653" s="2">
        <v>13875</v>
      </c>
      <c r="E653" s="2">
        <v>66.599999999999994</v>
      </c>
      <c r="F653" s="2" t="s">
        <v>36</v>
      </c>
      <c r="G653" s="2" t="s">
        <v>37</v>
      </c>
      <c r="H653" s="2">
        <v>1</v>
      </c>
      <c r="I653" s="2">
        <v>38</v>
      </c>
      <c r="J653" s="2" t="s">
        <v>41</v>
      </c>
      <c r="K653" s="2">
        <v>323</v>
      </c>
      <c r="L653" s="2">
        <v>50.5</v>
      </c>
      <c r="M653" s="2">
        <v>4884771</v>
      </c>
      <c r="N653" s="2">
        <v>4344544</v>
      </c>
      <c r="O653" s="2"/>
      <c r="P653" s="2"/>
      <c r="Q653">
        <f t="shared" si="20"/>
        <v>26634.852711277319</v>
      </c>
      <c r="R653">
        <f t="shared" si="21"/>
        <v>30551.777840322735</v>
      </c>
    </row>
    <row r="654" spans="1:18" ht="16" x14ac:dyDescent="0.4">
      <c r="A654" s="2">
        <v>199157</v>
      </c>
      <c r="B654" s="2" t="s">
        <v>699</v>
      </c>
      <c r="C654" s="2" t="s">
        <v>172</v>
      </c>
      <c r="D654" s="2">
        <v>4866</v>
      </c>
      <c r="E654" s="2">
        <v>68.2</v>
      </c>
      <c r="F654" s="2" t="s">
        <v>36</v>
      </c>
      <c r="G654" s="2" t="s">
        <v>37</v>
      </c>
      <c r="H654" s="2">
        <v>1</v>
      </c>
      <c r="I654" s="2">
        <v>8</v>
      </c>
      <c r="J654" s="2" t="s">
        <v>38</v>
      </c>
      <c r="K654" s="2">
        <v>392</v>
      </c>
      <c r="L654" s="2">
        <v>31.6</v>
      </c>
      <c r="M654" s="2">
        <v>7708209</v>
      </c>
      <c r="N654" s="2">
        <v>3432533</v>
      </c>
      <c r="O654" s="2"/>
      <c r="P654" s="2"/>
      <c r="Q654">
        <f t="shared" si="20"/>
        <v>27710.321945233791</v>
      </c>
      <c r="R654">
        <f t="shared" si="21"/>
        <v>28748.243376297884</v>
      </c>
    </row>
    <row r="655" spans="1:18" ht="16" x14ac:dyDescent="0.4">
      <c r="A655" s="2">
        <v>199193</v>
      </c>
      <c r="B655" s="2" t="s">
        <v>700</v>
      </c>
      <c r="C655" s="2" t="s">
        <v>172</v>
      </c>
      <c r="D655" s="2">
        <v>22622</v>
      </c>
      <c r="E655" s="2">
        <v>47.9</v>
      </c>
      <c r="F655" s="2" t="s">
        <v>36</v>
      </c>
      <c r="G655" s="2" t="s">
        <v>37</v>
      </c>
      <c r="H655" s="2">
        <v>1</v>
      </c>
      <c r="I655" s="2">
        <v>38</v>
      </c>
      <c r="J655" s="2" t="s">
        <v>38</v>
      </c>
      <c r="K655" s="2">
        <v>560</v>
      </c>
      <c r="L655" s="2">
        <v>41.4</v>
      </c>
      <c r="M655" s="2">
        <v>42739367</v>
      </c>
      <c r="N655" s="2">
        <v>14180717</v>
      </c>
      <c r="O655" s="2"/>
      <c r="P655" s="2"/>
      <c r="Q655">
        <f t="shared" si="20"/>
        <v>61165.963595583169</v>
      </c>
      <c r="R655">
        <f t="shared" si="21"/>
        <v>130239.41674792783</v>
      </c>
    </row>
    <row r="656" spans="1:18" ht="16" x14ac:dyDescent="0.4">
      <c r="A656" s="2">
        <v>199209</v>
      </c>
      <c r="B656" s="2" t="s">
        <v>701</v>
      </c>
      <c r="C656" s="2" t="s">
        <v>172</v>
      </c>
      <c r="D656" s="2">
        <v>1600</v>
      </c>
      <c r="E656" s="2">
        <v>55.9</v>
      </c>
      <c r="F656" s="2" t="s">
        <v>47</v>
      </c>
      <c r="G656" s="2" t="s">
        <v>37</v>
      </c>
      <c r="H656" s="2">
        <v>3</v>
      </c>
      <c r="I656" s="2">
        <v>11</v>
      </c>
      <c r="J656" s="2" t="s">
        <v>38</v>
      </c>
      <c r="K656" s="2">
        <v>456</v>
      </c>
      <c r="L656" s="2">
        <v>27</v>
      </c>
      <c r="M656" s="2">
        <v>1206289</v>
      </c>
      <c r="N656" s="2">
        <v>593368</v>
      </c>
      <c r="O656" s="2"/>
      <c r="P656" s="2"/>
      <c r="Q656">
        <f t="shared" si="20"/>
        <v>4819.4282001299543</v>
      </c>
      <c r="R656">
        <f t="shared" si="21"/>
        <v>3623.7953616919012</v>
      </c>
    </row>
    <row r="657" spans="1:18" ht="16" x14ac:dyDescent="0.4">
      <c r="A657" s="2">
        <v>199218</v>
      </c>
      <c r="B657" s="2" t="s">
        <v>702</v>
      </c>
      <c r="C657" s="2" t="s">
        <v>172</v>
      </c>
      <c r="D657" s="2">
        <v>12283</v>
      </c>
      <c r="E657" s="2">
        <v>61</v>
      </c>
      <c r="F657" s="2" t="s">
        <v>36</v>
      </c>
      <c r="G657" s="2" t="s">
        <v>37</v>
      </c>
      <c r="H657" s="2">
        <v>1</v>
      </c>
      <c r="I657" s="2">
        <v>38</v>
      </c>
      <c r="J657" s="2" t="s">
        <v>41</v>
      </c>
      <c r="K657" s="2">
        <v>382</v>
      </c>
      <c r="L657" s="2">
        <v>59.2</v>
      </c>
      <c r="M657" s="2">
        <v>5580441</v>
      </c>
      <c r="N657" s="2">
        <v>4328204</v>
      </c>
      <c r="O657" s="2"/>
      <c r="P657" s="2"/>
      <c r="Q657">
        <f t="shared" si="20"/>
        <v>19139.150275930377</v>
      </c>
      <c r="R657">
        <f t="shared" si="21"/>
        <v>35805.108561749308</v>
      </c>
    </row>
    <row r="658" spans="1:18" ht="16" x14ac:dyDescent="0.4">
      <c r="A658" s="2">
        <v>199272</v>
      </c>
      <c r="B658" s="2" t="s">
        <v>703</v>
      </c>
      <c r="C658" s="2" t="s">
        <v>172</v>
      </c>
      <c r="D658" s="2">
        <v>777</v>
      </c>
      <c r="E658" s="2">
        <v>50.8</v>
      </c>
      <c r="F658" s="2" t="s">
        <v>47</v>
      </c>
      <c r="G658" s="2" t="s">
        <v>37</v>
      </c>
      <c r="H658" s="2">
        <v>3</v>
      </c>
      <c r="I658" s="2">
        <v>12</v>
      </c>
      <c r="J658" s="2" t="s">
        <v>41</v>
      </c>
      <c r="K658" s="2">
        <v>315</v>
      </c>
      <c r="L658" s="2">
        <v>42.5</v>
      </c>
      <c r="M658" s="2">
        <v>564548</v>
      </c>
      <c r="N658" s="2">
        <v>571727</v>
      </c>
      <c r="O658" s="2"/>
      <c r="P658" s="2"/>
      <c r="Q658">
        <f t="shared" si="20"/>
        <v>4270.6031746031749</v>
      </c>
      <c r="R658">
        <f t="shared" si="21"/>
        <v>3116.8971704623873</v>
      </c>
    </row>
    <row r="659" spans="1:18" ht="16" x14ac:dyDescent="0.4">
      <c r="A659" s="2">
        <v>199281</v>
      </c>
      <c r="B659" s="2" t="s">
        <v>704</v>
      </c>
      <c r="C659" s="2" t="s">
        <v>172</v>
      </c>
      <c r="D659" s="2">
        <v>5097</v>
      </c>
      <c r="E659" s="2">
        <v>60.2</v>
      </c>
      <c r="F659" s="2" t="s">
        <v>36</v>
      </c>
      <c r="G659" s="2" t="s">
        <v>37</v>
      </c>
      <c r="H659" s="2">
        <v>2</v>
      </c>
      <c r="I659" s="2">
        <v>38</v>
      </c>
      <c r="J659" s="2" t="s">
        <v>38</v>
      </c>
      <c r="K659" s="2">
        <v>502</v>
      </c>
      <c r="L659" s="2">
        <v>38.4</v>
      </c>
      <c r="M659" s="2">
        <v>1917756</v>
      </c>
      <c r="N659" s="2">
        <v>1201331</v>
      </c>
      <c r="O659" s="2"/>
      <c r="P659" s="2"/>
      <c r="Q659">
        <f t="shared" si="20"/>
        <v>6232.0042745683932</v>
      </c>
      <c r="R659">
        <f t="shared" si="21"/>
        <v>6201.6738241837847</v>
      </c>
    </row>
    <row r="660" spans="1:18" ht="16" x14ac:dyDescent="0.4">
      <c r="A660" s="2">
        <v>199306</v>
      </c>
      <c r="B660" s="2" t="s">
        <v>705</v>
      </c>
      <c r="C660" s="2" t="s">
        <v>172</v>
      </c>
      <c r="D660" s="2">
        <v>837</v>
      </c>
      <c r="E660" s="2">
        <v>58.1</v>
      </c>
      <c r="F660" s="2" t="s">
        <v>47</v>
      </c>
      <c r="G660" s="2" t="s">
        <v>37</v>
      </c>
      <c r="H660" s="2">
        <v>3</v>
      </c>
      <c r="I660" s="2">
        <v>13</v>
      </c>
      <c r="J660" s="2" t="s">
        <v>41</v>
      </c>
      <c r="K660" s="2">
        <v>379</v>
      </c>
      <c r="L660" s="2">
        <v>44.1</v>
      </c>
      <c r="M660" s="2">
        <v>605710</v>
      </c>
      <c r="N660" s="2">
        <v>804421</v>
      </c>
      <c r="O660" s="2"/>
      <c r="P660" s="2"/>
      <c r="Q660">
        <f t="shared" si="20"/>
        <v>4812.8862802816811</v>
      </c>
      <c r="R660">
        <f t="shared" si="21"/>
        <v>2858.9971726745362</v>
      </c>
    </row>
    <row r="661" spans="1:18" ht="16" x14ac:dyDescent="0.4">
      <c r="A661" s="2">
        <v>199412</v>
      </c>
      <c r="B661" s="2" t="s">
        <v>706</v>
      </c>
      <c r="C661" s="2" t="s">
        <v>172</v>
      </c>
      <c r="D661" s="2">
        <v>1554</v>
      </c>
      <c r="E661" s="2">
        <v>66.2</v>
      </c>
      <c r="F661" s="2" t="s">
        <v>47</v>
      </c>
      <c r="G661" s="2" t="s">
        <v>37</v>
      </c>
      <c r="H661" s="2">
        <v>2</v>
      </c>
      <c r="I661" s="2">
        <v>13</v>
      </c>
      <c r="J661" s="2" t="s">
        <v>41</v>
      </c>
      <c r="K661" s="2">
        <v>654</v>
      </c>
      <c r="L661" s="2">
        <v>48.5</v>
      </c>
      <c r="M661" s="2">
        <v>5744391</v>
      </c>
      <c r="N661" s="2">
        <v>6009778</v>
      </c>
      <c r="O661" s="2"/>
      <c r="P661" s="2"/>
      <c r="Q661">
        <f t="shared" si="20"/>
        <v>18946.934014313189</v>
      </c>
      <c r="R661">
        <f t="shared" si="21"/>
        <v>17055.286363231495</v>
      </c>
    </row>
    <row r="662" spans="1:18" ht="16" x14ac:dyDescent="0.4">
      <c r="A662" s="2">
        <v>199582</v>
      </c>
      <c r="B662" s="2" t="s">
        <v>707</v>
      </c>
      <c r="C662" s="2" t="s">
        <v>172</v>
      </c>
      <c r="D662" s="2">
        <v>862</v>
      </c>
      <c r="E662" s="2">
        <v>44.7</v>
      </c>
      <c r="F662" s="2" t="s">
        <v>47</v>
      </c>
      <c r="G662" s="2" t="s">
        <v>37</v>
      </c>
      <c r="H662" s="2">
        <v>2</v>
      </c>
      <c r="I662" s="2">
        <v>36</v>
      </c>
      <c r="J662" s="2" t="s">
        <v>38</v>
      </c>
      <c r="K662" s="2">
        <v>181</v>
      </c>
      <c r="L662" s="2">
        <v>34.799999999999997</v>
      </c>
      <c r="M662" s="2">
        <v>965327</v>
      </c>
      <c r="N662" s="2">
        <v>501035</v>
      </c>
      <c r="O662" s="2"/>
      <c r="P662" s="2"/>
      <c r="Q662">
        <f t="shared" si="20"/>
        <v>7954.4516415825246</v>
      </c>
      <c r="R662">
        <f t="shared" si="21"/>
        <v>8179.9054333457616</v>
      </c>
    </row>
    <row r="663" spans="1:18" ht="16" x14ac:dyDescent="0.4">
      <c r="A663" s="2">
        <v>199643</v>
      </c>
      <c r="B663" s="2" t="s">
        <v>708</v>
      </c>
      <c r="C663" s="2" t="s">
        <v>172</v>
      </c>
      <c r="D663" s="2">
        <v>1082</v>
      </c>
      <c r="E663" s="2">
        <v>58.7</v>
      </c>
      <c r="F663" s="2" t="s">
        <v>47</v>
      </c>
      <c r="G663" s="2" t="s">
        <v>37</v>
      </c>
      <c r="H663" s="2">
        <v>2</v>
      </c>
      <c r="I663" s="2">
        <v>9</v>
      </c>
      <c r="J663" s="2" t="s">
        <v>38</v>
      </c>
      <c r="K663" s="2">
        <v>241</v>
      </c>
      <c r="L663" s="2">
        <v>41.5</v>
      </c>
      <c r="M663" s="2">
        <v>2353649</v>
      </c>
      <c r="N663" s="2">
        <v>1757569</v>
      </c>
      <c r="O663" s="2"/>
      <c r="P663" s="2"/>
      <c r="Q663">
        <f t="shared" si="20"/>
        <v>17573.054041893713</v>
      </c>
      <c r="R663">
        <f t="shared" si="21"/>
        <v>16694.322091002592</v>
      </c>
    </row>
    <row r="664" spans="1:18" ht="16" x14ac:dyDescent="0.4">
      <c r="A664" s="2">
        <v>199847</v>
      </c>
      <c r="B664" s="2" t="s">
        <v>709</v>
      </c>
      <c r="C664" s="2" t="s">
        <v>172</v>
      </c>
      <c r="D664" s="2">
        <v>5239</v>
      </c>
      <c r="E664" s="2">
        <v>53.3</v>
      </c>
      <c r="F664" s="2" t="s">
        <v>47</v>
      </c>
      <c r="G664" s="2" t="s">
        <v>37</v>
      </c>
      <c r="H664" s="2">
        <v>1</v>
      </c>
      <c r="I664" s="2">
        <v>38</v>
      </c>
      <c r="J664" s="2" t="s">
        <v>38</v>
      </c>
      <c r="K664" s="2">
        <v>507</v>
      </c>
      <c r="L664" s="2">
        <v>39.1</v>
      </c>
      <c r="M664" s="2">
        <v>41406984</v>
      </c>
      <c r="N664" s="2">
        <v>12601052</v>
      </c>
      <c r="O664" s="2"/>
      <c r="P664" s="2"/>
      <c r="Q664">
        <f t="shared" si="20"/>
        <v>63565.590681860602</v>
      </c>
      <c r="R664">
        <f t="shared" si="21"/>
        <v>134106.04249861545</v>
      </c>
    </row>
    <row r="665" spans="1:18" ht="16" x14ac:dyDescent="0.4">
      <c r="A665" s="2">
        <v>199962</v>
      </c>
      <c r="B665" s="2" t="s">
        <v>710</v>
      </c>
      <c r="C665" s="2" t="s">
        <v>172</v>
      </c>
      <c r="D665" s="2">
        <v>2706</v>
      </c>
      <c r="E665" s="2">
        <v>60.9</v>
      </c>
      <c r="F665" s="2" t="s">
        <v>47</v>
      </c>
      <c r="G665" s="2" t="s">
        <v>37</v>
      </c>
      <c r="H665" s="2">
        <v>2</v>
      </c>
      <c r="I665" s="2">
        <v>38</v>
      </c>
      <c r="J665" s="2" t="s">
        <v>38</v>
      </c>
      <c r="K665" s="2">
        <v>774</v>
      </c>
      <c r="L665" s="2">
        <v>34.799999999999997</v>
      </c>
      <c r="M665" s="2">
        <v>5266156</v>
      </c>
      <c r="N665" s="2">
        <v>3839899</v>
      </c>
      <c r="O665" s="2"/>
      <c r="P665" s="2"/>
      <c r="Q665">
        <f t="shared" si="20"/>
        <v>14256.06269862485</v>
      </c>
      <c r="R665">
        <f t="shared" si="21"/>
        <v>10435.305400992374</v>
      </c>
    </row>
    <row r="666" spans="1:18" ht="16" x14ac:dyDescent="0.4">
      <c r="A666" s="2">
        <v>199999</v>
      </c>
      <c r="B666" s="2" t="s">
        <v>711</v>
      </c>
      <c r="C666" s="2" t="s">
        <v>172</v>
      </c>
      <c r="D666" s="2">
        <v>4050</v>
      </c>
      <c r="E666" s="2">
        <v>72.099999999999994</v>
      </c>
      <c r="F666" s="2" t="s">
        <v>36</v>
      </c>
      <c r="G666" s="2" t="s">
        <v>37</v>
      </c>
      <c r="H666" s="2">
        <v>2</v>
      </c>
      <c r="I666" s="2">
        <v>38</v>
      </c>
      <c r="J666" s="2" t="s">
        <v>38</v>
      </c>
      <c r="K666" s="2">
        <v>227</v>
      </c>
      <c r="L666" s="2">
        <v>52</v>
      </c>
      <c r="M666" s="2">
        <v>1524483</v>
      </c>
      <c r="N666" s="2">
        <v>1093391</v>
      </c>
      <c r="O666" s="2"/>
      <c r="P666" s="2"/>
      <c r="Q666">
        <f t="shared" si="20"/>
        <v>9262.8854625550648</v>
      </c>
      <c r="R666">
        <f t="shared" si="21"/>
        <v>13991.216960352423</v>
      </c>
    </row>
    <row r="667" spans="1:18" ht="16" x14ac:dyDescent="0.4">
      <c r="A667" s="2">
        <v>200004</v>
      </c>
      <c r="B667" s="2" t="s">
        <v>712</v>
      </c>
      <c r="C667" s="2" t="s">
        <v>172</v>
      </c>
      <c r="D667" s="2">
        <v>8892</v>
      </c>
      <c r="E667" s="2">
        <v>54.1</v>
      </c>
      <c r="F667" s="2" t="s">
        <v>36</v>
      </c>
      <c r="G667" s="2" t="s">
        <v>37</v>
      </c>
      <c r="H667" s="2">
        <v>1</v>
      </c>
      <c r="I667" s="2">
        <v>38</v>
      </c>
      <c r="J667" s="2" t="s">
        <v>38</v>
      </c>
      <c r="K667" s="2">
        <v>428</v>
      </c>
      <c r="L667" s="2">
        <v>38.799999999999997</v>
      </c>
      <c r="M667" s="2">
        <v>5305203</v>
      </c>
      <c r="N667" s="2">
        <v>2696131</v>
      </c>
      <c r="O667" s="2"/>
      <c r="P667" s="2"/>
      <c r="Q667">
        <f t="shared" si="20"/>
        <v>16235.493544657482</v>
      </c>
      <c r="R667">
        <f t="shared" si="21"/>
        <v>20253.813908741067</v>
      </c>
    </row>
    <row r="668" spans="1:18" ht="16" x14ac:dyDescent="0.4">
      <c r="A668" s="2">
        <v>200217</v>
      </c>
      <c r="B668" s="2" t="s">
        <v>713</v>
      </c>
      <c r="C668" s="2" t="s">
        <v>302</v>
      </c>
      <c r="D668" s="2">
        <v>1861</v>
      </c>
      <c r="E668" s="2">
        <v>59.4</v>
      </c>
      <c r="F668" s="2" t="s">
        <v>47</v>
      </c>
      <c r="G668" s="2" t="s">
        <v>37</v>
      </c>
      <c r="H668" s="2">
        <v>2</v>
      </c>
      <c r="I668" s="2">
        <v>11</v>
      </c>
      <c r="J668" s="2" t="s">
        <v>38</v>
      </c>
      <c r="K668" s="2">
        <v>540</v>
      </c>
      <c r="L668" s="2">
        <v>42.2</v>
      </c>
      <c r="M668" s="2">
        <v>2860972</v>
      </c>
      <c r="N668" s="2">
        <v>2392282</v>
      </c>
      <c r="O668" s="2"/>
      <c r="P668" s="2"/>
      <c r="Q668">
        <f t="shared" si="20"/>
        <v>10497.990170265051</v>
      </c>
      <c r="R668">
        <f t="shared" si="21"/>
        <v>9166.2565679866711</v>
      </c>
    </row>
    <row r="669" spans="1:18" ht="16" x14ac:dyDescent="0.4">
      <c r="A669" s="2">
        <v>200253</v>
      </c>
      <c r="B669" s="2" t="s">
        <v>714</v>
      </c>
      <c r="C669" s="2" t="s">
        <v>302</v>
      </c>
      <c r="D669" s="2">
        <v>1921</v>
      </c>
      <c r="E669" s="2">
        <v>60.7</v>
      </c>
      <c r="F669" s="2" t="s">
        <v>36</v>
      </c>
      <c r="G669" s="2" t="s">
        <v>37</v>
      </c>
      <c r="H669" s="2">
        <v>2</v>
      </c>
      <c r="I669" s="2">
        <v>37</v>
      </c>
      <c r="J669" s="2" t="s">
        <v>38</v>
      </c>
      <c r="K669" s="2">
        <v>398</v>
      </c>
      <c r="L669" s="2">
        <v>34.700000000000003</v>
      </c>
      <c r="M669" s="2">
        <v>2365708</v>
      </c>
      <c r="N669" s="2">
        <v>1645189</v>
      </c>
      <c r="O669" s="2"/>
      <c r="P669" s="2"/>
      <c r="Q669">
        <f t="shared" si="20"/>
        <v>11912.509232039156</v>
      </c>
      <c r="R669">
        <f t="shared" si="21"/>
        <v>9102.5879781757176</v>
      </c>
    </row>
    <row r="670" spans="1:18" ht="16" x14ac:dyDescent="0.4">
      <c r="A670" s="2">
        <v>200280</v>
      </c>
      <c r="B670" s="2" t="s">
        <v>715</v>
      </c>
      <c r="C670" s="2" t="s">
        <v>302</v>
      </c>
      <c r="D670" s="2">
        <v>7609</v>
      </c>
      <c r="E670" s="2">
        <v>45.9</v>
      </c>
      <c r="F670" s="2" t="s">
        <v>36</v>
      </c>
      <c r="G670" s="2" t="s">
        <v>37</v>
      </c>
      <c r="H670" s="2">
        <v>1</v>
      </c>
      <c r="I670" s="2">
        <v>38</v>
      </c>
      <c r="J670" s="2" t="s">
        <v>38</v>
      </c>
      <c r="K670" s="2">
        <v>456</v>
      </c>
      <c r="L670" s="2">
        <v>46.7</v>
      </c>
      <c r="M670" s="2">
        <v>12920696</v>
      </c>
      <c r="N670" s="2">
        <v>7090775</v>
      </c>
      <c r="O670" s="2"/>
      <c r="P670" s="2"/>
      <c r="Q670">
        <f t="shared" si="20"/>
        <v>33297.527142266801</v>
      </c>
      <c r="R670">
        <f t="shared" si="21"/>
        <v>53161.087521806388</v>
      </c>
    </row>
    <row r="671" spans="1:18" ht="16" x14ac:dyDescent="0.4">
      <c r="A671" s="2">
        <v>200332</v>
      </c>
      <c r="B671" s="2" t="s">
        <v>716</v>
      </c>
      <c r="C671" s="2" t="s">
        <v>302</v>
      </c>
      <c r="D671" s="2">
        <v>9598</v>
      </c>
      <c r="E671" s="2">
        <v>44.9</v>
      </c>
      <c r="F671" s="2" t="s">
        <v>36</v>
      </c>
      <c r="G671" s="2" t="s">
        <v>37</v>
      </c>
      <c r="H671" s="2">
        <v>1</v>
      </c>
      <c r="I671" s="2">
        <v>38</v>
      </c>
      <c r="J671" s="2" t="s">
        <v>38</v>
      </c>
      <c r="K671" s="2">
        <v>549</v>
      </c>
      <c r="L671" s="2">
        <v>40.6</v>
      </c>
      <c r="M671" s="2">
        <v>10448087</v>
      </c>
      <c r="N671" s="2">
        <v>5548481</v>
      </c>
      <c r="O671" s="2"/>
      <c r="P671" s="2"/>
      <c r="Q671">
        <f t="shared" si="20"/>
        <v>24892.913223325886</v>
      </c>
      <c r="R671">
        <f t="shared" si="21"/>
        <v>32038.929059876238</v>
      </c>
    </row>
    <row r="672" spans="1:18" ht="16" x14ac:dyDescent="0.4">
      <c r="A672" s="2">
        <v>200800</v>
      </c>
      <c r="B672" s="2" t="s">
        <v>717</v>
      </c>
      <c r="C672" s="2" t="s">
        <v>243</v>
      </c>
      <c r="D672" s="2">
        <v>11197</v>
      </c>
      <c r="E672" s="2">
        <v>45.5</v>
      </c>
      <c r="F672" s="2" t="s">
        <v>36</v>
      </c>
      <c r="G672" s="2" t="s">
        <v>37</v>
      </c>
      <c r="H672" s="2">
        <v>1</v>
      </c>
      <c r="I672" s="2">
        <v>38</v>
      </c>
      <c r="J672" s="2" t="s">
        <v>38</v>
      </c>
      <c r="K672" s="2">
        <v>583</v>
      </c>
      <c r="L672" s="2">
        <v>42</v>
      </c>
      <c r="M672" s="2">
        <v>12284044</v>
      </c>
      <c r="N672" s="2">
        <v>5592760</v>
      </c>
      <c r="O672" s="2"/>
      <c r="P672" s="2"/>
      <c r="Q672">
        <f t="shared" si="20"/>
        <v>22840.643633096464</v>
      </c>
      <c r="R672">
        <f t="shared" si="21"/>
        <v>36328.27822795292</v>
      </c>
    </row>
    <row r="673" spans="1:18" ht="16" x14ac:dyDescent="0.4">
      <c r="A673" s="2">
        <v>201104</v>
      </c>
      <c r="B673" s="2" t="s">
        <v>718</v>
      </c>
      <c r="C673" s="2" t="s">
        <v>243</v>
      </c>
      <c r="D673" s="2">
        <v>2598</v>
      </c>
      <c r="E673" s="2">
        <v>57.7</v>
      </c>
      <c r="F673" s="2" t="s">
        <v>47</v>
      </c>
      <c r="G673" s="2" t="s">
        <v>37</v>
      </c>
      <c r="H673" s="2">
        <v>2</v>
      </c>
      <c r="I673" s="2">
        <v>13</v>
      </c>
      <c r="J673" s="2" t="s">
        <v>38</v>
      </c>
      <c r="K673" s="2">
        <v>730</v>
      </c>
      <c r="L673" s="2">
        <v>34.5</v>
      </c>
      <c r="M673" s="2">
        <v>4552845</v>
      </c>
      <c r="N673" s="2">
        <v>2454908</v>
      </c>
      <c r="O673" s="2"/>
      <c r="P673" s="2"/>
      <c r="Q673">
        <f t="shared" si="20"/>
        <v>9747.5004963271786</v>
      </c>
      <c r="R673">
        <f t="shared" si="21"/>
        <v>9521.792324584334</v>
      </c>
    </row>
    <row r="674" spans="1:18" ht="16" x14ac:dyDescent="0.4">
      <c r="A674" s="2">
        <v>201195</v>
      </c>
      <c r="B674" s="2" t="s">
        <v>719</v>
      </c>
      <c r="C674" s="2" t="s">
        <v>243</v>
      </c>
      <c r="D674" s="2">
        <v>2767</v>
      </c>
      <c r="E674" s="2">
        <v>53.7</v>
      </c>
      <c r="F674" s="2" t="s">
        <v>47</v>
      </c>
      <c r="G674" s="2" t="s">
        <v>37</v>
      </c>
      <c r="H674" s="2">
        <v>3</v>
      </c>
      <c r="I674" s="2">
        <v>38</v>
      </c>
      <c r="J674" s="2" t="s">
        <v>38</v>
      </c>
      <c r="K674" s="2">
        <v>694</v>
      </c>
      <c r="L674" s="2">
        <v>34.4</v>
      </c>
      <c r="M674" s="2">
        <v>1701271</v>
      </c>
      <c r="N674" s="2">
        <v>907829</v>
      </c>
      <c r="O674" s="2"/>
      <c r="P674" s="2"/>
      <c r="Q674">
        <f t="shared" si="20"/>
        <v>3802.6481133972256</v>
      </c>
      <c r="R674">
        <f t="shared" si="21"/>
        <v>3736.888925985802</v>
      </c>
    </row>
    <row r="675" spans="1:18" ht="16" x14ac:dyDescent="0.4">
      <c r="A675" s="2">
        <v>201371</v>
      </c>
      <c r="B675" s="2" t="s">
        <v>720</v>
      </c>
      <c r="C675" s="2" t="s">
        <v>243</v>
      </c>
      <c r="D675" s="2">
        <v>626</v>
      </c>
      <c r="E675" s="2">
        <v>42.3</v>
      </c>
      <c r="F675" s="2" t="s">
        <v>47</v>
      </c>
      <c r="G675" s="2" t="s">
        <v>37</v>
      </c>
      <c r="H675" s="2">
        <v>3</v>
      </c>
      <c r="I675" s="2">
        <v>38</v>
      </c>
      <c r="J675" s="2" t="s">
        <v>38</v>
      </c>
      <c r="K675" s="2">
        <v>419</v>
      </c>
      <c r="L675" s="2">
        <v>32.5</v>
      </c>
      <c r="M675" s="2">
        <v>855805</v>
      </c>
      <c r="N675" s="2">
        <v>452862</v>
      </c>
      <c r="O675" s="2"/>
      <c r="P675" s="2"/>
      <c r="Q675">
        <f t="shared" si="20"/>
        <v>3325.5883972829079</v>
      </c>
      <c r="R675">
        <f t="shared" si="21"/>
        <v>3025.9170865376109</v>
      </c>
    </row>
    <row r="676" spans="1:18" ht="16" x14ac:dyDescent="0.4">
      <c r="A676" s="2">
        <v>201441</v>
      </c>
      <c r="B676" s="2" t="s">
        <v>721</v>
      </c>
      <c r="C676" s="2" t="s">
        <v>243</v>
      </c>
      <c r="D676" s="2">
        <v>12863</v>
      </c>
      <c r="E676" s="2">
        <v>56.5</v>
      </c>
      <c r="F676" s="2" t="s">
        <v>36</v>
      </c>
      <c r="G676" s="2" t="s">
        <v>37</v>
      </c>
      <c r="H676" s="2">
        <v>1</v>
      </c>
      <c r="I676" s="2">
        <v>38</v>
      </c>
      <c r="J676" s="2" t="s">
        <v>38</v>
      </c>
      <c r="K676" s="2">
        <v>461</v>
      </c>
      <c r="L676" s="2">
        <v>50.1</v>
      </c>
      <c r="M676" s="2">
        <v>13260625</v>
      </c>
      <c r="N676" s="2">
        <v>6065517</v>
      </c>
      <c r="O676" s="2"/>
      <c r="P676" s="2"/>
      <c r="Q676">
        <f t="shared" si="20"/>
        <v>26262.083208853441</v>
      </c>
      <c r="R676">
        <f t="shared" si="21"/>
        <v>57645.116697603451</v>
      </c>
    </row>
    <row r="677" spans="1:18" ht="16" x14ac:dyDescent="0.4">
      <c r="A677" s="2">
        <v>201548</v>
      </c>
      <c r="B677" s="2" t="s">
        <v>722</v>
      </c>
      <c r="C677" s="2" t="s">
        <v>243</v>
      </c>
      <c r="D677" s="2">
        <v>2362</v>
      </c>
      <c r="E677" s="2">
        <v>62.2</v>
      </c>
      <c r="F677" s="2" t="s">
        <v>47</v>
      </c>
      <c r="G677" s="2" t="s">
        <v>37</v>
      </c>
      <c r="H677" s="2">
        <v>3</v>
      </c>
      <c r="I677" s="2">
        <v>10</v>
      </c>
      <c r="J677" s="2" t="s">
        <v>38</v>
      </c>
      <c r="K677" s="2">
        <v>331</v>
      </c>
      <c r="L677" s="2">
        <v>37.799999999999997</v>
      </c>
      <c r="M677" s="2">
        <v>892628</v>
      </c>
      <c r="N677" s="2">
        <v>589300</v>
      </c>
      <c r="O677" s="2"/>
      <c r="P677" s="2"/>
      <c r="Q677">
        <f t="shared" si="20"/>
        <v>4709.9538036093927</v>
      </c>
      <c r="R677">
        <f t="shared" si="21"/>
        <v>4335.6291467928231</v>
      </c>
    </row>
    <row r="678" spans="1:18" ht="16" x14ac:dyDescent="0.4">
      <c r="A678" s="2">
        <v>201645</v>
      </c>
      <c r="B678" s="2" t="s">
        <v>723</v>
      </c>
      <c r="C678" s="2" t="s">
        <v>243</v>
      </c>
      <c r="D678" s="2">
        <v>5216</v>
      </c>
      <c r="E678" s="2">
        <v>45.7</v>
      </c>
      <c r="F678" s="2" t="s">
        <v>47</v>
      </c>
      <c r="G678" s="2" t="s">
        <v>37</v>
      </c>
      <c r="H678" s="2">
        <v>3</v>
      </c>
      <c r="I678" s="2">
        <v>12</v>
      </c>
      <c r="J678" s="2" t="s">
        <v>38</v>
      </c>
      <c r="K678" s="2">
        <v>596</v>
      </c>
      <c r="L678" s="2">
        <v>38.4</v>
      </c>
      <c r="M678" s="2">
        <v>1859777</v>
      </c>
      <c r="N678" s="2">
        <v>1169612</v>
      </c>
      <c r="O678" s="2"/>
      <c r="P678" s="2"/>
      <c r="Q678">
        <f t="shared" si="20"/>
        <v>5110.5110458612971</v>
      </c>
      <c r="R678">
        <f t="shared" si="21"/>
        <v>5065.6350780092398</v>
      </c>
    </row>
    <row r="679" spans="1:18" ht="16" x14ac:dyDescent="0.4">
      <c r="A679" s="2">
        <v>201654</v>
      </c>
      <c r="B679" s="2" t="s">
        <v>724</v>
      </c>
      <c r="C679" s="2" t="s">
        <v>243</v>
      </c>
      <c r="D679" s="2">
        <v>3425</v>
      </c>
      <c r="E679" s="2">
        <v>53.8</v>
      </c>
      <c r="F679" s="2" t="s">
        <v>47</v>
      </c>
      <c r="G679" s="2" t="s">
        <v>37</v>
      </c>
      <c r="H679" s="2">
        <v>2</v>
      </c>
      <c r="I679" s="2">
        <v>38</v>
      </c>
      <c r="J679" s="2" t="s">
        <v>41</v>
      </c>
      <c r="K679" s="2">
        <v>417</v>
      </c>
      <c r="L679" s="2">
        <v>47.7</v>
      </c>
      <c r="M679" s="2">
        <v>1644641</v>
      </c>
      <c r="N679" s="2">
        <v>1762982</v>
      </c>
      <c r="O679" s="2"/>
      <c r="P679" s="2"/>
      <c r="Q679">
        <f t="shared" si="20"/>
        <v>8863.2590782719726</v>
      </c>
      <c r="R679">
        <f t="shared" si="21"/>
        <v>7541.0768899220966</v>
      </c>
    </row>
    <row r="680" spans="1:18" ht="16" x14ac:dyDescent="0.4">
      <c r="A680" s="2">
        <v>201690</v>
      </c>
      <c r="B680" s="2" t="s">
        <v>725</v>
      </c>
      <c r="C680" s="2" t="s">
        <v>243</v>
      </c>
      <c r="D680" s="2">
        <v>1918</v>
      </c>
      <c r="E680" s="2">
        <v>61</v>
      </c>
      <c r="F680" s="2" t="s">
        <v>36</v>
      </c>
      <c r="G680" s="2" t="s">
        <v>37</v>
      </c>
      <c r="H680" s="2">
        <v>2</v>
      </c>
      <c r="I680" s="2">
        <v>4</v>
      </c>
      <c r="J680" s="2" t="s">
        <v>38</v>
      </c>
      <c r="K680" s="2">
        <v>210</v>
      </c>
      <c r="L680" s="2">
        <v>37.6</v>
      </c>
      <c r="M680" s="2">
        <v>1401437</v>
      </c>
      <c r="N680" s="2">
        <v>685986</v>
      </c>
      <c r="O680" s="2"/>
      <c r="P680" s="2"/>
      <c r="Q680">
        <f t="shared" si="20"/>
        <v>8687.7659574468089</v>
      </c>
      <c r="R680">
        <f t="shared" si="21"/>
        <v>10694.726800976801</v>
      </c>
    </row>
    <row r="681" spans="1:18" ht="16" x14ac:dyDescent="0.4">
      <c r="A681" s="2">
        <v>201885</v>
      </c>
      <c r="B681" s="2" t="s">
        <v>726</v>
      </c>
      <c r="C681" s="2" t="s">
        <v>243</v>
      </c>
      <c r="D681" s="2">
        <v>23577</v>
      </c>
      <c r="E681" s="2">
        <v>47.6</v>
      </c>
      <c r="F681" s="2" t="s">
        <v>36</v>
      </c>
      <c r="G681" s="2" t="s">
        <v>37</v>
      </c>
      <c r="H681" s="2">
        <v>1</v>
      </c>
      <c r="I681" s="2">
        <v>38</v>
      </c>
      <c r="J681" s="2" t="s">
        <v>38</v>
      </c>
      <c r="K681" s="2">
        <v>542</v>
      </c>
      <c r="L681" s="2">
        <v>47.8</v>
      </c>
      <c r="M681" s="2">
        <v>26089564</v>
      </c>
      <c r="N681" s="2">
        <v>9247356</v>
      </c>
      <c r="O681" s="2"/>
      <c r="P681" s="2"/>
      <c r="Q681">
        <f t="shared" si="20"/>
        <v>35693.603421389867</v>
      </c>
      <c r="R681">
        <f t="shared" si="21"/>
        <v>92214.036278293803</v>
      </c>
    </row>
    <row r="682" spans="1:18" ht="16" x14ac:dyDescent="0.4">
      <c r="A682" s="2">
        <v>202134</v>
      </c>
      <c r="B682" s="2" t="s">
        <v>727</v>
      </c>
      <c r="C682" s="2" t="s">
        <v>243</v>
      </c>
      <c r="D682" s="2">
        <v>9038</v>
      </c>
      <c r="E682" s="2">
        <v>53</v>
      </c>
      <c r="F682" s="2" t="s">
        <v>36</v>
      </c>
      <c r="G682" s="2" t="s">
        <v>37</v>
      </c>
      <c r="H682" s="2">
        <v>1</v>
      </c>
      <c r="I682" s="2">
        <v>38</v>
      </c>
      <c r="J682" s="2" t="s">
        <v>41</v>
      </c>
      <c r="K682" s="2">
        <v>394</v>
      </c>
      <c r="L682" s="2">
        <v>52.8</v>
      </c>
      <c r="M682" s="2">
        <v>4749771</v>
      </c>
      <c r="N682" s="2">
        <v>4473414</v>
      </c>
      <c r="O682" s="2"/>
      <c r="P682" s="2"/>
      <c r="Q682">
        <f t="shared" si="20"/>
        <v>21503.489847715737</v>
      </c>
      <c r="R682">
        <f t="shared" si="21"/>
        <v>25540.797341478101</v>
      </c>
    </row>
    <row r="683" spans="1:18" ht="16" x14ac:dyDescent="0.4">
      <c r="A683" s="2">
        <v>202480</v>
      </c>
      <c r="B683" s="2" t="s">
        <v>728</v>
      </c>
      <c r="C683" s="2" t="s">
        <v>243</v>
      </c>
      <c r="D683" s="2">
        <v>8031</v>
      </c>
      <c r="E683" s="2">
        <v>48.1</v>
      </c>
      <c r="F683" s="2" t="s">
        <v>47</v>
      </c>
      <c r="G683" s="2" t="s">
        <v>37</v>
      </c>
      <c r="H683" s="2">
        <v>1</v>
      </c>
      <c r="I683" s="2">
        <v>38</v>
      </c>
      <c r="J683" s="2" t="s">
        <v>38</v>
      </c>
      <c r="K683" s="2">
        <v>474</v>
      </c>
      <c r="L683" s="2">
        <v>48.9</v>
      </c>
      <c r="M683" s="2">
        <v>12829429</v>
      </c>
      <c r="N683" s="2">
        <v>8132535</v>
      </c>
      <c r="O683" s="2"/>
      <c r="P683" s="2"/>
      <c r="Q683">
        <f t="shared" si="20"/>
        <v>35086.394346509282</v>
      </c>
      <c r="R683">
        <f t="shared" si="21"/>
        <v>52967.330542412907</v>
      </c>
    </row>
    <row r="684" spans="1:18" ht="16" x14ac:dyDescent="0.4">
      <c r="A684" s="2">
        <v>202514</v>
      </c>
      <c r="B684" s="2" t="s">
        <v>729</v>
      </c>
      <c r="C684" s="2" t="s">
        <v>243</v>
      </c>
      <c r="D684" s="2">
        <v>461</v>
      </c>
      <c r="E684" s="2">
        <v>41.4</v>
      </c>
      <c r="F684" s="2" t="s">
        <v>47</v>
      </c>
      <c r="G684" s="2" t="s">
        <v>37</v>
      </c>
      <c r="H684" s="2">
        <v>3</v>
      </c>
      <c r="I684" s="2">
        <v>12</v>
      </c>
      <c r="J684" s="2" t="s">
        <v>38</v>
      </c>
      <c r="K684" s="2">
        <v>316</v>
      </c>
      <c r="L684" s="2">
        <v>34.799999999999997</v>
      </c>
      <c r="M684" s="2">
        <v>1096248</v>
      </c>
      <c r="N684" s="2">
        <v>486198</v>
      </c>
      <c r="O684" s="2"/>
      <c r="P684" s="2"/>
      <c r="Q684">
        <f t="shared" si="20"/>
        <v>4421.2680052378882</v>
      </c>
      <c r="R684">
        <f t="shared" si="21"/>
        <v>5320.7657062980506</v>
      </c>
    </row>
    <row r="685" spans="1:18" ht="16" x14ac:dyDescent="0.4">
      <c r="A685" s="2">
        <v>202523</v>
      </c>
      <c r="B685" s="2" t="s">
        <v>730</v>
      </c>
      <c r="C685" s="2" t="s">
        <v>243</v>
      </c>
      <c r="D685" s="2">
        <v>2259</v>
      </c>
      <c r="E685" s="2">
        <v>52.7</v>
      </c>
      <c r="F685" s="2" t="s">
        <v>47</v>
      </c>
      <c r="G685" s="2" t="s">
        <v>37</v>
      </c>
      <c r="H685" s="2">
        <v>3</v>
      </c>
      <c r="I685" s="2">
        <v>38</v>
      </c>
      <c r="J685" s="2" t="s">
        <v>38</v>
      </c>
      <c r="K685" s="2">
        <v>653</v>
      </c>
      <c r="L685" s="2">
        <v>44.1</v>
      </c>
      <c r="M685" s="2">
        <v>2166982</v>
      </c>
      <c r="N685" s="2">
        <v>1883687</v>
      </c>
      <c r="O685" s="2"/>
      <c r="P685" s="2"/>
      <c r="Q685">
        <f t="shared" si="20"/>
        <v>6541.1930979640447</v>
      </c>
      <c r="R685">
        <f t="shared" si="21"/>
        <v>5936.4978481043863</v>
      </c>
    </row>
    <row r="686" spans="1:18" ht="16" x14ac:dyDescent="0.4">
      <c r="A686" s="2">
        <v>202763</v>
      </c>
      <c r="B686" s="2" t="s">
        <v>731</v>
      </c>
      <c r="C686" s="2" t="s">
        <v>243</v>
      </c>
      <c r="D686" s="2">
        <v>2170</v>
      </c>
      <c r="E686" s="2">
        <v>67</v>
      </c>
      <c r="F686" s="2" t="s">
        <v>47</v>
      </c>
      <c r="G686" s="2" t="s">
        <v>37</v>
      </c>
      <c r="H686" s="2">
        <v>2</v>
      </c>
      <c r="I686" s="2">
        <v>35</v>
      </c>
      <c r="J686" s="2" t="s">
        <v>38</v>
      </c>
      <c r="K686" s="2">
        <v>771</v>
      </c>
      <c r="L686" s="2">
        <v>41.5</v>
      </c>
      <c r="M686" s="2">
        <v>5320721</v>
      </c>
      <c r="N686" s="2">
        <v>3625035</v>
      </c>
      <c r="O686" s="2"/>
      <c r="P686" s="2"/>
      <c r="Q686">
        <f t="shared" si="20"/>
        <v>11329.473536168018</v>
      </c>
      <c r="R686">
        <f t="shared" si="21"/>
        <v>11796.692052723181</v>
      </c>
    </row>
    <row r="687" spans="1:18" ht="16" x14ac:dyDescent="0.4">
      <c r="A687" s="2">
        <v>203085</v>
      </c>
      <c r="B687" s="2" t="s">
        <v>732</v>
      </c>
      <c r="C687" s="2" t="s">
        <v>243</v>
      </c>
      <c r="D687" s="2">
        <v>1036</v>
      </c>
      <c r="E687" s="2">
        <v>49.5</v>
      </c>
      <c r="F687" s="2" t="s">
        <v>47</v>
      </c>
      <c r="G687" s="2" t="s">
        <v>37</v>
      </c>
      <c r="H687" s="2">
        <v>3</v>
      </c>
      <c r="I687" s="2">
        <v>12</v>
      </c>
      <c r="J687" s="2" t="s">
        <v>38</v>
      </c>
      <c r="K687" s="2">
        <v>572</v>
      </c>
      <c r="L687" s="2">
        <v>33</v>
      </c>
      <c r="M687" s="2">
        <v>1275244</v>
      </c>
      <c r="N687" s="2">
        <v>708166</v>
      </c>
      <c r="O687" s="2"/>
      <c r="P687" s="2"/>
      <c r="Q687">
        <f t="shared" si="20"/>
        <v>3751.6740834922648</v>
      </c>
      <c r="R687">
        <f t="shared" si="21"/>
        <v>3327.5336603694814</v>
      </c>
    </row>
    <row r="688" spans="1:18" ht="16" x14ac:dyDescent="0.4">
      <c r="A688" s="2">
        <v>203128</v>
      </c>
      <c r="B688" s="2" t="s">
        <v>733</v>
      </c>
      <c r="C688" s="2" t="s">
        <v>243</v>
      </c>
      <c r="D688" s="2">
        <v>801</v>
      </c>
      <c r="E688" s="2">
        <v>55.4</v>
      </c>
      <c r="F688" s="2" t="s">
        <v>47</v>
      </c>
      <c r="G688" s="2" t="s">
        <v>37</v>
      </c>
      <c r="H688" s="2">
        <v>3</v>
      </c>
      <c r="I688" s="2">
        <v>38</v>
      </c>
      <c r="J688" s="2" t="s">
        <v>38</v>
      </c>
      <c r="K688" s="2">
        <v>356</v>
      </c>
      <c r="L688" s="2">
        <v>39.299999999999997</v>
      </c>
      <c r="M688" s="2">
        <v>1103199</v>
      </c>
      <c r="N688" s="2">
        <v>773101</v>
      </c>
      <c r="O688" s="2"/>
      <c r="P688" s="2"/>
      <c r="Q688">
        <f t="shared" si="20"/>
        <v>5525.7812276638942</v>
      </c>
      <c r="R688">
        <f t="shared" si="21"/>
        <v>5105.2283286748225</v>
      </c>
    </row>
    <row r="689" spans="1:18" ht="16" x14ac:dyDescent="0.4">
      <c r="A689" s="2">
        <v>203368</v>
      </c>
      <c r="B689" s="2" t="s">
        <v>734</v>
      </c>
      <c r="C689" s="2" t="s">
        <v>243</v>
      </c>
      <c r="D689" s="2">
        <v>2904</v>
      </c>
      <c r="E689" s="2">
        <v>46.7</v>
      </c>
      <c r="F689" s="2" t="s">
        <v>47</v>
      </c>
      <c r="G689" s="2" t="s">
        <v>37</v>
      </c>
      <c r="H689" s="2">
        <v>3</v>
      </c>
      <c r="I689" s="2">
        <v>38</v>
      </c>
      <c r="J689" s="2" t="s">
        <v>38</v>
      </c>
      <c r="K689" s="2">
        <v>709</v>
      </c>
      <c r="L689" s="2">
        <v>31.5</v>
      </c>
      <c r="M689" s="2">
        <v>1803330</v>
      </c>
      <c r="N689" s="2">
        <v>1004616</v>
      </c>
      <c r="O689" s="2"/>
      <c r="P689" s="2"/>
      <c r="Q689">
        <f t="shared" si="20"/>
        <v>4498.2470280072539</v>
      </c>
      <c r="R689">
        <f t="shared" si="21"/>
        <v>3713.1150072580895</v>
      </c>
    </row>
    <row r="690" spans="1:18" ht="16" x14ac:dyDescent="0.4">
      <c r="A690" s="2">
        <v>203517</v>
      </c>
      <c r="B690" s="2" t="s">
        <v>735</v>
      </c>
      <c r="C690" s="2" t="s">
        <v>243</v>
      </c>
      <c r="D690" s="2">
        <v>18276</v>
      </c>
      <c r="E690" s="2">
        <v>62.4</v>
      </c>
      <c r="F690" s="2" t="s">
        <v>36</v>
      </c>
      <c r="G690" s="2" t="s">
        <v>37</v>
      </c>
      <c r="H690" s="2">
        <v>1</v>
      </c>
      <c r="I690" s="2">
        <v>35</v>
      </c>
      <c r="J690" s="2" t="s">
        <v>38</v>
      </c>
      <c r="K690" s="2">
        <v>575</v>
      </c>
      <c r="L690" s="2">
        <v>46.6</v>
      </c>
      <c r="M690" s="2">
        <v>11818513</v>
      </c>
      <c r="N690" s="2">
        <v>6826450</v>
      </c>
      <c r="O690" s="2"/>
      <c r="P690" s="2"/>
      <c r="Q690">
        <f t="shared" si="20"/>
        <v>25476.581451763388</v>
      </c>
      <c r="R690">
        <f t="shared" si="21"/>
        <v>38490.516202572871</v>
      </c>
    </row>
    <row r="691" spans="1:18" ht="16" x14ac:dyDescent="0.4">
      <c r="A691" s="2">
        <v>203535</v>
      </c>
      <c r="B691" s="2" t="s">
        <v>736</v>
      </c>
      <c r="C691" s="2" t="s">
        <v>243</v>
      </c>
      <c r="D691" s="2">
        <v>1734</v>
      </c>
      <c r="E691" s="2">
        <v>54.6</v>
      </c>
      <c r="F691" s="2" t="s">
        <v>47</v>
      </c>
      <c r="G691" s="2" t="s">
        <v>37</v>
      </c>
      <c r="H691" s="2">
        <v>3</v>
      </c>
      <c r="I691" s="2">
        <v>16</v>
      </c>
      <c r="J691" s="2" t="s">
        <v>38</v>
      </c>
      <c r="K691" s="2">
        <v>623</v>
      </c>
      <c r="L691" s="2">
        <v>41.7</v>
      </c>
      <c r="M691" s="2">
        <v>1733861</v>
      </c>
      <c r="N691" s="2">
        <v>1368140</v>
      </c>
      <c r="O691" s="2"/>
      <c r="P691" s="2"/>
      <c r="Q691">
        <f t="shared" si="20"/>
        <v>5266.3102262972925</v>
      </c>
      <c r="R691">
        <f t="shared" si="21"/>
        <v>4773.7280739188727</v>
      </c>
    </row>
    <row r="692" spans="1:18" ht="16" x14ac:dyDescent="0.4">
      <c r="A692" s="2">
        <v>203580</v>
      </c>
      <c r="B692" s="2" t="s">
        <v>737</v>
      </c>
      <c r="C692" s="2" t="s">
        <v>243</v>
      </c>
      <c r="D692" s="2">
        <v>671</v>
      </c>
      <c r="E692" s="2">
        <v>46.6</v>
      </c>
      <c r="F692" s="2" t="s">
        <v>47</v>
      </c>
      <c r="G692" s="2" t="s">
        <v>37</v>
      </c>
      <c r="H692" s="2">
        <v>2</v>
      </c>
      <c r="I692" s="2">
        <v>38</v>
      </c>
      <c r="J692" s="2" t="s">
        <v>38</v>
      </c>
      <c r="K692" s="2">
        <v>473</v>
      </c>
      <c r="L692" s="2">
        <v>27.1</v>
      </c>
      <c r="M692" s="2">
        <v>3574606</v>
      </c>
      <c r="N692" s="2">
        <v>1655607</v>
      </c>
      <c r="O692" s="2"/>
      <c r="P692" s="2"/>
      <c r="Q692">
        <f t="shared" si="20"/>
        <v>12915.963895368339</v>
      </c>
      <c r="R692">
        <f t="shared" si="21"/>
        <v>10366.675656942667</v>
      </c>
    </row>
    <row r="693" spans="1:18" ht="16" x14ac:dyDescent="0.4">
      <c r="A693" s="2">
        <v>203775</v>
      </c>
      <c r="B693" s="2" t="s">
        <v>738</v>
      </c>
      <c r="C693" s="2" t="s">
        <v>243</v>
      </c>
      <c r="D693" s="2">
        <v>915</v>
      </c>
      <c r="E693" s="2">
        <v>59.3</v>
      </c>
      <c r="F693" s="2" t="s">
        <v>47</v>
      </c>
      <c r="G693" s="2" t="s">
        <v>37</v>
      </c>
      <c r="H693" s="2">
        <v>2</v>
      </c>
      <c r="I693" s="2">
        <v>8</v>
      </c>
      <c r="J693" s="2" t="s">
        <v>41</v>
      </c>
      <c r="K693" s="2">
        <v>500</v>
      </c>
      <c r="L693" s="2">
        <v>46.4</v>
      </c>
      <c r="M693" s="2">
        <v>2074718</v>
      </c>
      <c r="N693" s="2">
        <v>1995852</v>
      </c>
      <c r="O693" s="2"/>
      <c r="P693" s="2"/>
      <c r="Q693">
        <f t="shared" si="20"/>
        <v>8602.810344827587</v>
      </c>
      <c r="R693">
        <f t="shared" si="21"/>
        <v>7741.4850746268658</v>
      </c>
    </row>
    <row r="694" spans="1:18" ht="16" x14ac:dyDescent="0.4">
      <c r="A694" s="2">
        <v>203845</v>
      </c>
      <c r="B694" s="2" t="s">
        <v>739</v>
      </c>
      <c r="C694" s="2" t="s">
        <v>243</v>
      </c>
      <c r="D694" s="2">
        <v>1052</v>
      </c>
      <c r="E694" s="2">
        <v>43.8</v>
      </c>
      <c r="F694" s="2" t="s">
        <v>47</v>
      </c>
      <c r="G694" s="2" t="s">
        <v>37</v>
      </c>
      <c r="H694" s="2">
        <v>3</v>
      </c>
      <c r="I694" s="2">
        <v>38</v>
      </c>
      <c r="J694" s="2" t="s">
        <v>38</v>
      </c>
      <c r="K694" s="2">
        <v>521</v>
      </c>
      <c r="L694" s="2">
        <v>34.9</v>
      </c>
      <c r="M694" s="2">
        <v>1394444</v>
      </c>
      <c r="N694" s="2">
        <v>792124</v>
      </c>
      <c r="O694" s="2"/>
      <c r="P694" s="2"/>
      <c r="Q694">
        <f t="shared" si="20"/>
        <v>4356.4227928438258</v>
      </c>
      <c r="R694">
        <f t="shared" si="21"/>
        <v>4111.3302729301749</v>
      </c>
    </row>
    <row r="695" spans="1:18" ht="16" x14ac:dyDescent="0.4">
      <c r="A695" s="2">
        <v>204024</v>
      </c>
      <c r="B695" s="2" t="s">
        <v>740</v>
      </c>
      <c r="C695" s="2" t="s">
        <v>243</v>
      </c>
      <c r="D695" s="2">
        <v>16545</v>
      </c>
      <c r="E695" s="2">
        <v>50.1</v>
      </c>
      <c r="F695" s="2" t="s">
        <v>36</v>
      </c>
      <c r="G695" s="2" t="s">
        <v>37</v>
      </c>
      <c r="H695" s="2">
        <v>1</v>
      </c>
      <c r="I695" s="2">
        <v>38</v>
      </c>
      <c r="J695" s="2" t="s">
        <v>38</v>
      </c>
      <c r="K695" s="2">
        <v>630</v>
      </c>
      <c r="L695" s="2">
        <v>50.6</v>
      </c>
      <c r="M695" s="2">
        <v>17416873</v>
      </c>
      <c r="N695" s="2">
        <v>9087318</v>
      </c>
      <c r="O695" s="2"/>
      <c r="P695" s="2"/>
      <c r="Q695">
        <f t="shared" si="20"/>
        <v>28506.549971767359</v>
      </c>
      <c r="R695">
        <f t="shared" si="21"/>
        <v>55963.218944797896</v>
      </c>
    </row>
    <row r="696" spans="1:18" ht="16" x14ac:dyDescent="0.4">
      <c r="A696" s="2">
        <v>204185</v>
      </c>
      <c r="B696" s="2" t="s">
        <v>741</v>
      </c>
      <c r="C696" s="2" t="s">
        <v>243</v>
      </c>
      <c r="D696" s="2">
        <v>1978</v>
      </c>
      <c r="E696" s="2">
        <v>48.2</v>
      </c>
      <c r="F696" s="2" t="s">
        <v>47</v>
      </c>
      <c r="G696" s="2" t="s">
        <v>37</v>
      </c>
      <c r="H696" s="2">
        <v>3</v>
      </c>
      <c r="I696" s="2">
        <v>38</v>
      </c>
      <c r="J696" s="2" t="s">
        <v>38</v>
      </c>
      <c r="K696" s="2">
        <v>933</v>
      </c>
      <c r="L696" s="2">
        <v>33</v>
      </c>
      <c r="M696" s="2">
        <v>1913448</v>
      </c>
      <c r="N696" s="2">
        <v>919015</v>
      </c>
      <c r="O696" s="2"/>
      <c r="P696" s="2"/>
      <c r="Q696">
        <f t="shared" si="20"/>
        <v>2984.8809639806427</v>
      </c>
      <c r="R696">
        <f t="shared" si="21"/>
        <v>3060.9780678600564</v>
      </c>
    </row>
    <row r="697" spans="1:18" ht="16" x14ac:dyDescent="0.4">
      <c r="A697" s="2">
        <v>204200</v>
      </c>
      <c r="B697" s="2" t="s">
        <v>742</v>
      </c>
      <c r="C697" s="2" t="s">
        <v>243</v>
      </c>
      <c r="D697" s="2">
        <v>1006</v>
      </c>
      <c r="E697" s="2">
        <v>54.9</v>
      </c>
      <c r="F697" s="2" t="s">
        <v>47</v>
      </c>
      <c r="G697" s="2" t="s">
        <v>37</v>
      </c>
      <c r="H697" s="2">
        <v>3</v>
      </c>
      <c r="I697" s="2">
        <v>11</v>
      </c>
      <c r="J697" s="2" t="s">
        <v>38</v>
      </c>
      <c r="K697" s="2">
        <v>426</v>
      </c>
      <c r="L697" s="2">
        <v>31.2</v>
      </c>
      <c r="M697" s="2">
        <v>1268166</v>
      </c>
      <c r="N697" s="2">
        <v>802880</v>
      </c>
      <c r="O697" s="2"/>
      <c r="P697" s="2"/>
      <c r="Q697">
        <f t="shared" si="20"/>
        <v>6040.6885758998433</v>
      </c>
      <c r="R697">
        <f t="shared" si="21"/>
        <v>4326.912053717655</v>
      </c>
    </row>
    <row r="698" spans="1:18" ht="16" x14ac:dyDescent="0.4">
      <c r="A698" s="2">
        <v>204264</v>
      </c>
      <c r="B698" s="2" t="s">
        <v>743</v>
      </c>
      <c r="C698" s="2" t="s">
        <v>243</v>
      </c>
      <c r="D698" s="2">
        <v>1355</v>
      </c>
      <c r="E698" s="2">
        <v>53.4</v>
      </c>
      <c r="F698" s="2" t="s">
        <v>47</v>
      </c>
      <c r="G698" s="2" t="s">
        <v>37</v>
      </c>
      <c r="H698" s="2">
        <v>3</v>
      </c>
      <c r="I698" s="2">
        <v>38</v>
      </c>
      <c r="J698" s="2" t="s">
        <v>38</v>
      </c>
      <c r="K698" s="2">
        <v>511</v>
      </c>
      <c r="L698" s="2">
        <v>37.799999999999997</v>
      </c>
      <c r="M698" s="2">
        <v>1152285</v>
      </c>
      <c r="N698" s="2">
        <v>707026</v>
      </c>
      <c r="O698" s="2"/>
      <c r="P698" s="2"/>
      <c r="Q698">
        <f t="shared" si="20"/>
        <v>3660.3505938143899</v>
      </c>
      <c r="R698">
        <f t="shared" si="21"/>
        <v>3625.3390049143918</v>
      </c>
    </row>
    <row r="699" spans="1:18" ht="16" x14ac:dyDescent="0.4">
      <c r="A699" s="2">
        <v>204468</v>
      </c>
      <c r="B699" s="2" t="s">
        <v>744</v>
      </c>
      <c r="C699" s="2" t="s">
        <v>243</v>
      </c>
      <c r="D699" s="2">
        <v>1117</v>
      </c>
      <c r="E699" s="2">
        <v>48.2</v>
      </c>
      <c r="F699" s="2" t="s">
        <v>47</v>
      </c>
      <c r="G699" s="2" t="s">
        <v>37</v>
      </c>
      <c r="H699" s="2">
        <v>2</v>
      </c>
      <c r="I699" s="2">
        <v>38</v>
      </c>
      <c r="J699" s="2" t="s">
        <v>38</v>
      </c>
      <c r="K699" s="2">
        <v>611</v>
      </c>
      <c r="L699" s="2">
        <v>33.700000000000003</v>
      </c>
      <c r="M699" s="2">
        <v>3649233</v>
      </c>
      <c r="N699" s="2">
        <v>1821256</v>
      </c>
      <c r="O699" s="2"/>
      <c r="P699" s="2"/>
      <c r="Q699">
        <f t="shared" si="20"/>
        <v>8845.0416935801113</v>
      </c>
      <c r="R699">
        <f t="shared" si="21"/>
        <v>9008.3832601402628</v>
      </c>
    </row>
    <row r="700" spans="1:18" ht="16" x14ac:dyDescent="0.4">
      <c r="A700" s="2">
        <v>204501</v>
      </c>
      <c r="B700" s="2" t="s">
        <v>745</v>
      </c>
      <c r="C700" s="2" t="s">
        <v>243</v>
      </c>
      <c r="D700" s="2">
        <v>2822</v>
      </c>
      <c r="E700" s="2">
        <v>58.5</v>
      </c>
      <c r="F700" s="2" t="s">
        <v>47</v>
      </c>
      <c r="G700" s="2" t="s">
        <v>37</v>
      </c>
      <c r="H700" s="2">
        <v>3</v>
      </c>
      <c r="I700" s="2">
        <v>38</v>
      </c>
      <c r="J700" s="2" t="s">
        <v>38</v>
      </c>
      <c r="K700" s="2">
        <v>468</v>
      </c>
      <c r="L700" s="2">
        <v>43.8</v>
      </c>
      <c r="M700" s="2">
        <v>1067676</v>
      </c>
      <c r="N700" s="2">
        <v>965316</v>
      </c>
      <c r="O700" s="2"/>
      <c r="P700" s="2"/>
      <c r="Q700">
        <f t="shared" si="20"/>
        <v>4709.2260859384141</v>
      </c>
      <c r="R700">
        <f t="shared" si="21"/>
        <v>4059.3576056209504</v>
      </c>
    </row>
    <row r="701" spans="1:18" ht="16" x14ac:dyDescent="0.4">
      <c r="A701" s="2">
        <v>204617</v>
      </c>
      <c r="B701" s="2" t="s">
        <v>746</v>
      </c>
      <c r="C701" s="2" t="s">
        <v>243</v>
      </c>
      <c r="D701" s="2">
        <v>901</v>
      </c>
      <c r="E701" s="2">
        <v>52.3</v>
      </c>
      <c r="F701" s="2" t="s">
        <v>47</v>
      </c>
      <c r="G701" s="2" t="s">
        <v>37</v>
      </c>
      <c r="H701" s="2">
        <v>2</v>
      </c>
      <c r="I701" s="2">
        <v>11</v>
      </c>
      <c r="J701" s="2" t="s">
        <v>38</v>
      </c>
      <c r="K701" s="2">
        <v>425</v>
      </c>
      <c r="L701" s="2">
        <v>34.799999999999997</v>
      </c>
      <c r="M701" s="2">
        <v>2609349</v>
      </c>
      <c r="N701" s="2">
        <v>1437699</v>
      </c>
      <c r="O701" s="2"/>
      <c r="P701" s="2"/>
      <c r="Q701">
        <f t="shared" si="20"/>
        <v>9720.7505070993939</v>
      </c>
      <c r="R701">
        <f t="shared" si="21"/>
        <v>9416.6329844821357</v>
      </c>
    </row>
    <row r="702" spans="1:18" ht="16" x14ac:dyDescent="0.4">
      <c r="A702" s="2">
        <v>204635</v>
      </c>
      <c r="B702" s="2" t="s">
        <v>747</v>
      </c>
      <c r="C702" s="2" t="s">
        <v>243</v>
      </c>
      <c r="D702" s="2">
        <v>2078</v>
      </c>
      <c r="E702" s="2">
        <v>46</v>
      </c>
      <c r="F702" s="2" t="s">
        <v>47</v>
      </c>
      <c r="G702" s="2" t="s">
        <v>37</v>
      </c>
      <c r="H702" s="2">
        <v>3</v>
      </c>
      <c r="I702" s="2">
        <v>37</v>
      </c>
      <c r="J702" s="2" t="s">
        <v>38</v>
      </c>
      <c r="K702" s="2">
        <v>728</v>
      </c>
      <c r="L702" s="2">
        <v>31.6</v>
      </c>
      <c r="M702" s="2">
        <v>2808283</v>
      </c>
      <c r="N702" s="2">
        <v>1358781</v>
      </c>
      <c r="O702" s="2"/>
      <c r="P702" s="2"/>
      <c r="Q702">
        <f t="shared" si="20"/>
        <v>5906.5108151342329</v>
      </c>
      <c r="R702">
        <f t="shared" si="21"/>
        <v>5639.6660722318611</v>
      </c>
    </row>
    <row r="703" spans="1:18" ht="16" x14ac:dyDescent="0.4">
      <c r="A703" s="2">
        <v>204796</v>
      </c>
      <c r="B703" s="2" t="s">
        <v>748</v>
      </c>
      <c r="C703" s="2" t="s">
        <v>243</v>
      </c>
      <c r="D703" s="2">
        <v>42586</v>
      </c>
      <c r="E703" s="2">
        <v>48.9</v>
      </c>
      <c r="F703" s="2" t="s">
        <v>36</v>
      </c>
      <c r="G703" s="2" t="s">
        <v>37</v>
      </c>
      <c r="H703" s="2">
        <v>1</v>
      </c>
      <c r="I703" s="2">
        <v>38</v>
      </c>
      <c r="J703" s="2" t="s">
        <v>38</v>
      </c>
      <c r="K703" s="2">
        <v>1163</v>
      </c>
      <c r="L703" s="2">
        <v>47.7</v>
      </c>
      <c r="M703" s="2">
        <v>83218094</v>
      </c>
      <c r="N703" s="2">
        <v>28294895</v>
      </c>
      <c r="O703" s="2"/>
      <c r="P703" s="2"/>
      <c r="Q703">
        <f t="shared" si="20"/>
        <v>51004.675971742268</v>
      </c>
      <c r="R703">
        <f t="shared" si="21"/>
        <v>136815.83364707546</v>
      </c>
    </row>
    <row r="704" spans="1:18" ht="16" x14ac:dyDescent="0.4">
      <c r="A704" s="2">
        <v>204857</v>
      </c>
      <c r="B704" s="2" t="s">
        <v>749</v>
      </c>
      <c r="C704" s="2" t="s">
        <v>243</v>
      </c>
      <c r="D704" s="2">
        <v>16138</v>
      </c>
      <c r="E704" s="2">
        <v>55.2</v>
      </c>
      <c r="F704" s="2" t="s">
        <v>36</v>
      </c>
      <c r="G704" s="2" t="s">
        <v>37</v>
      </c>
      <c r="H704" s="2">
        <v>1</v>
      </c>
      <c r="I704" s="2">
        <v>38</v>
      </c>
      <c r="J704" s="2" t="s">
        <v>38</v>
      </c>
      <c r="K704" s="2">
        <v>436</v>
      </c>
      <c r="L704" s="2">
        <v>46.8</v>
      </c>
      <c r="M704" s="2">
        <v>13779332</v>
      </c>
      <c r="N704" s="2">
        <v>7116177</v>
      </c>
      <c r="O704" s="2"/>
      <c r="P704" s="2"/>
      <c r="Q704">
        <f t="shared" si="20"/>
        <v>34875.014702422959</v>
      </c>
      <c r="R704">
        <f t="shared" si="21"/>
        <v>59405.963302752294</v>
      </c>
    </row>
    <row r="705" spans="1:18" ht="16" x14ac:dyDescent="0.4">
      <c r="A705" s="2">
        <v>204909</v>
      </c>
      <c r="B705" s="2" t="s">
        <v>750</v>
      </c>
      <c r="C705" s="2" t="s">
        <v>243</v>
      </c>
      <c r="D705" s="2">
        <v>1485</v>
      </c>
      <c r="E705" s="2">
        <v>56</v>
      </c>
      <c r="F705" s="2" t="s">
        <v>47</v>
      </c>
      <c r="G705" s="2" t="s">
        <v>37</v>
      </c>
      <c r="H705" s="2">
        <v>3</v>
      </c>
      <c r="I705" s="2">
        <v>38</v>
      </c>
      <c r="J705" s="2" t="s">
        <v>38</v>
      </c>
      <c r="K705" s="2">
        <v>640</v>
      </c>
      <c r="L705" s="2">
        <v>41.4</v>
      </c>
      <c r="M705" s="2">
        <v>1728910</v>
      </c>
      <c r="N705" s="2">
        <v>1313581</v>
      </c>
      <c r="O705" s="2"/>
      <c r="P705" s="2"/>
      <c r="Q705">
        <f t="shared" si="20"/>
        <v>4957.6577596618363</v>
      </c>
      <c r="R705">
        <f t="shared" si="21"/>
        <v>4609.9349402730368</v>
      </c>
    </row>
    <row r="706" spans="1:18" ht="16" x14ac:dyDescent="0.4">
      <c r="A706" s="2">
        <v>204936</v>
      </c>
      <c r="B706" s="2" t="s">
        <v>751</v>
      </c>
      <c r="C706" s="2" t="s">
        <v>243</v>
      </c>
      <c r="D706" s="2">
        <v>2307</v>
      </c>
      <c r="E706" s="2">
        <v>60.6</v>
      </c>
      <c r="F706" s="2" t="s">
        <v>47</v>
      </c>
      <c r="G706" s="2" t="s">
        <v>37</v>
      </c>
      <c r="H706" s="2">
        <v>3</v>
      </c>
      <c r="I706" s="2">
        <v>11</v>
      </c>
      <c r="J706" s="2" t="s">
        <v>38</v>
      </c>
      <c r="K706" s="2">
        <v>685</v>
      </c>
      <c r="L706" s="2">
        <v>33.1</v>
      </c>
      <c r="M706" s="2">
        <v>1190997</v>
      </c>
      <c r="N706" s="2">
        <v>693243</v>
      </c>
      <c r="O706" s="2"/>
      <c r="P706" s="2"/>
      <c r="Q706">
        <f t="shared" si="20"/>
        <v>3057.5032526958785</v>
      </c>
      <c r="R706">
        <f t="shared" si="21"/>
        <v>2598.9263853883667</v>
      </c>
    </row>
    <row r="707" spans="1:18" ht="16" x14ac:dyDescent="0.4">
      <c r="A707" s="2">
        <v>205957</v>
      </c>
      <c r="B707" s="2" t="s">
        <v>752</v>
      </c>
      <c r="C707" s="2" t="s">
        <v>243</v>
      </c>
      <c r="D707" s="2">
        <v>2050</v>
      </c>
      <c r="E707" s="2">
        <v>59</v>
      </c>
      <c r="F707" s="2" t="s">
        <v>47</v>
      </c>
      <c r="G707" s="2" t="s">
        <v>37</v>
      </c>
      <c r="H707" s="2">
        <v>3</v>
      </c>
      <c r="I707" s="2">
        <v>38</v>
      </c>
      <c r="J707" s="2" t="s">
        <v>41</v>
      </c>
      <c r="K707" s="2">
        <v>319</v>
      </c>
      <c r="L707" s="2">
        <v>43.9</v>
      </c>
      <c r="M707" s="2">
        <v>435008</v>
      </c>
      <c r="N707" s="2">
        <v>420570</v>
      </c>
      <c r="O707" s="2"/>
      <c r="P707" s="2"/>
      <c r="Q707">
        <f t="shared" ref="Q707:Q770" si="22">N707/(K707*(0.01*L707))</f>
        <v>3003.1919223655932</v>
      </c>
      <c r="R707">
        <f t="shared" ref="R707:R770" si="23">M707/(K707*(0.01*(100-L707)))</f>
        <v>2430.769058834705</v>
      </c>
    </row>
    <row r="708" spans="1:18" ht="16" x14ac:dyDescent="0.4">
      <c r="A708" s="2">
        <v>206048</v>
      </c>
      <c r="B708" s="2" t="s">
        <v>753</v>
      </c>
      <c r="C708" s="2" t="s">
        <v>243</v>
      </c>
      <c r="D708" s="2">
        <v>1634</v>
      </c>
      <c r="E708" s="2">
        <v>46.3</v>
      </c>
      <c r="F708" s="2" t="s">
        <v>47</v>
      </c>
      <c r="G708" s="2" t="s">
        <v>37</v>
      </c>
      <c r="H708" s="2">
        <v>2</v>
      </c>
      <c r="I708" s="2">
        <v>17</v>
      </c>
      <c r="J708" s="2" t="s">
        <v>38</v>
      </c>
      <c r="K708" s="2">
        <v>821</v>
      </c>
      <c r="L708" s="2">
        <v>36.299999999999997</v>
      </c>
      <c r="M708" s="2">
        <v>5146165</v>
      </c>
      <c r="N708" s="2">
        <v>2900157</v>
      </c>
      <c r="O708" s="2"/>
      <c r="P708" s="2"/>
      <c r="Q708">
        <f t="shared" si="22"/>
        <v>9731.3193948118114</v>
      </c>
      <c r="R708">
        <f t="shared" si="23"/>
        <v>9840.1363731100992</v>
      </c>
    </row>
    <row r="709" spans="1:18" ht="16" x14ac:dyDescent="0.4">
      <c r="A709" s="2">
        <v>206084</v>
      </c>
      <c r="B709" s="2" t="s">
        <v>754</v>
      </c>
      <c r="C709" s="2" t="s">
        <v>243</v>
      </c>
      <c r="D709" s="2">
        <v>12432</v>
      </c>
      <c r="E709" s="2">
        <v>49.4</v>
      </c>
      <c r="F709" s="2" t="s">
        <v>36</v>
      </c>
      <c r="G709" s="2" t="s">
        <v>37</v>
      </c>
      <c r="H709" s="2">
        <v>1</v>
      </c>
      <c r="I709" s="2">
        <v>38</v>
      </c>
      <c r="J709" s="2" t="s">
        <v>38</v>
      </c>
      <c r="K709" s="2">
        <v>461</v>
      </c>
      <c r="L709" s="2">
        <v>52.7</v>
      </c>
      <c r="M709" s="2">
        <v>14864688</v>
      </c>
      <c r="N709" s="2">
        <v>7596811</v>
      </c>
      <c r="O709" s="2"/>
      <c r="P709" s="2"/>
      <c r="Q709">
        <f t="shared" si="22"/>
        <v>31269.416786377275</v>
      </c>
      <c r="R709">
        <f t="shared" si="23"/>
        <v>68170.06874475471</v>
      </c>
    </row>
    <row r="710" spans="1:18" ht="16" x14ac:dyDescent="0.4">
      <c r="A710" s="2">
        <v>206437</v>
      </c>
      <c r="B710" s="2" t="s">
        <v>755</v>
      </c>
      <c r="C710" s="2" t="s">
        <v>243</v>
      </c>
      <c r="D710" s="2">
        <v>1613</v>
      </c>
      <c r="E710" s="2">
        <v>56.9</v>
      </c>
      <c r="F710" s="2" t="s">
        <v>47</v>
      </c>
      <c r="G710" s="2" t="s">
        <v>37</v>
      </c>
      <c r="H710" s="2">
        <v>2</v>
      </c>
      <c r="I710" s="2">
        <v>38</v>
      </c>
      <c r="J710" s="2" t="s">
        <v>38</v>
      </c>
      <c r="K710" s="2">
        <v>682</v>
      </c>
      <c r="L710" s="2">
        <v>40.5</v>
      </c>
      <c r="M710" s="2">
        <v>4251324</v>
      </c>
      <c r="N710" s="2">
        <v>2758059</v>
      </c>
      <c r="O710" s="2"/>
      <c r="P710" s="2"/>
      <c r="Q710">
        <f t="shared" si="22"/>
        <v>9985.3698273053105</v>
      </c>
      <c r="R710">
        <f t="shared" si="23"/>
        <v>10476.660341555978</v>
      </c>
    </row>
    <row r="711" spans="1:18" ht="16" x14ac:dyDescent="0.4">
      <c r="A711" s="2">
        <v>206507</v>
      </c>
      <c r="B711" s="2" t="s">
        <v>756</v>
      </c>
      <c r="C711" s="2" t="s">
        <v>243</v>
      </c>
      <c r="D711" s="2">
        <v>1167</v>
      </c>
      <c r="E711" s="2">
        <v>53.4</v>
      </c>
      <c r="F711" s="2" t="s">
        <v>47</v>
      </c>
      <c r="G711" s="2" t="s">
        <v>37</v>
      </c>
      <c r="H711" s="2">
        <v>3</v>
      </c>
      <c r="I711" s="2">
        <v>38</v>
      </c>
      <c r="J711" s="2" t="s">
        <v>38</v>
      </c>
      <c r="K711" s="2">
        <v>505</v>
      </c>
      <c r="L711" s="2">
        <v>39.200000000000003</v>
      </c>
      <c r="M711" s="2">
        <v>1253965</v>
      </c>
      <c r="N711" s="2">
        <v>772501</v>
      </c>
      <c r="O711" s="2"/>
      <c r="P711" s="2"/>
      <c r="Q711">
        <f t="shared" si="22"/>
        <v>3902.3085471812487</v>
      </c>
      <c r="R711">
        <f t="shared" si="23"/>
        <v>4084.0444241792597</v>
      </c>
    </row>
    <row r="712" spans="1:18" ht="16" x14ac:dyDescent="0.4">
      <c r="A712" s="2">
        <v>206525</v>
      </c>
      <c r="B712" s="2" t="s">
        <v>757</v>
      </c>
      <c r="C712" s="2" t="s">
        <v>243</v>
      </c>
      <c r="D712" s="2">
        <v>1492</v>
      </c>
      <c r="E712" s="2">
        <v>54.2</v>
      </c>
      <c r="F712" s="2" t="s">
        <v>47</v>
      </c>
      <c r="G712" s="2" t="s">
        <v>37</v>
      </c>
      <c r="H712" s="2">
        <v>3</v>
      </c>
      <c r="I712" s="2">
        <v>16</v>
      </c>
      <c r="J712" s="2" t="s">
        <v>38</v>
      </c>
      <c r="K712" s="2">
        <v>666</v>
      </c>
      <c r="L712" s="2">
        <v>36.6</v>
      </c>
      <c r="M712" s="2">
        <v>1786970</v>
      </c>
      <c r="N712" s="2">
        <v>1177946</v>
      </c>
      <c r="O712" s="2"/>
      <c r="P712" s="2"/>
      <c r="Q712">
        <f t="shared" si="22"/>
        <v>4832.4800210046105</v>
      </c>
      <c r="R712">
        <f t="shared" si="23"/>
        <v>4232.0790822368108</v>
      </c>
    </row>
    <row r="713" spans="1:18" ht="16" x14ac:dyDescent="0.4">
      <c r="A713" s="2">
        <v>206589</v>
      </c>
      <c r="B713" s="2" t="s">
        <v>758</v>
      </c>
      <c r="C713" s="2" t="s">
        <v>243</v>
      </c>
      <c r="D713" s="2">
        <v>1934</v>
      </c>
      <c r="E713" s="2">
        <v>53.7</v>
      </c>
      <c r="F713" s="2" t="s">
        <v>47</v>
      </c>
      <c r="G713" s="2" t="s">
        <v>37</v>
      </c>
      <c r="H713" s="2">
        <v>3</v>
      </c>
      <c r="I713" s="2">
        <v>38</v>
      </c>
      <c r="J713" s="2" t="s">
        <v>38</v>
      </c>
      <c r="K713" s="2">
        <v>650</v>
      </c>
      <c r="L713" s="2">
        <v>41.1</v>
      </c>
      <c r="M713" s="2">
        <v>1391516</v>
      </c>
      <c r="N713" s="2">
        <v>1128507</v>
      </c>
      <c r="O713" s="2"/>
      <c r="P713" s="2"/>
      <c r="Q713">
        <f t="shared" si="22"/>
        <v>4224.2448062886015</v>
      </c>
      <c r="R713">
        <f t="shared" si="23"/>
        <v>3634.6245265769885</v>
      </c>
    </row>
    <row r="714" spans="1:18" ht="16" x14ac:dyDescent="0.4">
      <c r="A714" s="2">
        <v>206604</v>
      </c>
      <c r="B714" s="2" t="s">
        <v>759</v>
      </c>
      <c r="C714" s="2" t="s">
        <v>243</v>
      </c>
      <c r="D714" s="2">
        <v>7160</v>
      </c>
      <c r="E714" s="2">
        <v>54</v>
      </c>
      <c r="F714" s="2" t="s">
        <v>36</v>
      </c>
      <c r="G714" s="2" t="s">
        <v>37</v>
      </c>
      <c r="H714" s="2">
        <v>1</v>
      </c>
      <c r="I714" s="2">
        <v>10</v>
      </c>
      <c r="J714" s="2" t="s">
        <v>41</v>
      </c>
      <c r="K714" s="2">
        <v>260</v>
      </c>
      <c r="L714" s="2">
        <v>57.7</v>
      </c>
      <c r="M714" s="2">
        <v>5288401</v>
      </c>
      <c r="N714" s="2">
        <v>4244196</v>
      </c>
      <c r="O714" s="2"/>
      <c r="P714" s="2"/>
      <c r="Q714">
        <f t="shared" si="22"/>
        <v>28290.867884282095</v>
      </c>
      <c r="R714">
        <f t="shared" si="23"/>
        <v>48085.11547554101</v>
      </c>
    </row>
    <row r="715" spans="1:18" ht="16" x14ac:dyDescent="0.4">
      <c r="A715" s="2">
        <v>206622</v>
      </c>
      <c r="B715" s="2" t="s">
        <v>760</v>
      </c>
      <c r="C715" s="2" t="s">
        <v>243</v>
      </c>
      <c r="D715" s="2">
        <v>4831</v>
      </c>
      <c r="E715" s="2">
        <v>54.4</v>
      </c>
      <c r="F715" s="2" t="s">
        <v>47</v>
      </c>
      <c r="G715" s="2" t="s">
        <v>37</v>
      </c>
      <c r="H715" s="2">
        <v>1</v>
      </c>
      <c r="I715" s="2">
        <v>38</v>
      </c>
      <c r="J715" s="2" t="s">
        <v>41</v>
      </c>
      <c r="K715" s="2">
        <v>367</v>
      </c>
      <c r="L715" s="2">
        <v>50.7</v>
      </c>
      <c r="M715" s="2">
        <v>12642518</v>
      </c>
      <c r="N715" s="2">
        <v>6319517</v>
      </c>
      <c r="O715" s="2"/>
      <c r="P715" s="2"/>
      <c r="Q715">
        <f t="shared" si="22"/>
        <v>33963.298561286407</v>
      </c>
      <c r="R715">
        <f t="shared" si="23"/>
        <v>69874.803101734913</v>
      </c>
    </row>
    <row r="716" spans="1:18" ht="16" x14ac:dyDescent="0.4">
      <c r="A716" s="2">
        <v>206695</v>
      </c>
      <c r="B716" s="2" t="s">
        <v>761</v>
      </c>
      <c r="C716" s="2" t="s">
        <v>243</v>
      </c>
      <c r="D716" s="2">
        <v>8576</v>
      </c>
      <c r="E716" s="2">
        <v>52.8</v>
      </c>
      <c r="F716" s="2" t="s">
        <v>36</v>
      </c>
      <c r="G716" s="2" t="s">
        <v>37</v>
      </c>
      <c r="H716" s="2">
        <v>1</v>
      </c>
      <c r="I716" s="2">
        <v>12</v>
      </c>
      <c r="J716" s="2" t="s">
        <v>38</v>
      </c>
      <c r="K716" s="2">
        <v>579</v>
      </c>
      <c r="L716" s="2">
        <v>43.5</v>
      </c>
      <c r="M716" s="2">
        <v>7762279</v>
      </c>
      <c r="N716" s="2">
        <v>4542322</v>
      </c>
      <c r="O716" s="2"/>
      <c r="P716" s="2"/>
      <c r="Q716">
        <f t="shared" si="22"/>
        <v>18034.748774144879</v>
      </c>
      <c r="R716">
        <f t="shared" si="23"/>
        <v>23728.060280923775</v>
      </c>
    </row>
    <row r="717" spans="1:18" ht="16" x14ac:dyDescent="0.4">
      <c r="A717" s="2">
        <v>206862</v>
      </c>
      <c r="B717" s="2" t="s">
        <v>762</v>
      </c>
      <c r="C717" s="2" t="s">
        <v>68</v>
      </c>
      <c r="D717" s="2">
        <v>1326</v>
      </c>
      <c r="E717" s="2">
        <v>50.7</v>
      </c>
      <c r="F717" s="2" t="s">
        <v>47</v>
      </c>
      <c r="G717" s="2" t="s">
        <v>37</v>
      </c>
      <c r="H717" s="2">
        <v>2</v>
      </c>
      <c r="I717" s="2">
        <v>38</v>
      </c>
      <c r="J717" s="2" t="s">
        <v>38</v>
      </c>
      <c r="K717" s="2">
        <v>559</v>
      </c>
      <c r="L717" s="2">
        <v>36.5</v>
      </c>
      <c r="M717" s="2">
        <v>3533082</v>
      </c>
      <c r="N717" s="2">
        <v>2206335</v>
      </c>
      <c r="O717" s="2"/>
      <c r="P717" s="2"/>
      <c r="Q717">
        <f t="shared" si="22"/>
        <v>10813.512387580562</v>
      </c>
      <c r="R717">
        <f t="shared" si="23"/>
        <v>9953.3249757018293</v>
      </c>
    </row>
    <row r="718" spans="1:18" ht="16" x14ac:dyDescent="0.4">
      <c r="A718" s="2">
        <v>206914</v>
      </c>
      <c r="B718" s="2" t="s">
        <v>763</v>
      </c>
      <c r="C718" s="2" t="s">
        <v>68</v>
      </c>
      <c r="D718" s="2">
        <v>2553</v>
      </c>
      <c r="E718" s="2">
        <v>62.1</v>
      </c>
      <c r="F718" s="2" t="s">
        <v>36</v>
      </c>
      <c r="G718" s="2" t="s">
        <v>37</v>
      </c>
      <c r="H718" s="2">
        <v>2</v>
      </c>
      <c r="I718" s="2">
        <v>38</v>
      </c>
      <c r="J718" s="2" t="s">
        <v>41</v>
      </c>
      <c r="K718" s="2">
        <v>243</v>
      </c>
      <c r="L718" s="2">
        <v>44.4</v>
      </c>
      <c r="M718" s="2">
        <v>1238713</v>
      </c>
      <c r="N718" s="2">
        <v>1319481</v>
      </c>
      <c r="O718" s="2"/>
      <c r="P718" s="2"/>
      <c r="Q718">
        <f t="shared" si="22"/>
        <v>12229.646312979647</v>
      </c>
      <c r="R718">
        <f t="shared" si="23"/>
        <v>9168.3171980933766</v>
      </c>
    </row>
    <row r="719" spans="1:18" ht="16" x14ac:dyDescent="0.4">
      <c r="A719" s="2">
        <v>206941</v>
      </c>
      <c r="B719" s="2" t="s">
        <v>764</v>
      </c>
      <c r="C719" s="2" t="s">
        <v>68</v>
      </c>
      <c r="D719" s="2">
        <v>9699</v>
      </c>
      <c r="E719" s="2">
        <v>60.6</v>
      </c>
      <c r="F719" s="2" t="s">
        <v>36</v>
      </c>
      <c r="G719" s="2" t="s">
        <v>37</v>
      </c>
      <c r="H719" s="2">
        <v>2</v>
      </c>
      <c r="I719" s="2">
        <v>38</v>
      </c>
      <c r="J719" s="2" t="s">
        <v>38</v>
      </c>
      <c r="K719" s="2">
        <v>399</v>
      </c>
      <c r="L719" s="2">
        <v>46.6</v>
      </c>
      <c r="M719" s="2">
        <v>3123633</v>
      </c>
      <c r="N719" s="2">
        <v>2718212</v>
      </c>
      <c r="O719" s="2"/>
      <c r="P719" s="2"/>
      <c r="Q719">
        <f t="shared" si="22"/>
        <v>14619.230479632559</v>
      </c>
      <c r="R719">
        <f t="shared" si="23"/>
        <v>14660.401002506265</v>
      </c>
    </row>
    <row r="720" spans="1:18" ht="16" x14ac:dyDescent="0.4">
      <c r="A720" s="2">
        <v>207041</v>
      </c>
      <c r="B720" s="2" t="s">
        <v>765</v>
      </c>
      <c r="C720" s="2" t="s">
        <v>68</v>
      </c>
      <c r="D720" s="2">
        <v>2384</v>
      </c>
      <c r="E720" s="2">
        <v>57.8</v>
      </c>
      <c r="F720" s="2" t="s">
        <v>36</v>
      </c>
      <c r="G720" s="2" t="s">
        <v>37</v>
      </c>
      <c r="H720" s="2">
        <v>2</v>
      </c>
      <c r="I720" s="2">
        <v>38</v>
      </c>
      <c r="J720" s="2" t="s">
        <v>38</v>
      </c>
      <c r="K720" s="2">
        <v>330</v>
      </c>
      <c r="L720" s="2">
        <v>33</v>
      </c>
      <c r="M720" s="2">
        <v>1688614</v>
      </c>
      <c r="N720" s="2">
        <v>970430</v>
      </c>
      <c r="O720" s="2"/>
      <c r="P720" s="2"/>
      <c r="Q720">
        <f t="shared" si="22"/>
        <v>8911.2029384756661</v>
      </c>
      <c r="R720">
        <f t="shared" si="23"/>
        <v>7637.331524197195</v>
      </c>
    </row>
    <row r="721" spans="1:18" ht="16" x14ac:dyDescent="0.4">
      <c r="A721" s="2">
        <v>207263</v>
      </c>
      <c r="B721" s="2" t="s">
        <v>766</v>
      </c>
      <c r="C721" s="2" t="s">
        <v>68</v>
      </c>
      <c r="D721" s="2">
        <v>4334</v>
      </c>
      <c r="E721" s="2">
        <v>60.2</v>
      </c>
      <c r="F721" s="2" t="s">
        <v>36</v>
      </c>
      <c r="G721" s="2" t="s">
        <v>37</v>
      </c>
      <c r="H721" s="2">
        <v>2</v>
      </c>
      <c r="I721" s="2">
        <v>38</v>
      </c>
      <c r="J721" s="2" t="s">
        <v>38</v>
      </c>
      <c r="K721" s="2">
        <v>285</v>
      </c>
      <c r="L721" s="2">
        <v>30.9</v>
      </c>
      <c r="M721" s="2">
        <v>2998486</v>
      </c>
      <c r="N721" s="2">
        <v>1327724</v>
      </c>
      <c r="O721" s="2"/>
      <c r="P721" s="2"/>
      <c r="Q721">
        <f t="shared" si="22"/>
        <v>15076.636575256913</v>
      </c>
      <c r="R721">
        <f t="shared" si="23"/>
        <v>15225.764846269076</v>
      </c>
    </row>
    <row r="722" spans="1:18" ht="16" x14ac:dyDescent="0.4">
      <c r="A722" s="2">
        <v>207306</v>
      </c>
      <c r="B722" s="2" t="s">
        <v>767</v>
      </c>
      <c r="C722" s="2" t="s">
        <v>68</v>
      </c>
      <c r="D722" s="2">
        <v>1375</v>
      </c>
      <c r="E722" s="2">
        <v>58.8</v>
      </c>
      <c r="F722" s="2" t="s">
        <v>36</v>
      </c>
      <c r="G722" s="2" t="s">
        <v>37</v>
      </c>
      <c r="H722" s="2">
        <v>2</v>
      </c>
      <c r="I722" s="2">
        <v>38</v>
      </c>
      <c r="J722" s="2" t="s">
        <v>38</v>
      </c>
      <c r="K722" s="2">
        <v>538</v>
      </c>
      <c r="L722" s="2">
        <v>43.3</v>
      </c>
      <c r="M722" s="2">
        <v>2099525</v>
      </c>
      <c r="N722" s="2">
        <v>1504518</v>
      </c>
      <c r="O722" s="2"/>
      <c r="P722" s="2"/>
      <c r="Q722">
        <f t="shared" si="22"/>
        <v>6458.4338538939019</v>
      </c>
      <c r="R722">
        <f t="shared" si="23"/>
        <v>6882.650485500546</v>
      </c>
    </row>
    <row r="723" spans="1:18" ht="16" x14ac:dyDescent="0.4">
      <c r="A723" s="2">
        <v>207324</v>
      </c>
      <c r="B723" s="2" t="s">
        <v>768</v>
      </c>
      <c r="C723" s="2" t="s">
        <v>68</v>
      </c>
      <c r="D723" s="2">
        <v>1654</v>
      </c>
      <c r="E723" s="2">
        <v>51.1</v>
      </c>
      <c r="F723" s="2" t="s">
        <v>47</v>
      </c>
      <c r="G723" s="2" t="s">
        <v>37</v>
      </c>
      <c r="H723" s="2">
        <v>2</v>
      </c>
      <c r="I723" s="2">
        <v>38</v>
      </c>
      <c r="J723" s="2" t="s">
        <v>41</v>
      </c>
      <c r="K723" s="2">
        <v>392</v>
      </c>
      <c r="L723" s="2">
        <v>42.1</v>
      </c>
      <c r="M723" s="2">
        <v>2825652</v>
      </c>
      <c r="N723" s="2">
        <v>2500342</v>
      </c>
      <c r="O723" s="2"/>
      <c r="P723" s="2"/>
      <c r="Q723">
        <f t="shared" si="22"/>
        <v>15150.649570992291</v>
      </c>
      <c r="R723">
        <f t="shared" si="23"/>
        <v>12449.561171618907</v>
      </c>
    </row>
    <row r="724" spans="1:18" ht="16" x14ac:dyDescent="0.4">
      <c r="A724" s="2">
        <v>207388</v>
      </c>
      <c r="B724" s="2" t="s">
        <v>769</v>
      </c>
      <c r="C724" s="2" t="s">
        <v>68</v>
      </c>
      <c r="D724" s="2">
        <v>17238</v>
      </c>
      <c r="E724" s="2">
        <v>49.5</v>
      </c>
      <c r="F724" s="2" t="s">
        <v>36</v>
      </c>
      <c r="G724" s="2" t="s">
        <v>37</v>
      </c>
      <c r="H724" s="2">
        <v>1</v>
      </c>
      <c r="I724" s="2">
        <v>38</v>
      </c>
      <c r="J724" s="2" t="s">
        <v>38</v>
      </c>
      <c r="K724" s="2">
        <v>606</v>
      </c>
      <c r="L724" s="2">
        <v>50.2</v>
      </c>
      <c r="M724" s="2">
        <v>39979555</v>
      </c>
      <c r="N724" s="2">
        <v>11734004</v>
      </c>
      <c r="O724" s="2"/>
      <c r="P724" s="2"/>
      <c r="Q724">
        <f t="shared" si="22"/>
        <v>38571.79861412436</v>
      </c>
      <c r="R724">
        <f t="shared" si="23"/>
        <v>132475.62858695508</v>
      </c>
    </row>
    <row r="725" spans="1:18" ht="16" x14ac:dyDescent="0.4">
      <c r="A725" s="2">
        <v>207403</v>
      </c>
      <c r="B725" s="2" t="s">
        <v>770</v>
      </c>
      <c r="C725" s="2" t="s">
        <v>68</v>
      </c>
      <c r="D725" s="2">
        <v>1668</v>
      </c>
      <c r="E725" s="2">
        <v>60.3</v>
      </c>
      <c r="F725" s="2" t="s">
        <v>47</v>
      </c>
      <c r="G725" s="2" t="s">
        <v>37</v>
      </c>
      <c r="H725" s="2">
        <v>2</v>
      </c>
      <c r="I725" s="2">
        <v>38</v>
      </c>
      <c r="J725" s="2" t="s">
        <v>38</v>
      </c>
      <c r="K725" s="2">
        <v>663</v>
      </c>
      <c r="L725" s="2">
        <v>47.7</v>
      </c>
      <c r="M725" s="2">
        <v>4679263</v>
      </c>
      <c r="N725" s="2">
        <v>3915312</v>
      </c>
      <c r="O725" s="2"/>
      <c r="P725" s="2"/>
      <c r="Q725">
        <f t="shared" si="22"/>
        <v>12380.394054089946</v>
      </c>
      <c r="R725">
        <f t="shared" si="23"/>
        <v>13494.66905456108</v>
      </c>
    </row>
    <row r="726" spans="1:18" ht="16" x14ac:dyDescent="0.4">
      <c r="A726" s="2">
        <v>207500</v>
      </c>
      <c r="B726" s="2" t="s">
        <v>771</v>
      </c>
      <c r="C726" s="2" t="s">
        <v>68</v>
      </c>
      <c r="D726" s="2">
        <v>18820</v>
      </c>
      <c r="E726" s="2">
        <v>51.3</v>
      </c>
      <c r="F726" s="2" t="s">
        <v>36</v>
      </c>
      <c r="G726" s="2" t="s">
        <v>37</v>
      </c>
      <c r="H726" s="2">
        <v>1</v>
      </c>
      <c r="I726" s="2">
        <v>38</v>
      </c>
      <c r="J726" s="2" t="s">
        <v>38</v>
      </c>
      <c r="K726" s="2">
        <v>730</v>
      </c>
      <c r="L726" s="2">
        <v>51</v>
      </c>
      <c r="M726" s="2">
        <v>63165800</v>
      </c>
      <c r="N726" s="2">
        <v>25625312</v>
      </c>
      <c r="O726" s="2"/>
      <c r="P726" s="2"/>
      <c r="Q726">
        <f t="shared" si="22"/>
        <v>68829.739457426811</v>
      </c>
      <c r="R726">
        <f t="shared" si="23"/>
        <v>176588.76153201007</v>
      </c>
    </row>
    <row r="727" spans="1:18" ht="16" x14ac:dyDescent="0.4">
      <c r="A727" s="2">
        <v>207582</v>
      </c>
      <c r="B727" s="2" t="s">
        <v>772</v>
      </c>
      <c r="C727" s="2" t="s">
        <v>68</v>
      </c>
      <c r="D727" s="2">
        <v>2709</v>
      </c>
      <c r="E727" s="2">
        <v>59.9</v>
      </c>
      <c r="F727" s="2" t="s">
        <v>47</v>
      </c>
      <c r="G727" s="2" t="s">
        <v>37</v>
      </c>
      <c r="H727" s="2">
        <v>1</v>
      </c>
      <c r="I727" s="2">
        <v>38</v>
      </c>
      <c r="J727" s="2" t="s">
        <v>41</v>
      </c>
      <c r="K727" s="2">
        <v>321</v>
      </c>
      <c r="L727" s="2">
        <v>44.5</v>
      </c>
      <c r="M727" s="2">
        <v>4852761</v>
      </c>
      <c r="N727" s="2">
        <v>4200861</v>
      </c>
      <c r="O727" s="2"/>
      <c r="P727" s="2"/>
      <c r="Q727">
        <f t="shared" si="22"/>
        <v>29408.526724771607</v>
      </c>
      <c r="R727">
        <f t="shared" si="23"/>
        <v>27238.982908141781</v>
      </c>
    </row>
    <row r="728" spans="1:18" ht="16" x14ac:dyDescent="0.4">
      <c r="A728" s="2">
        <v>207661</v>
      </c>
      <c r="B728" s="2" t="s">
        <v>773</v>
      </c>
      <c r="C728" s="2" t="s">
        <v>68</v>
      </c>
      <c r="D728" s="2">
        <v>2268</v>
      </c>
      <c r="E728" s="2">
        <v>60.6</v>
      </c>
      <c r="F728" s="2" t="s">
        <v>36</v>
      </c>
      <c r="G728" s="2" t="s">
        <v>37</v>
      </c>
      <c r="H728" s="2">
        <v>2</v>
      </c>
      <c r="I728" s="2">
        <v>38</v>
      </c>
      <c r="J728" s="2" t="s">
        <v>41</v>
      </c>
      <c r="K728" s="2">
        <v>241</v>
      </c>
      <c r="L728" s="2">
        <v>45.6</v>
      </c>
      <c r="M728" s="2">
        <v>2108183</v>
      </c>
      <c r="N728" s="2">
        <v>1873813</v>
      </c>
      <c r="O728" s="2"/>
      <c r="P728" s="2"/>
      <c r="Q728">
        <f t="shared" si="22"/>
        <v>17050.784377957341</v>
      </c>
      <c r="R728">
        <f t="shared" si="23"/>
        <v>16080.234012692212</v>
      </c>
    </row>
    <row r="729" spans="1:18" ht="16" x14ac:dyDescent="0.4">
      <c r="A729" s="2">
        <v>207847</v>
      </c>
      <c r="B729" s="2" t="s">
        <v>774</v>
      </c>
      <c r="C729" s="2" t="s">
        <v>68</v>
      </c>
      <c r="D729" s="2">
        <v>2389</v>
      </c>
      <c r="E729" s="2">
        <v>51.3</v>
      </c>
      <c r="F729" s="2" t="s">
        <v>36</v>
      </c>
      <c r="G729" s="2" t="s">
        <v>37</v>
      </c>
      <c r="H729" s="2">
        <v>2</v>
      </c>
      <c r="I729" s="2">
        <v>38</v>
      </c>
      <c r="J729" s="2" t="s">
        <v>38</v>
      </c>
      <c r="K729" s="2">
        <v>336</v>
      </c>
      <c r="L729" s="2">
        <v>33.9</v>
      </c>
      <c r="M729" s="2">
        <v>2180095</v>
      </c>
      <c r="N729" s="2">
        <v>1197467</v>
      </c>
      <c r="O729" s="2"/>
      <c r="P729" s="2"/>
      <c r="Q729">
        <f t="shared" si="22"/>
        <v>10512.949501334457</v>
      </c>
      <c r="R729">
        <f t="shared" si="23"/>
        <v>9816.0029896981505</v>
      </c>
    </row>
    <row r="730" spans="1:18" ht="16" x14ac:dyDescent="0.4">
      <c r="A730" s="2">
        <v>207865</v>
      </c>
      <c r="B730" s="2" t="s">
        <v>775</v>
      </c>
      <c r="C730" s="2" t="s">
        <v>68</v>
      </c>
      <c r="D730" s="2">
        <v>3327</v>
      </c>
      <c r="E730" s="2">
        <v>59.2</v>
      </c>
      <c r="F730" s="2" t="s">
        <v>36</v>
      </c>
      <c r="G730" s="2" t="s">
        <v>37</v>
      </c>
      <c r="H730" s="2">
        <v>2</v>
      </c>
      <c r="I730" s="2">
        <v>9</v>
      </c>
      <c r="J730" s="2" t="s">
        <v>38</v>
      </c>
      <c r="K730" s="2">
        <v>387</v>
      </c>
      <c r="L730" s="2">
        <v>38.799999999999997</v>
      </c>
      <c r="M730" s="2">
        <v>2196644</v>
      </c>
      <c r="N730" s="2">
        <v>1758320</v>
      </c>
      <c r="O730" s="2"/>
      <c r="P730" s="2"/>
      <c r="Q730">
        <f t="shared" si="22"/>
        <v>11709.954980153974</v>
      </c>
      <c r="R730">
        <f t="shared" si="23"/>
        <v>9274.644913951799</v>
      </c>
    </row>
    <row r="731" spans="1:18" ht="16" x14ac:dyDescent="0.4">
      <c r="A731" s="2">
        <v>207971</v>
      </c>
      <c r="B731" s="2" t="s">
        <v>776</v>
      </c>
      <c r="C731" s="2" t="s">
        <v>68</v>
      </c>
      <c r="D731" s="2">
        <v>3151</v>
      </c>
      <c r="E731" s="2">
        <v>46.7</v>
      </c>
      <c r="F731" s="2" t="s">
        <v>47</v>
      </c>
      <c r="G731" s="2" t="s">
        <v>37</v>
      </c>
      <c r="H731" s="2">
        <v>1</v>
      </c>
      <c r="I731" s="2">
        <v>38</v>
      </c>
      <c r="J731" s="2" t="s">
        <v>38</v>
      </c>
      <c r="K731" s="2">
        <v>525</v>
      </c>
      <c r="L731" s="2">
        <v>44.6</v>
      </c>
      <c r="M731" s="2">
        <v>21261633</v>
      </c>
      <c r="N731" s="2">
        <v>10577431</v>
      </c>
      <c r="O731" s="2"/>
      <c r="P731" s="2"/>
      <c r="Q731">
        <f t="shared" si="22"/>
        <v>45173.739056160579</v>
      </c>
      <c r="R731">
        <f t="shared" si="23"/>
        <v>73101.71222279525</v>
      </c>
    </row>
    <row r="732" spans="1:18" ht="16" x14ac:dyDescent="0.4">
      <c r="A732" s="2">
        <v>208822</v>
      </c>
      <c r="B732" s="2" t="s">
        <v>777</v>
      </c>
      <c r="C732" s="2" t="s">
        <v>60</v>
      </c>
      <c r="D732" s="2">
        <v>2428</v>
      </c>
      <c r="E732" s="2">
        <v>58</v>
      </c>
      <c r="F732" s="2" t="s">
        <v>47</v>
      </c>
      <c r="G732" s="2" t="s">
        <v>37</v>
      </c>
      <c r="H732" s="2">
        <v>3</v>
      </c>
      <c r="I732" s="2">
        <v>38</v>
      </c>
      <c r="J732" s="2" t="s">
        <v>38</v>
      </c>
      <c r="K732" s="2">
        <v>576</v>
      </c>
      <c r="L732" s="2">
        <v>40.299999999999997</v>
      </c>
      <c r="M732" s="2">
        <v>1983563</v>
      </c>
      <c r="N732" s="2">
        <v>1341361</v>
      </c>
      <c r="O732" s="2"/>
      <c r="P732" s="2"/>
      <c r="Q732">
        <f t="shared" si="22"/>
        <v>5778.5402881169011</v>
      </c>
      <c r="R732">
        <f t="shared" si="23"/>
        <v>5768.3178624604489</v>
      </c>
    </row>
    <row r="733" spans="1:18" ht="16" x14ac:dyDescent="0.4">
      <c r="A733" s="2">
        <v>209056</v>
      </c>
      <c r="B733" s="2" t="s">
        <v>778</v>
      </c>
      <c r="C733" s="2" t="s">
        <v>60</v>
      </c>
      <c r="D733" s="2">
        <v>1887</v>
      </c>
      <c r="E733" s="2">
        <v>61.4</v>
      </c>
      <c r="F733" s="2" t="s">
        <v>47</v>
      </c>
      <c r="G733" s="2" t="s">
        <v>37</v>
      </c>
      <c r="H733" s="2">
        <v>3</v>
      </c>
      <c r="I733" s="2">
        <v>38</v>
      </c>
      <c r="J733" s="2" t="s">
        <v>38</v>
      </c>
      <c r="K733" s="2">
        <v>349</v>
      </c>
      <c r="L733" s="2">
        <v>44.4</v>
      </c>
      <c r="M733" s="2">
        <v>1065114</v>
      </c>
      <c r="N733" s="2">
        <v>794604</v>
      </c>
      <c r="O733" s="2"/>
      <c r="P733" s="2"/>
      <c r="Q733">
        <f t="shared" si="22"/>
        <v>5127.9330906838077</v>
      </c>
      <c r="R733">
        <f t="shared" si="23"/>
        <v>5489.0334151017296</v>
      </c>
    </row>
    <row r="734" spans="1:18" ht="16" x14ac:dyDescent="0.4">
      <c r="A734" s="2">
        <v>209065</v>
      </c>
      <c r="B734" s="2" t="s">
        <v>779</v>
      </c>
      <c r="C734" s="2" t="s">
        <v>60</v>
      </c>
      <c r="D734" s="2">
        <v>1363</v>
      </c>
      <c r="E734" s="2">
        <v>61.7</v>
      </c>
      <c r="F734" s="2" t="s">
        <v>47</v>
      </c>
      <c r="G734" s="2" t="s">
        <v>37</v>
      </c>
      <c r="H734" s="2">
        <v>3</v>
      </c>
      <c r="I734" s="2">
        <v>13</v>
      </c>
      <c r="J734" s="2" t="s">
        <v>38</v>
      </c>
      <c r="K734" s="2">
        <v>584</v>
      </c>
      <c r="L734" s="2">
        <v>42.1</v>
      </c>
      <c r="M734" s="2">
        <v>1735912</v>
      </c>
      <c r="N734" s="2">
        <v>1128808</v>
      </c>
      <c r="O734" s="2"/>
      <c r="P734" s="2"/>
      <c r="Q734">
        <f t="shared" si="22"/>
        <v>4591.1886246054719</v>
      </c>
      <c r="R734">
        <f t="shared" si="23"/>
        <v>5133.7686611304334</v>
      </c>
    </row>
    <row r="735" spans="1:18" ht="16" x14ac:dyDescent="0.4">
      <c r="A735" s="2">
        <v>209542</v>
      </c>
      <c r="B735" s="2" t="s">
        <v>780</v>
      </c>
      <c r="C735" s="2" t="s">
        <v>60</v>
      </c>
      <c r="D735" s="2">
        <v>18188</v>
      </c>
      <c r="E735" s="2">
        <v>46.4</v>
      </c>
      <c r="F735" s="2" t="s">
        <v>36</v>
      </c>
      <c r="G735" s="2" t="s">
        <v>37</v>
      </c>
      <c r="H735" s="2">
        <v>1</v>
      </c>
      <c r="I735" s="2">
        <v>38</v>
      </c>
      <c r="J735" s="2" t="s">
        <v>38</v>
      </c>
      <c r="K735" s="2">
        <v>559</v>
      </c>
      <c r="L735" s="2">
        <v>46.7</v>
      </c>
      <c r="M735" s="2">
        <v>34960711</v>
      </c>
      <c r="N735" s="2">
        <v>13766053</v>
      </c>
      <c r="O735" s="2"/>
      <c r="P735" s="2"/>
      <c r="Q735">
        <f t="shared" si="22"/>
        <v>52732.789893240071</v>
      </c>
      <c r="R735">
        <f t="shared" si="23"/>
        <v>117338.69110949263</v>
      </c>
    </row>
    <row r="736" spans="1:18" ht="16" x14ac:dyDescent="0.4">
      <c r="A736" s="2">
        <v>209551</v>
      </c>
      <c r="B736" s="2" t="s">
        <v>781</v>
      </c>
      <c r="C736" s="2" t="s">
        <v>60</v>
      </c>
      <c r="D736" s="2">
        <v>17413</v>
      </c>
      <c r="E736" s="2">
        <v>54.4</v>
      </c>
      <c r="F736" s="2" t="s">
        <v>36</v>
      </c>
      <c r="G736" s="2" t="s">
        <v>37</v>
      </c>
      <c r="H736" s="2">
        <v>1</v>
      </c>
      <c r="I736" s="2">
        <v>38</v>
      </c>
      <c r="J736" s="2" t="s">
        <v>38</v>
      </c>
      <c r="K736" s="2">
        <v>516</v>
      </c>
      <c r="L736" s="2">
        <v>51.2</v>
      </c>
      <c r="M736" s="2">
        <v>49504143</v>
      </c>
      <c r="N736" s="2">
        <v>17321777</v>
      </c>
      <c r="O736" s="2"/>
      <c r="P736" s="2"/>
      <c r="Q736">
        <f t="shared" si="22"/>
        <v>65565.107951792641</v>
      </c>
      <c r="R736">
        <f t="shared" si="23"/>
        <v>196594.79841784216</v>
      </c>
    </row>
    <row r="737" spans="1:18" ht="16" x14ac:dyDescent="0.4">
      <c r="A737" s="2">
        <v>209612</v>
      </c>
      <c r="B737" s="2" t="s">
        <v>782</v>
      </c>
      <c r="C737" s="2" t="s">
        <v>60</v>
      </c>
      <c r="D737" s="2">
        <v>1724</v>
      </c>
      <c r="E737" s="2">
        <v>62.8</v>
      </c>
      <c r="F737" s="2" t="s">
        <v>47</v>
      </c>
      <c r="G737" s="2" t="s">
        <v>37</v>
      </c>
      <c r="H737" s="2">
        <v>3</v>
      </c>
      <c r="I737" s="2">
        <v>38</v>
      </c>
      <c r="J737" s="2" t="s">
        <v>38</v>
      </c>
      <c r="K737" s="2">
        <v>596</v>
      </c>
      <c r="L737" s="2">
        <v>43.3</v>
      </c>
      <c r="M737" s="2">
        <v>1767116</v>
      </c>
      <c r="N737" s="2">
        <v>1267845</v>
      </c>
      <c r="O737" s="2"/>
      <c r="P737" s="2"/>
      <c r="Q737">
        <f t="shared" si="22"/>
        <v>4912.8330517538016</v>
      </c>
      <c r="R737">
        <f t="shared" si="23"/>
        <v>5229.2058757383138</v>
      </c>
    </row>
    <row r="738" spans="1:18" ht="16" x14ac:dyDescent="0.4">
      <c r="A738" s="2">
        <v>209807</v>
      </c>
      <c r="B738" s="2" t="s">
        <v>783</v>
      </c>
      <c r="C738" s="2" t="s">
        <v>60</v>
      </c>
      <c r="D738" s="2">
        <v>13536</v>
      </c>
      <c r="E738" s="2">
        <v>55.9</v>
      </c>
      <c r="F738" s="2" t="s">
        <v>36</v>
      </c>
      <c r="G738" s="2" t="s">
        <v>37</v>
      </c>
      <c r="H738" s="2">
        <v>1</v>
      </c>
      <c r="I738" s="2">
        <v>38</v>
      </c>
      <c r="J738" s="2" t="s">
        <v>38</v>
      </c>
      <c r="K738" s="2">
        <v>397</v>
      </c>
      <c r="L738" s="2">
        <v>42.3</v>
      </c>
      <c r="M738" s="2">
        <v>4867150</v>
      </c>
      <c r="N738" s="2">
        <v>3394032</v>
      </c>
      <c r="O738" s="2"/>
      <c r="P738" s="2"/>
      <c r="Q738">
        <f t="shared" si="22"/>
        <v>20210.872322561056</v>
      </c>
      <c r="R738">
        <f t="shared" si="23"/>
        <v>21247.528037403576</v>
      </c>
    </row>
    <row r="739" spans="1:18" ht="16" x14ac:dyDescent="0.4">
      <c r="A739" s="2">
        <v>209825</v>
      </c>
      <c r="B739" s="2" t="s">
        <v>784</v>
      </c>
      <c r="C739" s="2" t="s">
        <v>60</v>
      </c>
      <c r="D739" s="2">
        <v>3743</v>
      </c>
      <c r="E739" s="2">
        <v>61</v>
      </c>
      <c r="F739" s="2" t="s">
        <v>47</v>
      </c>
      <c r="G739" s="2" t="s">
        <v>37</v>
      </c>
      <c r="H739" s="2">
        <v>1</v>
      </c>
      <c r="I739" s="2">
        <v>38</v>
      </c>
      <c r="J739" s="2" t="s">
        <v>41</v>
      </c>
      <c r="K739" s="2">
        <v>323</v>
      </c>
      <c r="L739" s="2">
        <v>59.1</v>
      </c>
      <c r="M739" s="2">
        <v>7301632</v>
      </c>
      <c r="N739" s="2">
        <v>6989617</v>
      </c>
      <c r="O739" s="2"/>
      <c r="P739" s="2"/>
      <c r="Q739">
        <f t="shared" si="22"/>
        <v>36615.365676059359</v>
      </c>
      <c r="R739">
        <f t="shared" si="23"/>
        <v>55270.591263142756</v>
      </c>
    </row>
    <row r="740" spans="1:18" ht="16" x14ac:dyDescent="0.4">
      <c r="A740" s="2">
        <v>210401</v>
      </c>
      <c r="B740" s="2" t="s">
        <v>785</v>
      </c>
      <c r="C740" s="2" t="s">
        <v>60</v>
      </c>
      <c r="D740" s="2">
        <v>1456</v>
      </c>
      <c r="E740" s="2">
        <v>59.1</v>
      </c>
      <c r="F740" s="2" t="s">
        <v>47</v>
      </c>
      <c r="G740" s="2" t="s">
        <v>37</v>
      </c>
      <c r="H740" s="2">
        <v>3</v>
      </c>
      <c r="I740" s="2">
        <v>13</v>
      </c>
      <c r="J740" s="2" t="s">
        <v>38</v>
      </c>
      <c r="K740" s="2">
        <v>367</v>
      </c>
      <c r="L740" s="2">
        <v>43.6</v>
      </c>
      <c r="M740" s="2">
        <v>1447936</v>
      </c>
      <c r="N740" s="2">
        <v>1135219</v>
      </c>
      <c r="O740" s="2"/>
      <c r="P740" s="2"/>
      <c r="Q740">
        <f t="shared" si="22"/>
        <v>7094.5866560007998</v>
      </c>
      <c r="R740">
        <f t="shared" si="23"/>
        <v>6995.2654260150357</v>
      </c>
    </row>
    <row r="741" spans="1:18" ht="16" x14ac:dyDescent="0.4">
      <c r="A741" s="2">
        <v>210429</v>
      </c>
      <c r="B741" s="2" t="s">
        <v>786</v>
      </c>
      <c r="C741" s="2" t="s">
        <v>60</v>
      </c>
      <c r="D741" s="2">
        <v>3673</v>
      </c>
      <c r="E741" s="2">
        <v>64.8</v>
      </c>
      <c r="F741" s="2" t="s">
        <v>36</v>
      </c>
      <c r="G741" s="2" t="s">
        <v>37</v>
      </c>
      <c r="H741" s="2">
        <v>2</v>
      </c>
      <c r="I741" s="2">
        <v>10</v>
      </c>
      <c r="J741" s="2" t="s">
        <v>38</v>
      </c>
      <c r="K741" s="2">
        <v>418</v>
      </c>
      <c r="L741" s="2">
        <v>35.6</v>
      </c>
      <c r="M741" s="2">
        <v>2385110</v>
      </c>
      <c r="N741" s="2">
        <v>1854951</v>
      </c>
      <c r="O741" s="2"/>
      <c r="P741" s="2"/>
      <c r="Q741">
        <f t="shared" si="22"/>
        <v>12465.398365679262</v>
      </c>
      <c r="R741">
        <f t="shared" si="23"/>
        <v>8860.2558768462659</v>
      </c>
    </row>
    <row r="742" spans="1:18" ht="16" x14ac:dyDescent="0.4">
      <c r="A742" s="2">
        <v>210492</v>
      </c>
      <c r="B742" s="2" t="s">
        <v>787</v>
      </c>
      <c r="C742" s="2" t="s">
        <v>537</v>
      </c>
      <c r="D742" s="2">
        <v>272</v>
      </c>
      <c r="E742" s="2">
        <v>51.8</v>
      </c>
      <c r="F742" s="2" t="s">
        <v>47</v>
      </c>
      <c r="G742" s="2" t="s">
        <v>37</v>
      </c>
      <c r="H742" s="2">
        <v>3</v>
      </c>
      <c r="I742" s="2">
        <v>9</v>
      </c>
      <c r="J742" s="2" t="s">
        <v>41</v>
      </c>
      <c r="K742" s="2">
        <v>186</v>
      </c>
      <c r="L742" s="2">
        <v>40.299999999999997</v>
      </c>
      <c r="M742" s="2">
        <v>412244</v>
      </c>
      <c r="N742" s="2">
        <v>278204</v>
      </c>
      <c r="O742" s="2"/>
      <c r="P742" s="2"/>
      <c r="Q742">
        <f t="shared" si="22"/>
        <v>3711.4650871154513</v>
      </c>
      <c r="R742">
        <f t="shared" si="23"/>
        <v>3712.5051782208529</v>
      </c>
    </row>
    <row r="743" spans="1:18" ht="16" x14ac:dyDescent="0.4">
      <c r="A743" s="2">
        <v>210571</v>
      </c>
      <c r="B743" s="2" t="s">
        <v>788</v>
      </c>
      <c r="C743" s="2" t="s">
        <v>537</v>
      </c>
      <c r="D743" s="2">
        <v>1701</v>
      </c>
      <c r="E743" s="2">
        <v>60</v>
      </c>
      <c r="F743" s="2" t="s">
        <v>47</v>
      </c>
      <c r="G743" s="2" t="s">
        <v>37</v>
      </c>
      <c r="H743" s="2">
        <v>3</v>
      </c>
      <c r="I743" s="2">
        <v>38</v>
      </c>
      <c r="J743" s="2" t="s">
        <v>38</v>
      </c>
      <c r="K743" s="2">
        <v>432</v>
      </c>
      <c r="L743" s="2">
        <v>43.3</v>
      </c>
      <c r="M743" s="2">
        <v>936497</v>
      </c>
      <c r="N743" s="2">
        <v>530789</v>
      </c>
      <c r="O743" s="2"/>
      <c r="P743" s="2"/>
      <c r="Q743">
        <f t="shared" si="22"/>
        <v>2837.5940894705327</v>
      </c>
      <c r="R743">
        <f t="shared" si="23"/>
        <v>3823.3106342674241</v>
      </c>
    </row>
    <row r="744" spans="1:18" ht="16" x14ac:dyDescent="0.4">
      <c r="A744" s="2">
        <v>210669</v>
      </c>
      <c r="B744" s="2" t="s">
        <v>789</v>
      </c>
      <c r="C744" s="2" t="s">
        <v>537</v>
      </c>
      <c r="D744" s="2">
        <v>1711</v>
      </c>
      <c r="E744" s="2">
        <v>55.6</v>
      </c>
      <c r="F744" s="2" t="s">
        <v>47</v>
      </c>
      <c r="G744" s="2" t="s">
        <v>37</v>
      </c>
      <c r="H744" s="2">
        <v>3</v>
      </c>
      <c r="I744" s="2">
        <v>38</v>
      </c>
      <c r="J744" s="2" t="s">
        <v>38</v>
      </c>
      <c r="K744" s="2">
        <v>625</v>
      </c>
      <c r="L744" s="2">
        <v>48.2</v>
      </c>
      <c r="M744" s="2">
        <v>1679744</v>
      </c>
      <c r="N744" s="2">
        <v>1274293</v>
      </c>
      <c r="O744" s="2"/>
      <c r="P744" s="2"/>
      <c r="Q744">
        <f t="shared" si="22"/>
        <v>4230.0182572614112</v>
      </c>
      <c r="R744">
        <f t="shared" si="23"/>
        <v>5188.3984555984553</v>
      </c>
    </row>
    <row r="745" spans="1:18" ht="16" x14ac:dyDescent="0.4">
      <c r="A745" s="2">
        <v>210739</v>
      </c>
      <c r="B745" s="2" t="s">
        <v>790</v>
      </c>
      <c r="C745" s="2" t="s">
        <v>537</v>
      </c>
      <c r="D745" s="2">
        <v>1960</v>
      </c>
      <c r="E745" s="2">
        <v>61.5</v>
      </c>
      <c r="F745" s="2" t="s">
        <v>47</v>
      </c>
      <c r="G745" s="2" t="s">
        <v>37</v>
      </c>
      <c r="H745" s="2">
        <v>3</v>
      </c>
      <c r="I745" s="2">
        <v>38</v>
      </c>
      <c r="J745" s="2" t="s">
        <v>41</v>
      </c>
      <c r="K745" s="2">
        <v>374</v>
      </c>
      <c r="L745" s="2">
        <v>48.4</v>
      </c>
      <c r="M745" s="2">
        <v>923378</v>
      </c>
      <c r="N745" s="2">
        <v>1078862</v>
      </c>
      <c r="O745" s="2"/>
      <c r="P745" s="2"/>
      <c r="Q745">
        <f t="shared" si="22"/>
        <v>5960.0366818402799</v>
      </c>
      <c r="R745">
        <f t="shared" si="23"/>
        <v>4784.7386311818591</v>
      </c>
    </row>
    <row r="746" spans="1:18" ht="16" x14ac:dyDescent="0.4">
      <c r="A746" s="2">
        <v>210775</v>
      </c>
      <c r="B746" s="2" t="s">
        <v>791</v>
      </c>
      <c r="C746" s="2" t="s">
        <v>537</v>
      </c>
      <c r="D746" s="2">
        <v>1655</v>
      </c>
      <c r="E746" s="2">
        <v>65.900000000000006</v>
      </c>
      <c r="F746" s="2" t="s">
        <v>47</v>
      </c>
      <c r="G746" s="2" t="s">
        <v>37</v>
      </c>
      <c r="H746" s="2">
        <v>3</v>
      </c>
      <c r="I746" s="2">
        <v>38</v>
      </c>
      <c r="J746" s="2" t="s">
        <v>38</v>
      </c>
      <c r="K746" s="2">
        <v>549</v>
      </c>
      <c r="L746" s="2">
        <v>44.3</v>
      </c>
      <c r="M746" s="2">
        <v>810537</v>
      </c>
      <c r="N746" s="2">
        <v>712924</v>
      </c>
      <c r="O746" s="2"/>
      <c r="P746" s="2"/>
      <c r="Q746">
        <f t="shared" si="22"/>
        <v>2931.3465484134913</v>
      </c>
      <c r="R746">
        <f t="shared" si="23"/>
        <v>2650.6067830198858</v>
      </c>
    </row>
    <row r="747" spans="1:18" ht="16" x14ac:dyDescent="0.4">
      <c r="A747" s="2">
        <v>211024</v>
      </c>
      <c r="B747" s="2" t="s">
        <v>792</v>
      </c>
      <c r="C747" s="2" t="s">
        <v>537</v>
      </c>
      <c r="D747" s="2">
        <v>317</v>
      </c>
      <c r="E747" s="2">
        <v>47.9</v>
      </c>
      <c r="F747" s="2" t="s">
        <v>47</v>
      </c>
      <c r="G747" s="2" t="s">
        <v>37</v>
      </c>
      <c r="H747" s="2">
        <v>3</v>
      </c>
      <c r="I747" s="2">
        <v>38</v>
      </c>
      <c r="J747" s="2" t="s">
        <v>41</v>
      </c>
      <c r="K747" s="2">
        <v>152</v>
      </c>
      <c r="L747" s="2">
        <v>48</v>
      </c>
      <c r="M747" s="2">
        <v>121535</v>
      </c>
      <c r="N747" s="2">
        <v>116496</v>
      </c>
      <c r="O747" s="2"/>
      <c r="P747" s="2"/>
      <c r="Q747">
        <f t="shared" si="22"/>
        <v>1596.7105263157896</v>
      </c>
      <c r="R747">
        <f t="shared" si="23"/>
        <v>1537.6391700404856</v>
      </c>
    </row>
    <row r="748" spans="1:18" ht="16" x14ac:dyDescent="0.4">
      <c r="A748" s="2">
        <v>211088</v>
      </c>
      <c r="B748" s="2" t="s">
        <v>793</v>
      </c>
      <c r="C748" s="2" t="s">
        <v>537</v>
      </c>
      <c r="D748" s="2">
        <v>1929</v>
      </c>
      <c r="E748" s="2">
        <v>67.099999999999994</v>
      </c>
      <c r="F748" s="2" t="s">
        <v>47</v>
      </c>
      <c r="G748" s="2" t="s">
        <v>37</v>
      </c>
      <c r="H748" s="2">
        <v>3</v>
      </c>
      <c r="I748" s="2">
        <v>12</v>
      </c>
      <c r="J748" s="2" t="s">
        <v>41</v>
      </c>
      <c r="K748" s="2">
        <v>512</v>
      </c>
      <c r="L748" s="2">
        <v>47.7</v>
      </c>
      <c r="M748" s="2">
        <v>736735</v>
      </c>
      <c r="N748" s="2">
        <v>802639</v>
      </c>
      <c r="O748" s="2"/>
      <c r="P748" s="2"/>
      <c r="Q748">
        <f t="shared" si="22"/>
        <v>3286.4869955450731</v>
      </c>
      <c r="R748">
        <f t="shared" si="23"/>
        <v>2751.3107970841297</v>
      </c>
    </row>
    <row r="749" spans="1:18" ht="16" x14ac:dyDescent="0.4">
      <c r="A749" s="2">
        <v>211158</v>
      </c>
      <c r="B749" s="2" t="s">
        <v>794</v>
      </c>
      <c r="C749" s="2" t="s">
        <v>537</v>
      </c>
      <c r="D749" s="2">
        <v>7100</v>
      </c>
      <c r="E749" s="2">
        <v>58.2</v>
      </c>
      <c r="F749" s="2" t="s">
        <v>36</v>
      </c>
      <c r="G749" s="2" t="s">
        <v>37</v>
      </c>
      <c r="H749" s="2">
        <v>2</v>
      </c>
      <c r="I749" s="2">
        <v>38</v>
      </c>
      <c r="J749" s="2" t="s">
        <v>38</v>
      </c>
      <c r="K749" s="2">
        <v>517</v>
      </c>
      <c r="L749" s="2">
        <v>49.1</v>
      </c>
      <c r="M749" s="2">
        <v>2408539</v>
      </c>
      <c r="N749" s="2">
        <v>2066003</v>
      </c>
      <c r="O749" s="2"/>
      <c r="P749" s="2"/>
      <c r="Q749">
        <f t="shared" si="22"/>
        <v>8138.7725677278031</v>
      </c>
      <c r="R749">
        <f t="shared" si="23"/>
        <v>9152.6184387029589</v>
      </c>
    </row>
    <row r="750" spans="1:18" ht="16" x14ac:dyDescent="0.4">
      <c r="A750" s="2">
        <v>211291</v>
      </c>
      <c r="B750" s="2" t="s">
        <v>795</v>
      </c>
      <c r="C750" s="2" t="s">
        <v>537</v>
      </c>
      <c r="D750" s="2">
        <v>3602</v>
      </c>
      <c r="E750" s="2">
        <v>51</v>
      </c>
      <c r="F750" s="2" t="s">
        <v>47</v>
      </c>
      <c r="G750" s="2" t="s">
        <v>37</v>
      </c>
      <c r="H750" s="2">
        <v>1</v>
      </c>
      <c r="I750" s="2">
        <v>38</v>
      </c>
      <c r="J750" s="2" t="s">
        <v>38</v>
      </c>
      <c r="K750" s="2">
        <v>913</v>
      </c>
      <c r="L750" s="2">
        <v>50.7</v>
      </c>
      <c r="M750" s="2">
        <v>13053359</v>
      </c>
      <c r="N750" s="2">
        <v>12384684</v>
      </c>
      <c r="O750" s="2"/>
      <c r="P750" s="2"/>
      <c r="Q750">
        <f t="shared" si="22"/>
        <v>26755.076249052152</v>
      </c>
      <c r="R750">
        <f t="shared" si="23"/>
        <v>29000.439893448034</v>
      </c>
    </row>
    <row r="751" spans="1:18" ht="16" x14ac:dyDescent="0.4">
      <c r="A751" s="2">
        <v>211352</v>
      </c>
      <c r="B751" s="2" t="s">
        <v>796</v>
      </c>
      <c r="C751" s="2" t="s">
        <v>537</v>
      </c>
      <c r="D751" s="2">
        <v>1447</v>
      </c>
      <c r="E751" s="2">
        <v>62.3</v>
      </c>
      <c r="F751" s="2" t="s">
        <v>47</v>
      </c>
      <c r="G751" s="2" t="s">
        <v>37</v>
      </c>
      <c r="H751" s="2">
        <v>3</v>
      </c>
      <c r="I751" s="2">
        <v>38</v>
      </c>
      <c r="J751" s="2" t="s">
        <v>41</v>
      </c>
      <c r="K751" s="2">
        <v>354</v>
      </c>
      <c r="L751" s="2">
        <v>50.3</v>
      </c>
      <c r="M751" s="2">
        <v>551440</v>
      </c>
      <c r="N751" s="2">
        <v>637305</v>
      </c>
      <c r="O751" s="2"/>
      <c r="P751" s="2"/>
      <c r="Q751">
        <f t="shared" si="22"/>
        <v>3579.1185092832829</v>
      </c>
      <c r="R751">
        <f t="shared" si="23"/>
        <v>3134.2859416385313</v>
      </c>
    </row>
    <row r="752" spans="1:18" ht="16" x14ac:dyDescent="0.4">
      <c r="A752" s="2">
        <v>211361</v>
      </c>
      <c r="B752" s="2" t="s">
        <v>797</v>
      </c>
      <c r="C752" s="2" t="s">
        <v>537</v>
      </c>
      <c r="D752" s="2">
        <v>3975</v>
      </c>
      <c r="E752" s="2">
        <v>54.6</v>
      </c>
      <c r="F752" s="2" t="s">
        <v>36</v>
      </c>
      <c r="G752" s="2" t="s">
        <v>37</v>
      </c>
      <c r="H752" s="2">
        <v>2</v>
      </c>
      <c r="I752" s="2">
        <v>37</v>
      </c>
      <c r="J752" s="2" t="s">
        <v>38</v>
      </c>
      <c r="K752" s="2">
        <v>406</v>
      </c>
      <c r="L752" s="2">
        <v>40.6</v>
      </c>
      <c r="M752" s="2">
        <v>2600100</v>
      </c>
      <c r="N752" s="2">
        <v>2001120</v>
      </c>
      <c r="O752" s="2"/>
      <c r="P752" s="2"/>
      <c r="Q752">
        <f t="shared" si="22"/>
        <v>12140.066490329782</v>
      </c>
      <c r="R752">
        <f t="shared" si="23"/>
        <v>10781.459919390954</v>
      </c>
    </row>
    <row r="753" spans="1:18" ht="16" x14ac:dyDescent="0.4">
      <c r="A753" s="2">
        <v>211440</v>
      </c>
      <c r="B753" s="2" t="s">
        <v>798</v>
      </c>
      <c r="C753" s="2" t="s">
        <v>537</v>
      </c>
      <c r="D753" s="2">
        <v>6424</v>
      </c>
      <c r="E753" s="2">
        <v>49.6</v>
      </c>
      <c r="F753" s="2" t="s">
        <v>47</v>
      </c>
      <c r="G753" s="2" t="s">
        <v>37</v>
      </c>
      <c r="H753" s="2">
        <v>3</v>
      </c>
      <c r="I753" s="2">
        <v>38</v>
      </c>
      <c r="J753" s="2" t="s">
        <v>38</v>
      </c>
      <c r="K753" s="2">
        <v>605</v>
      </c>
      <c r="L753" s="2">
        <v>41</v>
      </c>
      <c r="M753" s="2">
        <v>1631143</v>
      </c>
      <c r="N753" s="2">
        <v>1385448</v>
      </c>
      <c r="O753" s="2"/>
      <c r="P753" s="2"/>
      <c r="Q753">
        <f t="shared" si="22"/>
        <v>5585.3577907679901</v>
      </c>
      <c r="R753">
        <f t="shared" si="23"/>
        <v>4569.6680207311947</v>
      </c>
    </row>
    <row r="754" spans="1:18" ht="16" x14ac:dyDescent="0.4">
      <c r="A754" s="2">
        <v>211556</v>
      </c>
      <c r="B754" s="2" t="s">
        <v>799</v>
      </c>
      <c r="C754" s="2" t="s">
        <v>537</v>
      </c>
      <c r="D754" s="2">
        <v>1102</v>
      </c>
      <c r="E754" s="2">
        <v>70.400000000000006</v>
      </c>
      <c r="F754" s="2" t="s">
        <v>47</v>
      </c>
      <c r="G754" s="2" t="s">
        <v>37</v>
      </c>
      <c r="H754" s="2">
        <v>3</v>
      </c>
      <c r="I754" s="2">
        <v>36</v>
      </c>
      <c r="J754" s="2" t="s">
        <v>41</v>
      </c>
      <c r="K754" s="2">
        <v>364</v>
      </c>
      <c r="L754" s="2">
        <v>48.9</v>
      </c>
      <c r="M754" s="2">
        <v>907587</v>
      </c>
      <c r="N754" s="2">
        <v>881724</v>
      </c>
      <c r="O754" s="2"/>
      <c r="P754" s="2"/>
      <c r="Q754">
        <f t="shared" si="22"/>
        <v>4953.6169352120269</v>
      </c>
      <c r="R754">
        <f t="shared" si="23"/>
        <v>4879.3950667727577</v>
      </c>
    </row>
    <row r="755" spans="1:18" ht="16" x14ac:dyDescent="0.4">
      <c r="A755" s="2">
        <v>211583</v>
      </c>
      <c r="B755" s="2" t="s">
        <v>800</v>
      </c>
      <c r="C755" s="2" t="s">
        <v>537</v>
      </c>
      <c r="D755" s="2">
        <v>991</v>
      </c>
      <c r="E755" s="2">
        <v>56.3</v>
      </c>
      <c r="F755" s="2" t="s">
        <v>47</v>
      </c>
      <c r="G755" s="2" t="s">
        <v>37</v>
      </c>
      <c r="H755" s="2">
        <v>2</v>
      </c>
      <c r="I755" s="2">
        <v>37</v>
      </c>
      <c r="J755" s="2" t="s">
        <v>41</v>
      </c>
      <c r="K755" s="2">
        <v>302</v>
      </c>
      <c r="L755" s="2">
        <v>32.5</v>
      </c>
      <c r="M755" s="2">
        <v>1187748</v>
      </c>
      <c r="N755" s="2">
        <v>1029494</v>
      </c>
      <c r="O755" s="2"/>
      <c r="P755" s="2"/>
      <c r="Q755">
        <f t="shared" si="22"/>
        <v>10488.986245542535</v>
      </c>
      <c r="R755">
        <f t="shared" si="23"/>
        <v>5826.5783664459159</v>
      </c>
    </row>
    <row r="756" spans="1:18" ht="16" x14ac:dyDescent="0.4">
      <c r="A756" s="2">
        <v>211644</v>
      </c>
      <c r="B756" s="2" t="s">
        <v>801</v>
      </c>
      <c r="C756" s="2" t="s">
        <v>537</v>
      </c>
      <c r="D756" s="2">
        <v>2989</v>
      </c>
      <c r="E756" s="2">
        <v>66.2</v>
      </c>
      <c r="F756" s="2" t="s">
        <v>36</v>
      </c>
      <c r="G756" s="2" t="s">
        <v>37</v>
      </c>
      <c r="H756" s="2">
        <v>2</v>
      </c>
      <c r="I756" s="2">
        <v>38</v>
      </c>
      <c r="J756" s="2" t="s">
        <v>38</v>
      </c>
      <c r="K756" s="2">
        <v>409</v>
      </c>
      <c r="L756" s="2">
        <v>51.6</v>
      </c>
      <c r="M756" s="2">
        <v>2101457</v>
      </c>
      <c r="N756" s="2">
        <v>1992436</v>
      </c>
      <c r="O756" s="2"/>
      <c r="P756" s="2"/>
      <c r="Q756">
        <f t="shared" si="22"/>
        <v>9440.8559352552074</v>
      </c>
      <c r="R756">
        <f t="shared" si="23"/>
        <v>10615.77825375336</v>
      </c>
    </row>
    <row r="757" spans="1:18" ht="16" x14ac:dyDescent="0.4">
      <c r="A757" s="2">
        <v>211981</v>
      </c>
      <c r="B757" s="2" t="s">
        <v>802</v>
      </c>
      <c r="C757" s="2" t="s">
        <v>537</v>
      </c>
      <c r="D757" s="2">
        <v>1645</v>
      </c>
      <c r="E757" s="2">
        <v>59.6</v>
      </c>
      <c r="F757" s="2" t="s">
        <v>47</v>
      </c>
      <c r="G757" s="2" t="s">
        <v>37</v>
      </c>
      <c r="H757" s="2">
        <v>3</v>
      </c>
      <c r="I757" s="2">
        <v>38</v>
      </c>
      <c r="J757" s="2" t="s">
        <v>38</v>
      </c>
      <c r="K757" s="2">
        <v>487</v>
      </c>
      <c r="L757" s="2">
        <v>35.299999999999997</v>
      </c>
      <c r="M757" s="2">
        <v>1169158</v>
      </c>
      <c r="N757" s="2">
        <v>507578</v>
      </c>
      <c r="O757" s="2"/>
      <c r="P757" s="2"/>
      <c r="Q757">
        <f t="shared" si="22"/>
        <v>2952.5626632385361</v>
      </c>
      <c r="R757">
        <f t="shared" si="23"/>
        <v>3710.5643167486014</v>
      </c>
    </row>
    <row r="758" spans="1:18" ht="16" x14ac:dyDescent="0.4">
      <c r="A758" s="2">
        <v>212009</v>
      </c>
      <c r="B758" s="2" t="s">
        <v>803</v>
      </c>
      <c r="C758" s="2" t="s">
        <v>537</v>
      </c>
      <c r="D758" s="2">
        <v>2091</v>
      </c>
      <c r="E758" s="2">
        <v>57.1</v>
      </c>
      <c r="F758" s="2" t="s">
        <v>47</v>
      </c>
      <c r="G758" s="2" t="s">
        <v>37</v>
      </c>
      <c r="H758" s="2">
        <v>3</v>
      </c>
      <c r="I758" s="2">
        <v>14</v>
      </c>
      <c r="J758" s="2" t="s">
        <v>38</v>
      </c>
      <c r="K758" s="2">
        <v>569</v>
      </c>
      <c r="L758" s="2">
        <v>42.7</v>
      </c>
      <c r="M758" s="2">
        <v>954267</v>
      </c>
      <c r="N758" s="2">
        <v>747904</v>
      </c>
      <c r="O758" s="2"/>
      <c r="P758" s="2"/>
      <c r="Q758">
        <f t="shared" si="22"/>
        <v>3078.2629453867457</v>
      </c>
      <c r="R758">
        <f t="shared" si="23"/>
        <v>2926.8671960544357</v>
      </c>
    </row>
    <row r="759" spans="1:18" ht="16" x14ac:dyDescent="0.4">
      <c r="A759" s="2">
        <v>212054</v>
      </c>
      <c r="B759" s="2" t="s">
        <v>804</v>
      </c>
      <c r="C759" s="2" t="s">
        <v>537</v>
      </c>
      <c r="D759" s="2">
        <v>13868</v>
      </c>
      <c r="E759" s="2">
        <v>45.9</v>
      </c>
      <c r="F759" s="2" t="s">
        <v>47</v>
      </c>
      <c r="G759" s="2" t="s">
        <v>37</v>
      </c>
      <c r="H759" s="2">
        <v>1</v>
      </c>
      <c r="I759" s="2">
        <v>38</v>
      </c>
      <c r="J759" s="2" t="s">
        <v>41</v>
      </c>
      <c r="K759" s="2">
        <v>474</v>
      </c>
      <c r="L759" s="2">
        <v>45.1</v>
      </c>
      <c r="M759" s="2">
        <v>8609860</v>
      </c>
      <c r="N759" s="2">
        <v>8616473</v>
      </c>
      <c r="O759" s="2"/>
      <c r="P759" s="2"/>
      <c r="Q759">
        <f t="shared" si="22"/>
        <v>40306.459157802165</v>
      </c>
      <c r="R759">
        <f t="shared" si="23"/>
        <v>33086.086709245043</v>
      </c>
    </row>
    <row r="760" spans="1:18" ht="16" x14ac:dyDescent="0.4">
      <c r="A760" s="2">
        <v>212106</v>
      </c>
      <c r="B760" s="2" t="s">
        <v>805</v>
      </c>
      <c r="C760" s="2" t="s">
        <v>537</v>
      </c>
      <c r="D760" s="2">
        <v>5732</v>
      </c>
      <c r="E760" s="2">
        <v>63.9</v>
      </c>
      <c r="F760" s="2" t="s">
        <v>47</v>
      </c>
      <c r="G760" s="2" t="s">
        <v>37</v>
      </c>
      <c r="H760" s="2">
        <v>1</v>
      </c>
      <c r="I760" s="2">
        <v>38</v>
      </c>
      <c r="J760" s="2" t="s">
        <v>38</v>
      </c>
      <c r="K760" s="2">
        <v>478</v>
      </c>
      <c r="L760" s="2">
        <v>60.9</v>
      </c>
      <c r="M760" s="2">
        <v>11177692</v>
      </c>
      <c r="N760" s="2">
        <v>8437901</v>
      </c>
      <c r="O760" s="2"/>
      <c r="P760" s="2"/>
      <c r="Q760">
        <f t="shared" si="22"/>
        <v>28986.063304271356</v>
      </c>
      <c r="R760">
        <f t="shared" si="23"/>
        <v>59806.375670151632</v>
      </c>
    </row>
    <row r="761" spans="1:18" ht="16" x14ac:dyDescent="0.4">
      <c r="A761" s="2">
        <v>212115</v>
      </c>
      <c r="B761" s="2" t="s">
        <v>806</v>
      </c>
      <c r="C761" s="2" t="s">
        <v>537</v>
      </c>
      <c r="D761" s="2">
        <v>4923</v>
      </c>
      <c r="E761" s="2">
        <v>56.2</v>
      </c>
      <c r="F761" s="2" t="s">
        <v>36</v>
      </c>
      <c r="G761" s="2" t="s">
        <v>37</v>
      </c>
      <c r="H761" s="2">
        <v>2</v>
      </c>
      <c r="I761" s="2">
        <v>38</v>
      </c>
      <c r="J761" s="2" t="s">
        <v>38</v>
      </c>
      <c r="K761" s="2">
        <v>515</v>
      </c>
      <c r="L761" s="2">
        <v>50.9</v>
      </c>
      <c r="M761" s="2">
        <v>2680428</v>
      </c>
      <c r="N761" s="2">
        <v>2691396</v>
      </c>
      <c r="O761" s="2"/>
      <c r="P761" s="2"/>
      <c r="Q761">
        <f t="shared" si="22"/>
        <v>10267.213458714023</v>
      </c>
      <c r="R761">
        <f t="shared" si="23"/>
        <v>10600.233326083086</v>
      </c>
    </row>
    <row r="762" spans="1:18" ht="16" x14ac:dyDescent="0.4">
      <c r="A762" s="2">
        <v>212133</v>
      </c>
      <c r="B762" s="2" t="s">
        <v>807</v>
      </c>
      <c r="C762" s="2" t="s">
        <v>537</v>
      </c>
      <c r="D762" s="2">
        <v>1328</v>
      </c>
      <c r="E762" s="2">
        <v>64.8</v>
      </c>
      <c r="F762" s="2" t="s">
        <v>47</v>
      </c>
      <c r="G762" s="2" t="s">
        <v>37</v>
      </c>
      <c r="H762" s="2">
        <v>3</v>
      </c>
      <c r="I762" s="2">
        <v>38</v>
      </c>
      <c r="J762" s="2" t="s">
        <v>41</v>
      </c>
      <c r="K762" s="2">
        <v>409</v>
      </c>
      <c r="L762" s="2">
        <v>49.4</v>
      </c>
      <c r="M762" s="2">
        <v>814705</v>
      </c>
      <c r="N762" s="2">
        <v>648847</v>
      </c>
      <c r="O762" s="2"/>
      <c r="P762" s="2"/>
      <c r="Q762">
        <f t="shared" si="22"/>
        <v>3211.3825564475419</v>
      </c>
      <c r="R762">
        <f t="shared" si="23"/>
        <v>3936.647757472675</v>
      </c>
    </row>
    <row r="763" spans="1:18" ht="16" x14ac:dyDescent="0.4">
      <c r="A763" s="2">
        <v>212160</v>
      </c>
      <c r="B763" s="2" t="s">
        <v>808</v>
      </c>
      <c r="C763" s="2" t="s">
        <v>537</v>
      </c>
      <c r="D763" s="2">
        <v>2993</v>
      </c>
      <c r="E763" s="2">
        <v>58.4</v>
      </c>
      <c r="F763" s="2" t="s">
        <v>36</v>
      </c>
      <c r="G763" s="2" t="s">
        <v>37</v>
      </c>
      <c r="H763" s="2">
        <v>2</v>
      </c>
      <c r="I763" s="2">
        <v>13</v>
      </c>
      <c r="J763" s="2" t="s">
        <v>38</v>
      </c>
      <c r="K763" s="2">
        <v>357</v>
      </c>
      <c r="L763" s="2">
        <v>47.6</v>
      </c>
      <c r="M763" s="2">
        <v>1928676</v>
      </c>
      <c r="N763" s="2">
        <v>1851959</v>
      </c>
      <c r="O763" s="2"/>
      <c r="P763" s="2"/>
      <c r="Q763">
        <f t="shared" si="22"/>
        <v>10898.235764894192</v>
      </c>
      <c r="R763">
        <f t="shared" si="23"/>
        <v>10310.026300596573</v>
      </c>
    </row>
    <row r="764" spans="1:18" ht="16" x14ac:dyDescent="0.4">
      <c r="A764" s="2">
        <v>212197</v>
      </c>
      <c r="B764" s="2" t="s">
        <v>809</v>
      </c>
      <c r="C764" s="2" t="s">
        <v>537</v>
      </c>
      <c r="D764" s="2">
        <v>1497</v>
      </c>
      <c r="E764" s="2">
        <v>60.9</v>
      </c>
      <c r="F764" s="2" t="s">
        <v>47</v>
      </c>
      <c r="G764" s="2" t="s">
        <v>37</v>
      </c>
      <c r="H764" s="2">
        <v>3</v>
      </c>
      <c r="I764" s="2">
        <v>38</v>
      </c>
      <c r="J764" s="2" t="s">
        <v>41</v>
      </c>
      <c r="K764" s="2">
        <v>543</v>
      </c>
      <c r="L764" s="2">
        <v>45.9</v>
      </c>
      <c r="M764" s="2">
        <v>895724</v>
      </c>
      <c r="N764" s="2">
        <v>785666</v>
      </c>
      <c r="O764" s="2"/>
      <c r="P764" s="2"/>
      <c r="Q764">
        <f t="shared" si="22"/>
        <v>3152.2847731275851</v>
      </c>
      <c r="R764">
        <f t="shared" si="23"/>
        <v>3049.1382509029386</v>
      </c>
    </row>
    <row r="765" spans="1:18" ht="16" x14ac:dyDescent="0.4">
      <c r="A765" s="2">
        <v>212577</v>
      </c>
      <c r="B765" s="2" t="s">
        <v>810</v>
      </c>
      <c r="C765" s="2" t="s">
        <v>537</v>
      </c>
      <c r="D765" s="2">
        <v>2306</v>
      </c>
      <c r="E765" s="2">
        <v>54.9</v>
      </c>
      <c r="F765" s="2" t="s">
        <v>47</v>
      </c>
      <c r="G765" s="2" t="s">
        <v>37</v>
      </c>
      <c r="H765" s="2">
        <v>3</v>
      </c>
      <c r="I765" s="2">
        <v>16</v>
      </c>
      <c r="J765" s="2" t="s">
        <v>38</v>
      </c>
      <c r="K765" s="2">
        <v>608</v>
      </c>
      <c r="L765" s="2">
        <v>42.8</v>
      </c>
      <c r="M765" s="2">
        <v>2157996</v>
      </c>
      <c r="N765" s="2">
        <v>1490285</v>
      </c>
      <c r="O765" s="2"/>
      <c r="P765" s="2"/>
      <c r="Q765">
        <f t="shared" si="22"/>
        <v>5726.9314129365475</v>
      </c>
      <c r="R765">
        <f t="shared" si="23"/>
        <v>6205.132039013617</v>
      </c>
    </row>
    <row r="766" spans="1:18" ht="16" x14ac:dyDescent="0.4">
      <c r="A766" s="2">
        <v>212601</v>
      </c>
      <c r="B766" s="2" t="s">
        <v>811</v>
      </c>
      <c r="C766" s="2" t="s">
        <v>537</v>
      </c>
      <c r="D766" s="2">
        <v>2764</v>
      </c>
      <c r="E766" s="2">
        <v>60.3</v>
      </c>
      <c r="F766" s="2" t="s">
        <v>47</v>
      </c>
      <c r="G766" s="2" t="s">
        <v>37</v>
      </c>
      <c r="H766" s="2">
        <v>2</v>
      </c>
      <c r="I766" s="2">
        <v>38</v>
      </c>
      <c r="J766" s="2" t="s">
        <v>38</v>
      </c>
      <c r="K766" s="2">
        <v>644</v>
      </c>
      <c r="L766" s="2">
        <v>49.8</v>
      </c>
      <c r="M766" s="2">
        <v>4532551</v>
      </c>
      <c r="N766" s="2">
        <v>3661579</v>
      </c>
      <c r="O766" s="2"/>
      <c r="P766" s="2"/>
      <c r="Q766">
        <f t="shared" si="22"/>
        <v>11417.031479957095</v>
      </c>
      <c r="R766">
        <f t="shared" si="23"/>
        <v>14020.164682883373</v>
      </c>
    </row>
    <row r="767" spans="1:18" ht="16" x14ac:dyDescent="0.4">
      <c r="A767" s="2">
        <v>212656</v>
      </c>
      <c r="B767" s="2" t="s">
        <v>812</v>
      </c>
      <c r="C767" s="2" t="s">
        <v>537</v>
      </c>
      <c r="D767" s="2">
        <v>1112</v>
      </c>
      <c r="E767" s="2">
        <v>45.6</v>
      </c>
      <c r="F767" s="2" t="s">
        <v>47</v>
      </c>
      <c r="G767" s="2" t="s">
        <v>37</v>
      </c>
      <c r="H767" s="2">
        <v>3</v>
      </c>
      <c r="I767" s="2">
        <v>38</v>
      </c>
      <c r="J767" s="2" t="s">
        <v>38</v>
      </c>
      <c r="K767" s="2">
        <v>459</v>
      </c>
      <c r="L767" s="2">
        <v>35.9</v>
      </c>
      <c r="M767" s="2">
        <v>1260609</v>
      </c>
      <c r="N767" s="2">
        <v>551547</v>
      </c>
      <c r="O767" s="2"/>
      <c r="P767" s="2"/>
      <c r="Q767">
        <f t="shared" si="22"/>
        <v>3347.1516740400893</v>
      </c>
      <c r="R767">
        <f t="shared" si="23"/>
        <v>4284.5941288631948</v>
      </c>
    </row>
    <row r="768" spans="1:18" ht="16" x14ac:dyDescent="0.4">
      <c r="A768" s="2">
        <v>212674</v>
      </c>
      <c r="B768" s="2" t="s">
        <v>813</v>
      </c>
      <c r="C768" s="2" t="s">
        <v>537</v>
      </c>
      <c r="D768" s="2">
        <v>2367</v>
      </c>
      <c r="E768" s="2">
        <v>51.9</v>
      </c>
      <c r="F768" s="2" t="s">
        <v>47</v>
      </c>
      <c r="G768" s="2" t="s">
        <v>37</v>
      </c>
      <c r="H768" s="2">
        <v>3</v>
      </c>
      <c r="I768" s="2">
        <v>13</v>
      </c>
      <c r="J768" s="2" t="s">
        <v>38</v>
      </c>
      <c r="K768" s="2">
        <v>649</v>
      </c>
      <c r="L768" s="2">
        <v>37.799999999999997</v>
      </c>
      <c r="M768" s="2">
        <v>1597215</v>
      </c>
      <c r="N768" s="2">
        <v>1165567</v>
      </c>
      <c r="O768" s="2"/>
      <c r="P768" s="2"/>
      <c r="Q768">
        <f t="shared" si="22"/>
        <v>4751.1719291380305</v>
      </c>
      <c r="R768">
        <f t="shared" si="23"/>
        <v>3956.6560476419327</v>
      </c>
    </row>
    <row r="769" spans="1:18" ht="16" x14ac:dyDescent="0.4">
      <c r="A769" s="2">
        <v>212832</v>
      </c>
      <c r="B769" s="2" t="s">
        <v>814</v>
      </c>
      <c r="C769" s="2" t="s">
        <v>537</v>
      </c>
      <c r="D769" s="2">
        <v>1696</v>
      </c>
      <c r="E769" s="2">
        <v>77.400000000000006</v>
      </c>
      <c r="F769" s="2" t="s">
        <v>47</v>
      </c>
      <c r="G769" s="2" t="s">
        <v>37</v>
      </c>
      <c r="H769" s="2">
        <v>3</v>
      </c>
      <c r="I769" s="2">
        <v>11</v>
      </c>
      <c r="J769" s="2" t="s">
        <v>41</v>
      </c>
      <c r="K769" s="2">
        <v>253</v>
      </c>
      <c r="L769" s="2">
        <v>50.2</v>
      </c>
      <c r="M769" s="2">
        <v>340302</v>
      </c>
      <c r="N769" s="2">
        <v>325676</v>
      </c>
      <c r="O769" s="2"/>
      <c r="P769" s="2"/>
      <c r="Q769">
        <f t="shared" si="22"/>
        <v>2564.2568067650345</v>
      </c>
      <c r="R769">
        <f t="shared" si="23"/>
        <v>2700.9381399114245</v>
      </c>
    </row>
    <row r="770" spans="1:18" ht="16" x14ac:dyDescent="0.4">
      <c r="A770" s="2">
        <v>212911</v>
      </c>
      <c r="B770" s="2" t="s">
        <v>815</v>
      </c>
      <c r="C770" s="2" t="s">
        <v>537</v>
      </c>
      <c r="D770" s="2">
        <v>1308</v>
      </c>
      <c r="E770" s="2">
        <v>52.6</v>
      </c>
      <c r="F770" s="2" t="s">
        <v>47</v>
      </c>
      <c r="G770" s="2" t="s">
        <v>37</v>
      </c>
      <c r="H770" s="2">
        <v>3</v>
      </c>
      <c r="I770" s="2">
        <v>11</v>
      </c>
      <c r="J770" s="2" t="s">
        <v>41</v>
      </c>
      <c r="K770" s="2">
        <v>554</v>
      </c>
      <c r="L770" s="2">
        <v>51.1</v>
      </c>
      <c r="M770" s="2">
        <v>948979</v>
      </c>
      <c r="N770" s="2">
        <v>1014687</v>
      </c>
      <c r="O770" s="2"/>
      <c r="P770" s="2"/>
      <c r="Q770">
        <f t="shared" si="22"/>
        <v>3584.2758942259461</v>
      </c>
      <c r="R770">
        <f t="shared" si="23"/>
        <v>3502.9825843650565</v>
      </c>
    </row>
    <row r="771" spans="1:18" ht="16" x14ac:dyDescent="0.4">
      <c r="A771" s="2">
        <v>212984</v>
      </c>
      <c r="B771" s="2" t="s">
        <v>816</v>
      </c>
      <c r="C771" s="2" t="s">
        <v>537</v>
      </c>
      <c r="D771" s="2">
        <v>1696</v>
      </c>
      <c r="E771" s="2">
        <v>74.599999999999994</v>
      </c>
      <c r="F771" s="2" t="s">
        <v>47</v>
      </c>
      <c r="G771" s="2" t="s">
        <v>37</v>
      </c>
      <c r="H771" s="2">
        <v>2</v>
      </c>
      <c r="I771" s="2">
        <v>38</v>
      </c>
      <c r="J771" s="2" t="s">
        <v>41</v>
      </c>
      <c r="K771" s="2">
        <v>252</v>
      </c>
      <c r="L771" s="2">
        <v>63.9</v>
      </c>
      <c r="M771" s="2">
        <v>775941</v>
      </c>
      <c r="N771" s="2">
        <v>1185409</v>
      </c>
      <c r="O771" s="2"/>
      <c r="P771" s="2"/>
      <c r="Q771">
        <f t="shared" ref="Q771:Q834" si="24">N771/(K771*(0.01*L771))</f>
        <v>7361.5085575179473</v>
      </c>
      <c r="R771">
        <f t="shared" ref="R771:R834" si="25">M771/(K771*(0.01*(100-L771)))</f>
        <v>8529.4486215538836</v>
      </c>
    </row>
    <row r="772" spans="1:18" ht="16" x14ac:dyDescent="0.4">
      <c r="A772" s="2">
        <v>213011</v>
      </c>
      <c r="B772" s="2" t="s">
        <v>817</v>
      </c>
      <c r="C772" s="2" t="s">
        <v>537</v>
      </c>
      <c r="D772" s="2">
        <v>903</v>
      </c>
      <c r="E772" s="2">
        <v>68.5</v>
      </c>
      <c r="F772" s="2" t="s">
        <v>47</v>
      </c>
      <c r="G772" s="2" t="s">
        <v>37</v>
      </c>
      <c r="H772" s="2">
        <v>3</v>
      </c>
      <c r="I772" s="2">
        <v>38</v>
      </c>
      <c r="J772" s="2" t="s">
        <v>41</v>
      </c>
      <c r="K772" s="2">
        <v>321</v>
      </c>
      <c r="L772" s="2">
        <v>49.8</v>
      </c>
      <c r="M772" s="2">
        <v>292704</v>
      </c>
      <c r="N772" s="2">
        <v>285131</v>
      </c>
      <c r="O772" s="2"/>
      <c r="P772" s="2"/>
      <c r="Q772">
        <f t="shared" si="24"/>
        <v>1783.6517409200665</v>
      </c>
      <c r="R772">
        <f t="shared" si="25"/>
        <v>1816.4351938042223</v>
      </c>
    </row>
    <row r="773" spans="1:18" ht="16" x14ac:dyDescent="0.4">
      <c r="A773" s="2">
        <v>213020</v>
      </c>
      <c r="B773" s="2" t="s">
        <v>818</v>
      </c>
      <c r="C773" s="2" t="s">
        <v>537</v>
      </c>
      <c r="D773" s="2">
        <v>7655</v>
      </c>
      <c r="E773" s="2">
        <v>59.2</v>
      </c>
      <c r="F773" s="2" t="s">
        <v>36</v>
      </c>
      <c r="G773" s="2" t="s">
        <v>37</v>
      </c>
      <c r="H773" s="2">
        <v>2</v>
      </c>
      <c r="I773" s="2">
        <v>15</v>
      </c>
      <c r="J773" s="2" t="s">
        <v>38</v>
      </c>
      <c r="K773" s="2">
        <v>466</v>
      </c>
      <c r="L773" s="2">
        <v>50.2</v>
      </c>
      <c r="M773" s="2">
        <v>3166127</v>
      </c>
      <c r="N773" s="2">
        <v>2686002</v>
      </c>
      <c r="O773" s="2"/>
      <c r="P773" s="2"/>
      <c r="Q773">
        <f t="shared" si="24"/>
        <v>11481.977668724245</v>
      </c>
      <c r="R773">
        <f t="shared" si="25"/>
        <v>13643.100298188461</v>
      </c>
    </row>
    <row r="774" spans="1:18" ht="16" x14ac:dyDescent="0.4">
      <c r="A774" s="2">
        <v>213251</v>
      </c>
      <c r="B774" s="2" t="s">
        <v>819</v>
      </c>
      <c r="C774" s="2" t="s">
        <v>537</v>
      </c>
      <c r="D774" s="2">
        <v>1269</v>
      </c>
      <c r="E774" s="2">
        <v>55.6</v>
      </c>
      <c r="F774" s="2" t="s">
        <v>47</v>
      </c>
      <c r="G774" s="2" t="s">
        <v>37</v>
      </c>
      <c r="H774" s="2">
        <v>3</v>
      </c>
      <c r="I774" s="2">
        <v>14</v>
      </c>
      <c r="J774" s="2" t="s">
        <v>38</v>
      </c>
      <c r="K774" s="2">
        <v>432</v>
      </c>
      <c r="L774" s="2">
        <v>41</v>
      </c>
      <c r="M774" s="2">
        <v>1238756</v>
      </c>
      <c r="N774" s="2">
        <v>1034801</v>
      </c>
      <c r="O774" s="2"/>
      <c r="P774" s="2"/>
      <c r="Q774">
        <f t="shared" si="24"/>
        <v>5842.3724028906954</v>
      </c>
      <c r="R774">
        <f t="shared" si="25"/>
        <v>4860.1537978656625</v>
      </c>
    </row>
    <row r="775" spans="1:18" ht="16" x14ac:dyDescent="0.4">
      <c r="A775" s="2">
        <v>213303</v>
      </c>
      <c r="B775" s="2" t="s">
        <v>820</v>
      </c>
      <c r="C775" s="2" t="s">
        <v>537</v>
      </c>
      <c r="D775" s="2">
        <v>1048</v>
      </c>
      <c r="E775" s="2">
        <v>53.5</v>
      </c>
      <c r="F775" s="2" t="s">
        <v>47</v>
      </c>
      <c r="G775" s="2" t="s">
        <v>37</v>
      </c>
      <c r="H775" s="2">
        <v>3</v>
      </c>
      <c r="I775" s="2">
        <v>38</v>
      </c>
      <c r="J775" s="2" t="s">
        <v>41</v>
      </c>
      <c r="K775" s="2">
        <v>322</v>
      </c>
      <c r="L775" s="2">
        <v>39.799999999999997</v>
      </c>
      <c r="M775" s="2">
        <v>478236</v>
      </c>
      <c r="N775" s="2">
        <v>368911</v>
      </c>
      <c r="O775" s="2"/>
      <c r="P775" s="2"/>
      <c r="Q775">
        <f t="shared" si="24"/>
        <v>2878.608882923937</v>
      </c>
      <c r="R775">
        <f t="shared" si="25"/>
        <v>2467.1178886114603</v>
      </c>
    </row>
    <row r="776" spans="1:18" ht="16" x14ac:dyDescent="0.4">
      <c r="A776" s="2">
        <v>213321</v>
      </c>
      <c r="B776" s="2" t="s">
        <v>821</v>
      </c>
      <c r="C776" s="2" t="s">
        <v>537</v>
      </c>
      <c r="D776" s="2">
        <v>2040</v>
      </c>
      <c r="E776" s="2">
        <v>45.8</v>
      </c>
      <c r="F776" s="2" t="s">
        <v>47</v>
      </c>
      <c r="G776" s="2" t="s">
        <v>37</v>
      </c>
      <c r="H776" s="2">
        <v>3</v>
      </c>
      <c r="I776" s="2">
        <v>38</v>
      </c>
      <c r="J776" s="2" t="s">
        <v>38</v>
      </c>
      <c r="K776" s="2">
        <v>624</v>
      </c>
      <c r="L776" s="2">
        <v>37.299999999999997</v>
      </c>
      <c r="M776" s="2">
        <v>1262920</v>
      </c>
      <c r="N776" s="2">
        <v>672515</v>
      </c>
      <c r="O776" s="2"/>
      <c r="P776" s="2"/>
      <c r="Q776">
        <f t="shared" si="24"/>
        <v>2889.4058912490545</v>
      </c>
      <c r="R776">
        <f t="shared" si="25"/>
        <v>3227.9270437165173</v>
      </c>
    </row>
    <row r="777" spans="1:18" ht="16" x14ac:dyDescent="0.4">
      <c r="A777" s="2">
        <v>213349</v>
      </c>
      <c r="B777" s="2" t="s">
        <v>822</v>
      </c>
      <c r="C777" s="2" t="s">
        <v>537</v>
      </c>
      <c r="D777" s="2">
        <v>6443</v>
      </c>
      <c r="E777" s="2">
        <v>54.9</v>
      </c>
      <c r="F777" s="2" t="s">
        <v>36</v>
      </c>
      <c r="G777" s="2" t="s">
        <v>37</v>
      </c>
      <c r="H777" s="2">
        <v>2</v>
      </c>
      <c r="I777" s="2">
        <v>38</v>
      </c>
      <c r="J777" s="2" t="s">
        <v>38</v>
      </c>
      <c r="K777" s="2">
        <v>527</v>
      </c>
      <c r="L777" s="2">
        <v>54.1</v>
      </c>
      <c r="M777" s="2">
        <v>2147984</v>
      </c>
      <c r="N777" s="2">
        <v>2283450</v>
      </c>
      <c r="O777" s="2"/>
      <c r="P777" s="2"/>
      <c r="Q777">
        <f t="shared" si="24"/>
        <v>8009.09833851852</v>
      </c>
      <c r="R777">
        <f t="shared" si="25"/>
        <v>8879.8931759083553</v>
      </c>
    </row>
    <row r="778" spans="1:18" ht="16" x14ac:dyDescent="0.4">
      <c r="A778" s="2">
        <v>213358</v>
      </c>
      <c r="B778" s="2" t="s">
        <v>823</v>
      </c>
      <c r="C778" s="2" t="s">
        <v>537</v>
      </c>
      <c r="D778" s="2">
        <v>1070</v>
      </c>
      <c r="E778" s="2">
        <v>55</v>
      </c>
      <c r="F778" s="2" t="s">
        <v>47</v>
      </c>
      <c r="G778" s="2" t="s">
        <v>37</v>
      </c>
      <c r="H778" s="2">
        <v>3</v>
      </c>
      <c r="I778" s="2">
        <v>10</v>
      </c>
      <c r="J778" s="2" t="s">
        <v>41</v>
      </c>
      <c r="K778" s="2">
        <v>203</v>
      </c>
      <c r="L778" s="2">
        <v>47.8</v>
      </c>
      <c r="M778" s="2">
        <v>310393</v>
      </c>
      <c r="N778" s="2">
        <v>294540</v>
      </c>
      <c r="O778" s="2"/>
      <c r="P778" s="2"/>
      <c r="Q778">
        <f t="shared" si="24"/>
        <v>3035.4308798977681</v>
      </c>
      <c r="R778">
        <f t="shared" si="25"/>
        <v>2929.1753958816976</v>
      </c>
    </row>
    <row r="779" spans="1:18" ht="16" x14ac:dyDescent="0.4">
      <c r="A779" s="2">
        <v>213367</v>
      </c>
      <c r="B779" s="2" t="s">
        <v>824</v>
      </c>
      <c r="C779" s="2" t="s">
        <v>537</v>
      </c>
      <c r="D779" s="2">
        <v>3177</v>
      </c>
      <c r="E779" s="2">
        <v>61.2</v>
      </c>
      <c r="F779" s="2" t="s">
        <v>47</v>
      </c>
      <c r="G779" s="2" t="s">
        <v>37</v>
      </c>
      <c r="H779" s="2">
        <v>1</v>
      </c>
      <c r="I779" s="2">
        <v>38</v>
      </c>
      <c r="J779" s="2" t="s">
        <v>41</v>
      </c>
      <c r="K779" s="2">
        <v>538</v>
      </c>
      <c r="L779" s="2">
        <v>54.5</v>
      </c>
      <c r="M779" s="2">
        <v>5566322</v>
      </c>
      <c r="N779" s="2">
        <v>5745548</v>
      </c>
      <c r="O779" s="2"/>
      <c r="P779" s="2"/>
      <c r="Q779">
        <f t="shared" si="24"/>
        <v>19595.334401964461</v>
      </c>
      <c r="R779">
        <f t="shared" si="25"/>
        <v>22739.172351811754</v>
      </c>
    </row>
    <row r="780" spans="1:18" ht="16" x14ac:dyDescent="0.4">
      <c r="A780" s="2">
        <v>213385</v>
      </c>
      <c r="B780" s="2" t="s">
        <v>825</v>
      </c>
      <c r="C780" s="2" t="s">
        <v>537</v>
      </c>
      <c r="D780" s="2">
        <v>2633</v>
      </c>
      <c r="E780" s="2">
        <v>51</v>
      </c>
      <c r="F780" s="2" t="s">
        <v>47</v>
      </c>
      <c r="G780" s="2" t="s">
        <v>37</v>
      </c>
      <c r="H780" s="2">
        <v>1</v>
      </c>
      <c r="I780" s="2">
        <v>14</v>
      </c>
      <c r="J780" s="2" t="s">
        <v>38</v>
      </c>
      <c r="K780" s="2">
        <v>660</v>
      </c>
      <c r="L780" s="2">
        <v>46.5</v>
      </c>
      <c r="M780" s="2">
        <v>12605117</v>
      </c>
      <c r="N780" s="2">
        <v>8444464</v>
      </c>
      <c r="O780" s="2"/>
      <c r="P780" s="2"/>
      <c r="Q780">
        <f t="shared" si="24"/>
        <v>27515.360052134241</v>
      </c>
      <c r="R780">
        <f t="shared" si="25"/>
        <v>35698.433871424524</v>
      </c>
    </row>
    <row r="781" spans="1:18" ht="16" x14ac:dyDescent="0.4">
      <c r="A781" s="2">
        <v>213400</v>
      </c>
      <c r="B781" s="2" t="s">
        <v>826</v>
      </c>
      <c r="C781" s="2" t="s">
        <v>537</v>
      </c>
      <c r="D781" s="2">
        <v>994</v>
      </c>
      <c r="E781" s="2">
        <v>53.1</v>
      </c>
      <c r="F781" s="2" t="s">
        <v>47</v>
      </c>
      <c r="G781" s="2" t="s">
        <v>37</v>
      </c>
      <c r="H781" s="2">
        <v>3</v>
      </c>
      <c r="I781" s="2">
        <v>38</v>
      </c>
      <c r="J781" s="2" t="s">
        <v>41</v>
      </c>
      <c r="K781" s="2">
        <v>329</v>
      </c>
      <c r="L781" s="2">
        <v>48</v>
      </c>
      <c r="M781" s="2">
        <v>472102</v>
      </c>
      <c r="N781" s="2">
        <v>474580</v>
      </c>
      <c r="O781" s="2"/>
      <c r="P781" s="2"/>
      <c r="Q781">
        <f t="shared" si="24"/>
        <v>3005.1925025329283</v>
      </c>
      <c r="R781">
        <f t="shared" si="25"/>
        <v>2759.539396773439</v>
      </c>
    </row>
    <row r="782" spans="1:18" ht="16" x14ac:dyDescent="0.4">
      <c r="A782" s="2">
        <v>213507</v>
      </c>
      <c r="B782" s="2" t="s">
        <v>827</v>
      </c>
      <c r="C782" s="2" t="s">
        <v>537</v>
      </c>
      <c r="D782" s="2">
        <v>1633</v>
      </c>
      <c r="E782" s="2">
        <v>53.9</v>
      </c>
      <c r="F782" s="2" t="s">
        <v>47</v>
      </c>
      <c r="G782" s="2" t="s">
        <v>37</v>
      </c>
      <c r="H782" s="2">
        <v>3</v>
      </c>
      <c r="I782" s="2">
        <v>15</v>
      </c>
      <c r="J782" s="2" t="s">
        <v>38</v>
      </c>
      <c r="K782" s="2">
        <v>626</v>
      </c>
      <c r="L782" s="2">
        <v>39.1</v>
      </c>
      <c r="M782" s="2">
        <v>1172287</v>
      </c>
      <c r="N782" s="2">
        <v>690978</v>
      </c>
      <c r="O782" s="2"/>
      <c r="P782" s="2"/>
      <c r="Q782">
        <f t="shared" si="24"/>
        <v>2823.0146343854944</v>
      </c>
      <c r="R782">
        <f t="shared" si="25"/>
        <v>3074.9801958901885</v>
      </c>
    </row>
    <row r="783" spans="1:18" ht="16" x14ac:dyDescent="0.4">
      <c r="A783" s="2">
        <v>213543</v>
      </c>
      <c r="B783" s="2" t="s">
        <v>828</v>
      </c>
      <c r="C783" s="2" t="s">
        <v>537</v>
      </c>
      <c r="D783" s="2">
        <v>5098</v>
      </c>
      <c r="E783" s="2">
        <v>46.4</v>
      </c>
      <c r="F783" s="2" t="s">
        <v>47</v>
      </c>
      <c r="G783" s="2" t="s">
        <v>37</v>
      </c>
      <c r="H783" s="2">
        <v>1</v>
      </c>
      <c r="I783" s="2">
        <v>38</v>
      </c>
      <c r="J783" s="2" t="s">
        <v>38</v>
      </c>
      <c r="K783" s="2">
        <v>821</v>
      </c>
      <c r="L783" s="2">
        <v>47.3</v>
      </c>
      <c r="M783" s="2">
        <v>14254025</v>
      </c>
      <c r="N783" s="2">
        <v>9639503</v>
      </c>
      <c r="O783" s="2"/>
      <c r="P783" s="2"/>
      <c r="Q783">
        <f t="shared" si="24"/>
        <v>24822.775813541473</v>
      </c>
      <c r="R783">
        <f t="shared" si="25"/>
        <v>32944.562446407974</v>
      </c>
    </row>
    <row r="784" spans="1:18" ht="16" x14ac:dyDescent="0.4">
      <c r="A784" s="2">
        <v>213598</v>
      </c>
      <c r="B784" s="2" t="s">
        <v>494</v>
      </c>
      <c r="C784" s="2" t="s">
        <v>537</v>
      </c>
      <c r="D784" s="2">
        <v>1899</v>
      </c>
      <c r="E784" s="2">
        <v>65.900000000000006</v>
      </c>
      <c r="F784" s="2" t="s">
        <v>36</v>
      </c>
      <c r="G784" s="2" t="s">
        <v>37</v>
      </c>
      <c r="H784" s="2">
        <v>2</v>
      </c>
      <c r="I784" s="2">
        <v>38</v>
      </c>
      <c r="J784" s="2" t="s">
        <v>38</v>
      </c>
      <c r="K784" s="2">
        <v>306</v>
      </c>
      <c r="L784" s="2">
        <v>43.1</v>
      </c>
      <c r="M784" s="2">
        <v>1567891</v>
      </c>
      <c r="N784" s="2">
        <v>969979</v>
      </c>
      <c r="O784" s="2"/>
      <c r="P784" s="2"/>
      <c r="Q784">
        <f t="shared" si="24"/>
        <v>7354.6775245287581</v>
      </c>
      <c r="R784">
        <f t="shared" si="25"/>
        <v>9004.9680094650648</v>
      </c>
    </row>
    <row r="785" spans="1:18" ht="16" x14ac:dyDescent="0.4">
      <c r="A785" s="2">
        <v>213613</v>
      </c>
      <c r="B785" s="2" t="s">
        <v>829</v>
      </c>
      <c r="C785" s="2" t="s">
        <v>537</v>
      </c>
      <c r="D785" s="2">
        <v>2465</v>
      </c>
      <c r="E785" s="2">
        <v>58</v>
      </c>
      <c r="F785" s="2" t="s">
        <v>36</v>
      </c>
      <c r="G785" s="2" t="s">
        <v>37</v>
      </c>
      <c r="H785" s="2">
        <v>2</v>
      </c>
      <c r="I785" s="2">
        <v>37</v>
      </c>
      <c r="J785" s="2" t="s">
        <v>38</v>
      </c>
      <c r="K785" s="2">
        <v>486</v>
      </c>
      <c r="L785" s="2">
        <v>54.9</v>
      </c>
      <c r="M785" s="2">
        <v>2661120</v>
      </c>
      <c r="N785" s="2">
        <v>2459580</v>
      </c>
      <c r="O785" s="2"/>
      <c r="P785" s="2"/>
      <c r="Q785">
        <f t="shared" si="24"/>
        <v>9218.3318716409176</v>
      </c>
      <c r="R785">
        <f t="shared" si="25"/>
        <v>12140.921409214092</v>
      </c>
    </row>
    <row r="786" spans="1:18" ht="16" x14ac:dyDescent="0.4">
      <c r="A786" s="2">
        <v>213668</v>
      </c>
      <c r="B786" s="2" t="s">
        <v>830</v>
      </c>
      <c r="C786" s="2" t="s">
        <v>537</v>
      </c>
      <c r="D786" s="2">
        <v>1122</v>
      </c>
      <c r="E786" s="2">
        <v>52.1</v>
      </c>
      <c r="F786" s="2" t="s">
        <v>47</v>
      </c>
      <c r="G786" s="2" t="s">
        <v>37</v>
      </c>
      <c r="H786" s="2">
        <v>3</v>
      </c>
      <c r="I786" s="2">
        <v>38</v>
      </c>
      <c r="J786" s="2" t="s">
        <v>38</v>
      </c>
      <c r="K786" s="2">
        <v>365</v>
      </c>
      <c r="L786" s="2">
        <v>32.1</v>
      </c>
      <c r="M786" s="2">
        <v>1362245</v>
      </c>
      <c r="N786" s="2">
        <v>627602</v>
      </c>
      <c r="O786" s="2"/>
      <c r="P786" s="2"/>
      <c r="Q786">
        <f t="shared" si="24"/>
        <v>5356.565527247898</v>
      </c>
      <c r="R786">
        <f t="shared" si="25"/>
        <v>5496.5803861440072</v>
      </c>
    </row>
    <row r="787" spans="1:18" ht="16" x14ac:dyDescent="0.4">
      <c r="A787" s="2">
        <v>213783</v>
      </c>
      <c r="B787" s="2" t="s">
        <v>831</v>
      </c>
      <c r="C787" s="2" t="s">
        <v>537</v>
      </c>
      <c r="D787" s="2">
        <v>1476</v>
      </c>
      <c r="E787" s="2">
        <v>62.9</v>
      </c>
      <c r="F787" s="2" t="s">
        <v>36</v>
      </c>
      <c r="G787" s="2" t="s">
        <v>37</v>
      </c>
      <c r="H787" s="2">
        <v>2</v>
      </c>
      <c r="I787" s="2">
        <v>38</v>
      </c>
      <c r="J787" s="2" t="s">
        <v>41</v>
      </c>
      <c r="K787" s="2">
        <v>272</v>
      </c>
      <c r="L787" s="2">
        <v>45.2</v>
      </c>
      <c r="M787" s="2">
        <v>909347</v>
      </c>
      <c r="N787" s="2">
        <v>1080197</v>
      </c>
      <c r="O787" s="2"/>
      <c r="P787" s="2"/>
      <c r="Q787">
        <f t="shared" si="24"/>
        <v>8786.0896017699106</v>
      </c>
      <c r="R787">
        <f t="shared" si="25"/>
        <v>6100.7071167883223</v>
      </c>
    </row>
    <row r="788" spans="1:18" ht="16" x14ac:dyDescent="0.4">
      <c r="A788" s="2">
        <v>213826</v>
      </c>
      <c r="B788" s="2" t="s">
        <v>832</v>
      </c>
      <c r="C788" s="2" t="s">
        <v>537</v>
      </c>
      <c r="D788" s="2">
        <v>1647</v>
      </c>
      <c r="E788" s="2">
        <v>67.3</v>
      </c>
      <c r="F788" s="2" t="s">
        <v>47</v>
      </c>
      <c r="G788" s="2" t="s">
        <v>37</v>
      </c>
      <c r="H788" s="2">
        <v>3</v>
      </c>
      <c r="I788" s="2">
        <v>38</v>
      </c>
      <c r="J788" s="2" t="s">
        <v>41</v>
      </c>
      <c r="K788" s="2">
        <v>378</v>
      </c>
      <c r="L788" s="2">
        <v>55.6</v>
      </c>
      <c r="M788" s="2">
        <v>394652</v>
      </c>
      <c r="N788" s="2">
        <v>477011</v>
      </c>
      <c r="O788" s="2"/>
      <c r="P788" s="2"/>
      <c r="Q788">
        <f t="shared" si="24"/>
        <v>2269.6652202047885</v>
      </c>
      <c r="R788">
        <f t="shared" si="25"/>
        <v>2351.4705181371851</v>
      </c>
    </row>
    <row r="789" spans="1:18" ht="16" x14ac:dyDescent="0.4">
      <c r="A789" s="2">
        <v>213987</v>
      </c>
      <c r="B789" s="2" t="s">
        <v>833</v>
      </c>
      <c r="C789" s="2" t="s">
        <v>537</v>
      </c>
      <c r="D789" s="2">
        <v>2292</v>
      </c>
      <c r="E789" s="2">
        <v>59.2</v>
      </c>
      <c r="F789" s="2" t="s">
        <v>47</v>
      </c>
      <c r="G789" s="2" t="s">
        <v>37</v>
      </c>
      <c r="H789" s="2">
        <v>2</v>
      </c>
      <c r="I789" s="2">
        <v>38</v>
      </c>
      <c r="J789" s="2" t="s">
        <v>38</v>
      </c>
      <c r="K789" s="2">
        <v>660</v>
      </c>
      <c r="L789" s="2">
        <v>38.799999999999997</v>
      </c>
      <c r="M789" s="2">
        <v>8936260</v>
      </c>
      <c r="N789" s="2">
        <v>6186056</v>
      </c>
      <c r="O789" s="2"/>
      <c r="P789" s="2"/>
      <c r="Q789">
        <f t="shared" si="24"/>
        <v>24156.732271165263</v>
      </c>
      <c r="R789">
        <f t="shared" si="25"/>
        <v>22123.836403248166</v>
      </c>
    </row>
    <row r="790" spans="1:18" ht="16" x14ac:dyDescent="0.4">
      <c r="A790" s="2">
        <v>213996</v>
      </c>
      <c r="B790" s="2" t="s">
        <v>834</v>
      </c>
      <c r="C790" s="2" t="s">
        <v>537</v>
      </c>
      <c r="D790" s="2">
        <v>2543</v>
      </c>
      <c r="E790" s="2">
        <v>60.4</v>
      </c>
      <c r="F790" s="2" t="s">
        <v>47</v>
      </c>
      <c r="G790" s="2" t="s">
        <v>37</v>
      </c>
      <c r="H790" s="2">
        <v>3</v>
      </c>
      <c r="I790" s="2">
        <v>12</v>
      </c>
      <c r="J790" s="2" t="s">
        <v>41</v>
      </c>
      <c r="K790" s="2">
        <v>501</v>
      </c>
      <c r="L790" s="2">
        <v>47.5</v>
      </c>
      <c r="M790" s="2">
        <v>672427</v>
      </c>
      <c r="N790" s="2">
        <v>663340</v>
      </c>
      <c r="O790" s="2"/>
      <c r="P790" s="2"/>
      <c r="Q790">
        <f t="shared" si="24"/>
        <v>2787.4356550057778</v>
      </c>
      <c r="R790">
        <f t="shared" si="25"/>
        <v>2556.5136393878906</v>
      </c>
    </row>
    <row r="791" spans="1:18" ht="16" x14ac:dyDescent="0.4">
      <c r="A791" s="2">
        <v>214041</v>
      </c>
      <c r="B791" s="2" t="s">
        <v>835</v>
      </c>
      <c r="C791" s="2" t="s">
        <v>537</v>
      </c>
      <c r="D791" s="2">
        <v>5465</v>
      </c>
      <c r="E791" s="2">
        <v>57</v>
      </c>
      <c r="F791" s="2" t="s">
        <v>36</v>
      </c>
      <c r="G791" s="2" t="s">
        <v>37</v>
      </c>
      <c r="H791" s="2">
        <v>2</v>
      </c>
      <c r="I791" s="2">
        <v>13</v>
      </c>
      <c r="J791" s="2" t="s">
        <v>38</v>
      </c>
      <c r="K791" s="2">
        <v>514</v>
      </c>
      <c r="L791" s="2">
        <v>57.4</v>
      </c>
      <c r="M791" s="2">
        <v>2286395</v>
      </c>
      <c r="N791" s="2">
        <v>2361965</v>
      </c>
      <c r="O791" s="2"/>
      <c r="P791" s="2"/>
      <c r="Q791">
        <f t="shared" si="24"/>
        <v>8005.6840521156737</v>
      </c>
      <c r="R791">
        <f t="shared" si="25"/>
        <v>10441.876290166419</v>
      </c>
    </row>
    <row r="792" spans="1:18" ht="16" x14ac:dyDescent="0.4">
      <c r="A792" s="2">
        <v>214069</v>
      </c>
      <c r="B792" s="2" t="s">
        <v>836</v>
      </c>
      <c r="C792" s="2" t="s">
        <v>537</v>
      </c>
      <c r="D792" s="2">
        <v>1584</v>
      </c>
      <c r="E792" s="2">
        <v>64.900000000000006</v>
      </c>
      <c r="F792" s="2" t="s">
        <v>47</v>
      </c>
      <c r="G792" s="2" t="s">
        <v>37</v>
      </c>
      <c r="H792" s="2">
        <v>3</v>
      </c>
      <c r="I792" s="2">
        <v>12</v>
      </c>
      <c r="J792" s="2" t="s">
        <v>38</v>
      </c>
      <c r="K792" s="2">
        <v>646</v>
      </c>
      <c r="L792" s="2">
        <v>44.6</v>
      </c>
      <c r="M792" s="2">
        <v>945125</v>
      </c>
      <c r="N792" s="2">
        <v>691160</v>
      </c>
      <c r="O792" s="2"/>
      <c r="P792" s="2"/>
      <c r="Q792">
        <f t="shared" si="24"/>
        <v>2398.8948895583726</v>
      </c>
      <c r="R792">
        <f t="shared" si="25"/>
        <v>2640.8696672664882</v>
      </c>
    </row>
    <row r="793" spans="1:18" ht="16" x14ac:dyDescent="0.4">
      <c r="A793" s="2">
        <v>214157</v>
      </c>
      <c r="B793" s="2" t="s">
        <v>837</v>
      </c>
      <c r="C793" s="2" t="s">
        <v>537</v>
      </c>
      <c r="D793" s="2">
        <v>1912</v>
      </c>
      <c r="E793" s="2">
        <v>60.1</v>
      </c>
      <c r="F793" s="2" t="s">
        <v>47</v>
      </c>
      <c r="G793" s="2" t="s">
        <v>37</v>
      </c>
      <c r="H793" s="2">
        <v>3</v>
      </c>
      <c r="I793" s="2">
        <v>38</v>
      </c>
      <c r="J793" s="2" t="s">
        <v>38</v>
      </c>
      <c r="K793" s="2">
        <v>540</v>
      </c>
      <c r="L793" s="2">
        <v>43.1</v>
      </c>
      <c r="M793" s="2">
        <v>1176282</v>
      </c>
      <c r="N793" s="2">
        <v>973013</v>
      </c>
      <c r="O793" s="2"/>
      <c r="P793" s="2"/>
      <c r="Q793">
        <f t="shared" si="24"/>
        <v>4180.686603076394</v>
      </c>
      <c r="R793">
        <f t="shared" si="25"/>
        <v>3828.2952548330404</v>
      </c>
    </row>
    <row r="794" spans="1:18" ht="16" x14ac:dyDescent="0.4">
      <c r="A794" s="2">
        <v>214166</v>
      </c>
      <c r="B794" s="2" t="s">
        <v>838</v>
      </c>
      <c r="C794" s="2" t="s">
        <v>537</v>
      </c>
      <c r="D794" s="2">
        <v>940</v>
      </c>
      <c r="E794" s="2">
        <v>70.099999999999994</v>
      </c>
      <c r="F794" s="2" t="s">
        <v>47</v>
      </c>
      <c r="G794" s="2" t="s">
        <v>37</v>
      </c>
      <c r="H794" s="2">
        <v>3</v>
      </c>
      <c r="I794" s="2">
        <v>10</v>
      </c>
      <c r="J794" s="2" t="s">
        <v>41</v>
      </c>
      <c r="K794" s="2">
        <v>194</v>
      </c>
      <c r="L794" s="2">
        <v>45.9</v>
      </c>
      <c r="M794" s="2">
        <v>229330</v>
      </c>
      <c r="N794" s="2">
        <v>247593</v>
      </c>
      <c r="O794" s="2"/>
      <c r="P794" s="2"/>
      <c r="Q794">
        <f t="shared" si="24"/>
        <v>2780.5067043999729</v>
      </c>
      <c r="R794">
        <f t="shared" si="25"/>
        <v>2185.0524991901211</v>
      </c>
    </row>
    <row r="795" spans="1:18" ht="16" x14ac:dyDescent="0.4">
      <c r="A795" s="2">
        <v>214175</v>
      </c>
      <c r="B795" s="2" t="s">
        <v>839</v>
      </c>
      <c r="C795" s="2" t="s">
        <v>537</v>
      </c>
      <c r="D795" s="2">
        <v>2190</v>
      </c>
      <c r="E795" s="2">
        <v>60.9</v>
      </c>
      <c r="F795" s="2" t="s">
        <v>47</v>
      </c>
      <c r="G795" s="2" t="s">
        <v>37</v>
      </c>
      <c r="H795" s="2">
        <v>3</v>
      </c>
      <c r="I795" s="2">
        <v>38</v>
      </c>
      <c r="J795" s="2" t="s">
        <v>38</v>
      </c>
      <c r="K795" s="2">
        <v>560</v>
      </c>
      <c r="L795" s="2">
        <v>33.9</v>
      </c>
      <c r="M795" s="2">
        <v>1403332</v>
      </c>
      <c r="N795" s="2">
        <v>820552</v>
      </c>
      <c r="O795" s="2"/>
      <c r="P795" s="2"/>
      <c r="Q795">
        <f t="shared" si="24"/>
        <v>4322.3345975558368</v>
      </c>
      <c r="R795">
        <f t="shared" si="25"/>
        <v>3791.1497730711048</v>
      </c>
    </row>
    <row r="796" spans="1:18" ht="16" x14ac:dyDescent="0.4">
      <c r="A796" s="2">
        <v>214272</v>
      </c>
      <c r="B796" s="2" t="s">
        <v>840</v>
      </c>
      <c r="C796" s="2" t="s">
        <v>537</v>
      </c>
      <c r="D796" s="2">
        <v>1384</v>
      </c>
      <c r="E796" s="2">
        <v>66.7</v>
      </c>
      <c r="F796" s="2" t="s">
        <v>47</v>
      </c>
      <c r="G796" s="2" t="s">
        <v>37</v>
      </c>
      <c r="H796" s="2">
        <v>3</v>
      </c>
      <c r="I796" s="2">
        <v>38</v>
      </c>
      <c r="J796" s="2" t="s">
        <v>41</v>
      </c>
      <c r="K796" s="2">
        <v>354</v>
      </c>
      <c r="L796" s="2">
        <v>49.7</v>
      </c>
      <c r="M796" s="2">
        <v>627951</v>
      </c>
      <c r="N796" s="2">
        <v>590846</v>
      </c>
      <c r="O796" s="2"/>
      <c r="P796" s="2"/>
      <c r="Q796">
        <f t="shared" si="24"/>
        <v>3358.2625697688954</v>
      </c>
      <c r="R796">
        <f t="shared" si="25"/>
        <v>3526.5862452404217</v>
      </c>
    </row>
    <row r="797" spans="1:18" ht="16" x14ac:dyDescent="0.4">
      <c r="A797" s="2">
        <v>214591</v>
      </c>
      <c r="B797" s="2" t="s">
        <v>841</v>
      </c>
      <c r="C797" s="2" t="s">
        <v>537</v>
      </c>
      <c r="D797" s="2">
        <v>3957</v>
      </c>
      <c r="E797" s="2">
        <v>34</v>
      </c>
      <c r="F797" s="2" t="s">
        <v>36</v>
      </c>
      <c r="G797" s="2" t="s">
        <v>37</v>
      </c>
      <c r="H797" s="2">
        <v>3</v>
      </c>
      <c r="I797" s="2">
        <v>38</v>
      </c>
      <c r="J797" s="2" t="s">
        <v>41</v>
      </c>
      <c r="K797" s="2">
        <v>407</v>
      </c>
      <c r="L797" s="2">
        <v>37.799999999999997</v>
      </c>
      <c r="M797" s="2">
        <v>756029</v>
      </c>
      <c r="N797" s="2">
        <v>536976</v>
      </c>
      <c r="O797" s="2"/>
      <c r="P797" s="2"/>
      <c r="Q797">
        <f t="shared" si="24"/>
        <v>3490.3474903474903</v>
      </c>
      <c r="R797">
        <f t="shared" si="25"/>
        <v>2986.4390845098242</v>
      </c>
    </row>
    <row r="798" spans="1:18" ht="16" x14ac:dyDescent="0.4">
      <c r="A798" s="2">
        <v>214689</v>
      </c>
      <c r="B798" s="2" t="s">
        <v>842</v>
      </c>
      <c r="C798" s="2" t="s">
        <v>537</v>
      </c>
      <c r="D798" s="2">
        <v>3124</v>
      </c>
      <c r="E798" s="2">
        <v>45.2</v>
      </c>
      <c r="F798" s="2" t="s">
        <v>36</v>
      </c>
      <c r="G798" s="2" t="s">
        <v>37</v>
      </c>
      <c r="H798" s="2">
        <v>3</v>
      </c>
      <c r="I798" s="2">
        <v>38</v>
      </c>
      <c r="J798" s="2" t="s">
        <v>41</v>
      </c>
      <c r="K798" s="2">
        <v>203</v>
      </c>
      <c r="L798" s="2">
        <v>43.3</v>
      </c>
      <c r="M798" s="2">
        <v>332435</v>
      </c>
      <c r="N798" s="2">
        <v>209771</v>
      </c>
      <c r="O798" s="2"/>
      <c r="P798" s="2"/>
      <c r="Q798">
        <f t="shared" si="24"/>
        <v>2386.5004152493202</v>
      </c>
      <c r="R798">
        <f t="shared" si="25"/>
        <v>2888.2025351647681</v>
      </c>
    </row>
    <row r="799" spans="1:18" ht="16" x14ac:dyDescent="0.4">
      <c r="A799" s="2">
        <v>214704</v>
      </c>
      <c r="B799" s="2" t="s">
        <v>843</v>
      </c>
      <c r="C799" s="2" t="s">
        <v>537</v>
      </c>
      <c r="D799" s="2">
        <v>2272</v>
      </c>
      <c r="E799" s="2">
        <v>39.700000000000003</v>
      </c>
      <c r="F799" s="2" t="s">
        <v>36</v>
      </c>
      <c r="G799" s="2" t="s">
        <v>37</v>
      </c>
      <c r="H799" s="2">
        <v>3</v>
      </c>
      <c r="I799" s="2">
        <v>38</v>
      </c>
      <c r="J799" s="2" t="s">
        <v>41</v>
      </c>
      <c r="K799" s="2">
        <v>178</v>
      </c>
      <c r="L799" s="2">
        <v>46.1</v>
      </c>
      <c r="M799" s="2">
        <v>177425</v>
      </c>
      <c r="N799" s="2">
        <v>203537</v>
      </c>
      <c r="O799" s="2"/>
      <c r="P799" s="2"/>
      <c r="Q799">
        <f t="shared" si="24"/>
        <v>2480.4041044139508</v>
      </c>
      <c r="R799">
        <f t="shared" si="25"/>
        <v>1849.2943653457296</v>
      </c>
    </row>
    <row r="800" spans="1:18" ht="16" x14ac:dyDescent="0.4">
      <c r="A800" s="2">
        <v>214713</v>
      </c>
      <c r="B800" s="2" t="s">
        <v>844</v>
      </c>
      <c r="C800" s="2" t="s">
        <v>537</v>
      </c>
      <c r="D800" s="2">
        <v>3905</v>
      </c>
      <c r="E800" s="2">
        <v>38.9</v>
      </c>
      <c r="F800" s="2" t="s">
        <v>36</v>
      </c>
      <c r="G800" s="2" t="s">
        <v>37</v>
      </c>
      <c r="H800" s="2">
        <v>3</v>
      </c>
      <c r="I800" s="2">
        <v>37</v>
      </c>
      <c r="J800" s="2" t="s">
        <v>41</v>
      </c>
      <c r="K800" s="2">
        <v>276</v>
      </c>
      <c r="L800" s="2">
        <v>43.8</v>
      </c>
      <c r="M800" s="2">
        <v>317201</v>
      </c>
      <c r="N800" s="2">
        <v>294108</v>
      </c>
      <c r="O800" s="2"/>
      <c r="P800" s="2"/>
      <c r="Q800">
        <f t="shared" si="24"/>
        <v>2432.8965654159219</v>
      </c>
      <c r="R800">
        <f t="shared" si="25"/>
        <v>2044.9804012584452</v>
      </c>
    </row>
    <row r="801" spans="1:18" ht="16" x14ac:dyDescent="0.4">
      <c r="A801" s="2">
        <v>214777</v>
      </c>
      <c r="B801" s="2" t="s">
        <v>845</v>
      </c>
      <c r="C801" s="2" t="s">
        <v>537</v>
      </c>
      <c r="D801" s="2">
        <v>66279</v>
      </c>
      <c r="E801" s="2">
        <v>45.8</v>
      </c>
      <c r="F801" s="2" t="s">
        <v>36</v>
      </c>
      <c r="G801" s="2" t="s">
        <v>37</v>
      </c>
      <c r="H801" s="2">
        <v>1</v>
      </c>
      <c r="I801" s="2">
        <v>16</v>
      </c>
      <c r="J801" s="2" t="s">
        <v>38</v>
      </c>
      <c r="K801" s="2">
        <v>966</v>
      </c>
      <c r="L801" s="2">
        <v>44.1</v>
      </c>
      <c r="M801" s="2">
        <v>76218451</v>
      </c>
      <c r="N801" s="2">
        <v>23020871</v>
      </c>
      <c r="O801" s="2"/>
      <c r="P801" s="2"/>
      <c r="Q801">
        <f t="shared" si="24"/>
        <v>54038.842175931793</v>
      </c>
      <c r="R801">
        <f t="shared" si="25"/>
        <v>141146.84792793993</v>
      </c>
    </row>
    <row r="802" spans="1:18" ht="16" x14ac:dyDescent="0.4">
      <c r="A802" s="2">
        <v>214801</v>
      </c>
      <c r="B802" s="2" t="s">
        <v>846</v>
      </c>
      <c r="C802" s="2" t="s">
        <v>537</v>
      </c>
      <c r="D802" s="2">
        <v>3274</v>
      </c>
      <c r="E802" s="2">
        <v>48.1</v>
      </c>
      <c r="F802" s="2" t="s">
        <v>36</v>
      </c>
      <c r="G802" s="2" t="s">
        <v>37</v>
      </c>
      <c r="H802" s="2">
        <v>3</v>
      </c>
      <c r="I802" s="2">
        <v>38</v>
      </c>
      <c r="J802" s="2" t="s">
        <v>41</v>
      </c>
      <c r="K802" s="2">
        <v>173</v>
      </c>
      <c r="L802" s="2">
        <v>48.6</v>
      </c>
      <c r="M802" s="2">
        <v>382956</v>
      </c>
      <c r="N802" s="2">
        <v>366872</v>
      </c>
      <c r="O802" s="2"/>
      <c r="P802" s="2"/>
      <c r="Q802">
        <f t="shared" si="24"/>
        <v>4363.4720140821619</v>
      </c>
      <c r="R802">
        <f t="shared" si="25"/>
        <v>4306.6507725872116</v>
      </c>
    </row>
    <row r="803" spans="1:18" ht="16" x14ac:dyDescent="0.4">
      <c r="A803" s="2">
        <v>215062</v>
      </c>
      <c r="B803" s="2" t="s">
        <v>847</v>
      </c>
      <c r="C803" s="2" t="s">
        <v>537</v>
      </c>
      <c r="D803" s="2">
        <v>10195</v>
      </c>
      <c r="E803" s="2">
        <v>53.5</v>
      </c>
      <c r="F803" s="2" t="s">
        <v>47</v>
      </c>
      <c r="G803" s="2" t="s">
        <v>37</v>
      </c>
      <c r="H803" s="2">
        <v>1</v>
      </c>
      <c r="I803" s="2">
        <v>38</v>
      </c>
      <c r="J803" s="2" t="s">
        <v>38</v>
      </c>
      <c r="K803" s="2">
        <v>1068</v>
      </c>
      <c r="L803" s="2">
        <v>41.2</v>
      </c>
      <c r="M803" s="2">
        <v>10057838</v>
      </c>
      <c r="N803" s="2">
        <v>5798525</v>
      </c>
      <c r="O803" s="2"/>
      <c r="P803" s="2"/>
      <c r="Q803">
        <f t="shared" si="24"/>
        <v>13177.986709574197</v>
      </c>
      <c r="R803">
        <f t="shared" si="25"/>
        <v>16016.073657927593</v>
      </c>
    </row>
    <row r="804" spans="1:18" ht="16" x14ac:dyDescent="0.4">
      <c r="A804" s="2">
        <v>215114</v>
      </c>
      <c r="B804" s="2" t="s">
        <v>848</v>
      </c>
      <c r="C804" s="2" t="s">
        <v>537</v>
      </c>
      <c r="D804" s="2">
        <v>807</v>
      </c>
      <c r="E804" s="2">
        <v>55.4</v>
      </c>
      <c r="F804" s="2" t="s">
        <v>47</v>
      </c>
      <c r="G804" s="2" t="s">
        <v>37</v>
      </c>
      <c r="H804" s="2">
        <v>3</v>
      </c>
      <c r="I804" s="2">
        <v>38</v>
      </c>
      <c r="J804" s="2" t="s">
        <v>41</v>
      </c>
      <c r="K804" s="2">
        <v>192</v>
      </c>
      <c r="L804" s="2">
        <v>37</v>
      </c>
      <c r="M804" s="2">
        <v>294100</v>
      </c>
      <c r="N804" s="2">
        <v>191000</v>
      </c>
      <c r="O804" s="2"/>
      <c r="P804" s="2"/>
      <c r="Q804">
        <f t="shared" si="24"/>
        <v>2688.6261261261266</v>
      </c>
      <c r="R804">
        <f t="shared" si="25"/>
        <v>2431.382275132275</v>
      </c>
    </row>
    <row r="805" spans="1:18" ht="16" x14ac:dyDescent="0.4">
      <c r="A805" s="2">
        <v>215132</v>
      </c>
      <c r="B805" s="2" t="s">
        <v>849</v>
      </c>
      <c r="C805" s="2" t="s">
        <v>537</v>
      </c>
      <c r="D805" s="2">
        <v>1216</v>
      </c>
      <c r="E805" s="2">
        <v>63.8</v>
      </c>
      <c r="F805" s="2" t="s">
        <v>47</v>
      </c>
      <c r="G805" s="2" t="s">
        <v>37</v>
      </c>
      <c r="H805" s="2">
        <v>2</v>
      </c>
      <c r="I805" s="2">
        <v>38</v>
      </c>
      <c r="J805" s="2" t="s">
        <v>38</v>
      </c>
      <c r="K805" s="2">
        <v>183</v>
      </c>
      <c r="L805" s="2">
        <v>48.1</v>
      </c>
      <c r="M805" s="2">
        <v>931804</v>
      </c>
      <c r="N805" s="2">
        <v>999740</v>
      </c>
      <c r="O805" s="2"/>
      <c r="P805" s="2"/>
      <c r="Q805">
        <f t="shared" si="24"/>
        <v>11357.713324926439</v>
      </c>
      <c r="R805">
        <f t="shared" si="25"/>
        <v>9810.8384135106389</v>
      </c>
    </row>
    <row r="806" spans="1:18" ht="16" x14ac:dyDescent="0.4">
      <c r="A806" s="2">
        <v>215266</v>
      </c>
      <c r="B806" s="2" t="s">
        <v>850</v>
      </c>
      <c r="C806" s="2" t="s">
        <v>537</v>
      </c>
      <c r="D806" s="2">
        <v>1248</v>
      </c>
      <c r="E806" s="2">
        <v>56.3</v>
      </c>
      <c r="F806" s="2" t="s">
        <v>36</v>
      </c>
      <c r="G806" s="2" t="s">
        <v>37</v>
      </c>
      <c r="H806" s="2">
        <v>3</v>
      </c>
      <c r="I806" s="2">
        <v>38</v>
      </c>
      <c r="J806" s="2" t="s">
        <v>41</v>
      </c>
      <c r="K806" s="2">
        <v>204</v>
      </c>
      <c r="L806" s="2">
        <v>47.1</v>
      </c>
      <c r="M806" s="2">
        <v>784355</v>
      </c>
      <c r="N806" s="2">
        <v>618063</v>
      </c>
      <c r="O806" s="2"/>
      <c r="P806" s="2"/>
      <c r="Q806">
        <f t="shared" si="24"/>
        <v>6432.5277881853381</v>
      </c>
      <c r="R806">
        <f t="shared" si="25"/>
        <v>7268.1993402275839</v>
      </c>
    </row>
    <row r="807" spans="1:18" ht="16" x14ac:dyDescent="0.4">
      <c r="A807" s="2">
        <v>215275</v>
      </c>
      <c r="B807" s="2" t="s">
        <v>851</v>
      </c>
      <c r="C807" s="2" t="s">
        <v>537</v>
      </c>
      <c r="D807" s="2">
        <v>1355</v>
      </c>
      <c r="E807" s="2">
        <v>55.9</v>
      </c>
      <c r="F807" s="2" t="s">
        <v>36</v>
      </c>
      <c r="G807" s="2" t="s">
        <v>37</v>
      </c>
      <c r="H807" s="2">
        <v>3</v>
      </c>
      <c r="I807" s="2">
        <v>38</v>
      </c>
      <c r="J807" s="2" t="s">
        <v>41</v>
      </c>
      <c r="K807" s="2">
        <v>165</v>
      </c>
      <c r="L807" s="2">
        <v>50.3</v>
      </c>
      <c r="M807" s="2">
        <v>187521</v>
      </c>
      <c r="N807" s="2">
        <v>240862</v>
      </c>
      <c r="O807" s="2"/>
      <c r="P807" s="2"/>
      <c r="Q807">
        <f t="shared" si="24"/>
        <v>2902.1266341345863</v>
      </c>
      <c r="R807">
        <f t="shared" si="25"/>
        <v>2286.702030364002</v>
      </c>
    </row>
    <row r="808" spans="1:18" ht="16" x14ac:dyDescent="0.4">
      <c r="A808" s="2">
        <v>215284</v>
      </c>
      <c r="B808" s="2" t="s">
        <v>852</v>
      </c>
      <c r="C808" s="2" t="s">
        <v>537</v>
      </c>
      <c r="D808" s="2">
        <v>2400</v>
      </c>
      <c r="E808" s="2">
        <v>44.2</v>
      </c>
      <c r="F808" s="2" t="s">
        <v>36</v>
      </c>
      <c r="G808" s="2" t="s">
        <v>37</v>
      </c>
      <c r="H808" s="2">
        <v>2</v>
      </c>
      <c r="I808" s="2">
        <v>38</v>
      </c>
      <c r="J808" s="2" t="s">
        <v>41</v>
      </c>
      <c r="K808" s="2">
        <v>315</v>
      </c>
      <c r="L808" s="2">
        <v>38.1</v>
      </c>
      <c r="M808" s="2">
        <v>1541238</v>
      </c>
      <c r="N808" s="2">
        <v>1108805</v>
      </c>
      <c r="O808" s="2"/>
      <c r="P808" s="2"/>
      <c r="Q808">
        <f t="shared" si="24"/>
        <v>9238.8868058159405</v>
      </c>
      <c r="R808">
        <f t="shared" si="25"/>
        <v>7904.3926455881228</v>
      </c>
    </row>
    <row r="809" spans="1:18" ht="16" x14ac:dyDescent="0.4">
      <c r="A809" s="2">
        <v>215293</v>
      </c>
      <c r="B809" s="2" t="s">
        <v>853</v>
      </c>
      <c r="C809" s="2" t="s">
        <v>537</v>
      </c>
      <c r="D809" s="2">
        <v>18310</v>
      </c>
      <c r="E809" s="2">
        <v>53.8</v>
      </c>
      <c r="F809" s="2" t="s">
        <v>36</v>
      </c>
      <c r="G809" s="2" t="s">
        <v>37</v>
      </c>
      <c r="H809" s="2">
        <v>1</v>
      </c>
      <c r="I809" s="2">
        <v>10</v>
      </c>
      <c r="J809" s="2" t="s">
        <v>38</v>
      </c>
      <c r="K809" s="2">
        <v>575</v>
      </c>
      <c r="L809" s="2">
        <v>43.3</v>
      </c>
      <c r="M809" s="2">
        <v>49561404</v>
      </c>
      <c r="N809" s="2">
        <v>13122874</v>
      </c>
      <c r="O809" s="2"/>
      <c r="P809" s="2"/>
      <c r="Q809">
        <f t="shared" si="24"/>
        <v>52707.597148308065</v>
      </c>
      <c r="R809">
        <f t="shared" si="25"/>
        <v>152017.1888658845</v>
      </c>
    </row>
    <row r="810" spans="1:18" ht="16" x14ac:dyDescent="0.4">
      <c r="A810" s="2">
        <v>215655</v>
      </c>
      <c r="B810" s="2" t="s">
        <v>854</v>
      </c>
      <c r="C810" s="2" t="s">
        <v>537</v>
      </c>
      <c r="D810" s="2">
        <v>3496</v>
      </c>
      <c r="E810" s="2">
        <v>43.7</v>
      </c>
      <c r="F810" s="2" t="s">
        <v>47</v>
      </c>
      <c r="G810" s="2" t="s">
        <v>37</v>
      </c>
      <c r="H810" s="2">
        <v>1</v>
      </c>
      <c r="I810" s="2">
        <v>38</v>
      </c>
      <c r="J810" s="2" t="s">
        <v>38</v>
      </c>
      <c r="K810" s="2">
        <v>478</v>
      </c>
      <c r="L810" s="2">
        <v>50</v>
      </c>
      <c r="M810" s="2">
        <v>8434024</v>
      </c>
      <c r="N810" s="2">
        <v>6440432</v>
      </c>
      <c r="O810" s="2"/>
      <c r="P810" s="2"/>
      <c r="Q810">
        <f t="shared" si="24"/>
        <v>26947.414225941422</v>
      </c>
      <c r="R810">
        <f t="shared" si="25"/>
        <v>35288.803347280336</v>
      </c>
    </row>
    <row r="811" spans="1:18" ht="16" x14ac:dyDescent="0.4">
      <c r="A811" s="2">
        <v>215691</v>
      </c>
      <c r="B811" s="2" t="s">
        <v>855</v>
      </c>
      <c r="C811" s="2" t="s">
        <v>537</v>
      </c>
      <c r="D811" s="2">
        <v>385</v>
      </c>
      <c r="E811" s="2">
        <v>64.7</v>
      </c>
      <c r="F811" s="2" t="s">
        <v>47</v>
      </c>
      <c r="G811" s="2" t="s">
        <v>37</v>
      </c>
      <c r="H811" s="2">
        <v>3</v>
      </c>
      <c r="I811" s="2">
        <v>8</v>
      </c>
      <c r="J811" s="2" t="s">
        <v>41</v>
      </c>
      <c r="K811" s="2">
        <v>119</v>
      </c>
      <c r="L811" s="2">
        <v>47.1</v>
      </c>
      <c r="M811" s="2">
        <v>186919</v>
      </c>
      <c r="N811" s="2">
        <v>184536</v>
      </c>
      <c r="O811" s="2"/>
      <c r="P811" s="2"/>
      <c r="Q811">
        <f t="shared" si="24"/>
        <v>3292.4048600331848</v>
      </c>
      <c r="R811">
        <f t="shared" si="25"/>
        <v>2969.2776921732775</v>
      </c>
    </row>
    <row r="812" spans="1:18" ht="16" x14ac:dyDescent="0.4">
      <c r="A812" s="2">
        <v>215743</v>
      </c>
      <c r="B812" s="2" t="s">
        <v>856</v>
      </c>
      <c r="C812" s="2" t="s">
        <v>537</v>
      </c>
      <c r="D812" s="2">
        <v>1447</v>
      </c>
      <c r="E812" s="2">
        <v>62.4</v>
      </c>
      <c r="F812" s="2" t="s">
        <v>47</v>
      </c>
      <c r="G812" s="2" t="s">
        <v>37</v>
      </c>
      <c r="H812" s="2">
        <v>1</v>
      </c>
      <c r="I812" s="2">
        <v>38</v>
      </c>
      <c r="J812" s="2" t="s">
        <v>38</v>
      </c>
      <c r="K812" s="2">
        <v>547</v>
      </c>
      <c r="L812" s="2">
        <v>49.5</v>
      </c>
      <c r="M812" s="2">
        <v>6263854</v>
      </c>
      <c r="N812" s="2">
        <v>6052516</v>
      </c>
      <c r="O812" s="2"/>
      <c r="P812" s="2"/>
      <c r="Q812">
        <f t="shared" si="24"/>
        <v>22353.391317193877</v>
      </c>
      <c r="R812">
        <f t="shared" si="25"/>
        <v>22675.815881405324</v>
      </c>
    </row>
    <row r="813" spans="1:18" ht="16" x14ac:dyDescent="0.4">
      <c r="A813" s="2">
        <v>215770</v>
      </c>
      <c r="B813" s="2" t="s">
        <v>857</v>
      </c>
      <c r="C813" s="2" t="s">
        <v>537</v>
      </c>
      <c r="D813" s="2">
        <v>4204</v>
      </c>
      <c r="E813" s="2">
        <v>52.9</v>
      </c>
      <c r="F813" s="2" t="s">
        <v>47</v>
      </c>
      <c r="G813" s="2" t="s">
        <v>37</v>
      </c>
      <c r="H813" s="2">
        <v>1</v>
      </c>
      <c r="I813" s="2">
        <v>10</v>
      </c>
      <c r="J813" s="2" t="s">
        <v>41</v>
      </c>
      <c r="K813" s="2">
        <v>623</v>
      </c>
      <c r="L813" s="2">
        <v>48.8</v>
      </c>
      <c r="M813" s="2">
        <v>9054052</v>
      </c>
      <c r="N813" s="2">
        <v>8237148</v>
      </c>
      <c r="O813" s="2"/>
      <c r="P813" s="2"/>
      <c r="Q813">
        <f t="shared" si="24"/>
        <v>27093.74259926848</v>
      </c>
      <c r="R813">
        <f t="shared" si="25"/>
        <v>28384.743679775282</v>
      </c>
    </row>
    <row r="814" spans="1:18" ht="16" x14ac:dyDescent="0.4">
      <c r="A814" s="2">
        <v>215798</v>
      </c>
      <c r="B814" s="2" t="s">
        <v>858</v>
      </c>
      <c r="C814" s="2" t="s">
        <v>537</v>
      </c>
      <c r="D814" s="2">
        <v>1483</v>
      </c>
      <c r="E814" s="2">
        <v>46.7</v>
      </c>
      <c r="F814" s="2" t="s">
        <v>47</v>
      </c>
      <c r="G814" s="2" t="s">
        <v>37</v>
      </c>
      <c r="H814" s="2">
        <v>3</v>
      </c>
      <c r="I814" s="2">
        <v>38</v>
      </c>
      <c r="J814" s="2" t="s">
        <v>38</v>
      </c>
      <c r="K814" s="2">
        <v>498</v>
      </c>
      <c r="L814" s="2">
        <v>36.1</v>
      </c>
      <c r="M814" s="2">
        <v>1530753</v>
      </c>
      <c r="N814" s="2">
        <v>825556</v>
      </c>
      <c r="O814" s="2"/>
      <c r="P814" s="2"/>
      <c r="Q814">
        <f t="shared" si="24"/>
        <v>4592.0857947023542</v>
      </c>
      <c r="R814">
        <f t="shared" si="25"/>
        <v>4810.3305239738302</v>
      </c>
    </row>
    <row r="815" spans="1:18" ht="16" x14ac:dyDescent="0.4">
      <c r="A815" s="2">
        <v>215929</v>
      </c>
      <c r="B815" s="2" t="s">
        <v>859</v>
      </c>
      <c r="C815" s="2" t="s">
        <v>537</v>
      </c>
      <c r="D815" s="2">
        <v>3611</v>
      </c>
      <c r="E815" s="2">
        <v>57.5</v>
      </c>
      <c r="F815" s="2" t="s">
        <v>47</v>
      </c>
      <c r="G815" s="2" t="s">
        <v>37</v>
      </c>
      <c r="H815" s="2">
        <v>3</v>
      </c>
      <c r="I815" s="2">
        <v>14</v>
      </c>
      <c r="J815" s="2" t="s">
        <v>41</v>
      </c>
      <c r="K815" s="2">
        <v>534</v>
      </c>
      <c r="L815" s="2">
        <v>48.3</v>
      </c>
      <c r="M815" s="2">
        <v>1201069</v>
      </c>
      <c r="N815" s="2">
        <v>1143069</v>
      </c>
      <c r="O815" s="2"/>
      <c r="P815" s="2"/>
      <c r="Q815">
        <f t="shared" si="24"/>
        <v>4431.8398585618916</v>
      </c>
      <c r="R815">
        <f t="shared" si="25"/>
        <v>4350.4697947681443</v>
      </c>
    </row>
    <row r="816" spans="1:18" ht="16" x14ac:dyDescent="0.4">
      <c r="A816" s="2">
        <v>215947</v>
      </c>
      <c r="B816" s="2" t="s">
        <v>860</v>
      </c>
      <c r="C816" s="2" t="s">
        <v>537</v>
      </c>
      <c r="D816" s="2">
        <v>1571</v>
      </c>
      <c r="E816" s="2">
        <v>65.2</v>
      </c>
      <c r="F816" s="2" t="s">
        <v>47</v>
      </c>
      <c r="G816" s="2" t="s">
        <v>37</v>
      </c>
      <c r="H816" s="2">
        <v>2</v>
      </c>
      <c r="I816" s="2">
        <v>38</v>
      </c>
      <c r="J816" s="2" t="s">
        <v>38</v>
      </c>
      <c r="K816" s="2">
        <v>595</v>
      </c>
      <c r="L816" s="2">
        <v>37.6</v>
      </c>
      <c r="M816" s="2">
        <v>4397729</v>
      </c>
      <c r="N816" s="2">
        <v>2683570</v>
      </c>
      <c r="O816" s="2"/>
      <c r="P816" s="2"/>
      <c r="Q816">
        <f t="shared" si="24"/>
        <v>11995.217235830503</v>
      </c>
      <c r="R816">
        <f t="shared" si="25"/>
        <v>11844.777526395173</v>
      </c>
    </row>
    <row r="817" spans="1:18" ht="16" x14ac:dyDescent="0.4">
      <c r="A817" s="2">
        <v>216010</v>
      </c>
      <c r="B817" s="2" t="s">
        <v>861</v>
      </c>
      <c r="C817" s="2" t="s">
        <v>537</v>
      </c>
      <c r="D817" s="2">
        <v>4843</v>
      </c>
      <c r="E817" s="2">
        <v>51.5</v>
      </c>
      <c r="F817" s="2" t="s">
        <v>36</v>
      </c>
      <c r="G817" s="2" t="s">
        <v>37</v>
      </c>
      <c r="H817" s="2">
        <v>2</v>
      </c>
      <c r="I817" s="2">
        <v>38</v>
      </c>
      <c r="J817" s="2" t="s">
        <v>38</v>
      </c>
      <c r="K817" s="2">
        <v>492</v>
      </c>
      <c r="L817" s="2">
        <v>49.2</v>
      </c>
      <c r="M817" s="2">
        <v>2680257</v>
      </c>
      <c r="N817" s="2">
        <v>2523437</v>
      </c>
      <c r="O817" s="2"/>
      <c r="P817" s="2"/>
      <c r="Q817">
        <f t="shared" si="24"/>
        <v>10424.668682662435</v>
      </c>
      <c r="R817">
        <f t="shared" si="25"/>
        <v>10723.773285961206</v>
      </c>
    </row>
    <row r="818" spans="1:18" ht="16" x14ac:dyDescent="0.4">
      <c r="A818" s="2">
        <v>216038</v>
      </c>
      <c r="B818" s="2" t="s">
        <v>862</v>
      </c>
      <c r="C818" s="2" t="s">
        <v>537</v>
      </c>
      <c r="D818" s="2">
        <v>6951</v>
      </c>
      <c r="E818" s="2">
        <v>55.3</v>
      </c>
      <c r="F818" s="2" t="s">
        <v>36</v>
      </c>
      <c r="G818" s="2" t="s">
        <v>37</v>
      </c>
      <c r="H818" s="2">
        <v>2</v>
      </c>
      <c r="I818" s="2">
        <v>38</v>
      </c>
      <c r="J818" s="2" t="s">
        <v>38</v>
      </c>
      <c r="K818" s="2">
        <v>554</v>
      </c>
      <c r="L818" s="2">
        <v>52.5</v>
      </c>
      <c r="M818" s="2">
        <v>2207116</v>
      </c>
      <c r="N818" s="2">
        <v>2572767</v>
      </c>
      <c r="O818" s="2"/>
      <c r="P818" s="2"/>
      <c r="Q818">
        <f t="shared" si="24"/>
        <v>8845.6833419288287</v>
      </c>
      <c r="R818">
        <f t="shared" si="25"/>
        <v>8387.2924187725621</v>
      </c>
    </row>
    <row r="819" spans="1:18" ht="16" x14ac:dyDescent="0.4">
      <c r="A819" s="2">
        <v>216278</v>
      </c>
      <c r="B819" s="2" t="s">
        <v>863</v>
      </c>
      <c r="C819" s="2" t="s">
        <v>537</v>
      </c>
      <c r="D819" s="2">
        <v>2191</v>
      </c>
      <c r="E819" s="2">
        <v>56.1</v>
      </c>
      <c r="F819" s="2" t="s">
        <v>47</v>
      </c>
      <c r="G819" s="2" t="s">
        <v>37</v>
      </c>
      <c r="H819" s="2">
        <v>3</v>
      </c>
      <c r="I819" s="2">
        <v>13</v>
      </c>
      <c r="J819" s="2" t="s">
        <v>38</v>
      </c>
      <c r="K819" s="2">
        <v>596</v>
      </c>
      <c r="L819" s="2">
        <v>43.5</v>
      </c>
      <c r="M819" s="2">
        <v>1436236</v>
      </c>
      <c r="N819" s="2">
        <v>1106015</v>
      </c>
      <c r="O819" s="2"/>
      <c r="P819" s="2"/>
      <c r="Q819">
        <f t="shared" si="24"/>
        <v>4266.0456684409473</v>
      </c>
      <c r="R819">
        <f t="shared" si="25"/>
        <v>4265.1184890419909</v>
      </c>
    </row>
    <row r="820" spans="1:18" ht="16" x14ac:dyDescent="0.4">
      <c r="A820" s="2">
        <v>216287</v>
      </c>
      <c r="B820" s="2" t="s">
        <v>864</v>
      </c>
      <c r="C820" s="2" t="s">
        <v>537</v>
      </c>
      <c r="D820" s="2">
        <v>1584</v>
      </c>
      <c r="E820" s="2">
        <v>50.4</v>
      </c>
      <c r="F820" s="2" t="s">
        <v>47</v>
      </c>
      <c r="G820" s="2" t="s">
        <v>37</v>
      </c>
      <c r="H820" s="2">
        <v>3</v>
      </c>
      <c r="I820" s="2">
        <v>12</v>
      </c>
      <c r="J820" s="2" t="s">
        <v>41</v>
      </c>
      <c r="K820" s="2">
        <v>491</v>
      </c>
      <c r="L820" s="2">
        <v>48.3</v>
      </c>
      <c r="M820" s="2">
        <v>984515</v>
      </c>
      <c r="N820" s="2">
        <v>1159478</v>
      </c>
      <c r="O820" s="2"/>
      <c r="P820" s="2"/>
      <c r="Q820">
        <f t="shared" si="24"/>
        <v>4889.1559457396706</v>
      </c>
      <c r="R820">
        <f t="shared" si="25"/>
        <v>3878.3794963107698</v>
      </c>
    </row>
    <row r="821" spans="1:18" ht="16" x14ac:dyDescent="0.4">
      <c r="A821" s="2">
        <v>216339</v>
      </c>
      <c r="B821" s="2" t="s">
        <v>865</v>
      </c>
      <c r="C821" s="2" t="s">
        <v>537</v>
      </c>
      <c r="D821" s="2">
        <v>26162</v>
      </c>
      <c r="E821" s="2">
        <v>54.9</v>
      </c>
      <c r="F821" s="2" t="s">
        <v>36</v>
      </c>
      <c r="G821" s="2" t="s">
        <v>37</v>
      </c>
      <c r="H821" s="2">
        <v>1</v>
      </c>
      <c r="I821" s="2">
        <v>38</v>
      </c>
      <c r="J821" s="2" t="s">
        <v>38</v>
      </c>
      <c r="K821" s="2">
        <v>545</v>
      </c>
      <c r="L821" s="2">
        <v>52.5</v>
      </c>
      <c r="M821" s="2">
        <v>34330493</v>
      </c>
      <c r="N821" s="2">
        <v>13779312</v>
      </c>
      <c r="O821" s="2"/>
      <c r="P821" s="2"/>
      <c r="Q821">
        <f t="shared" si="24"/>
        <v>48158.364351245087</v>
      </c>
      <c r="R821">
        <f t="shared" si="25"/>
        <v>132614.16900048286</v>
      </c>
    </row>
    <row r="822" spans="1:18" ht="16" x14ac:dyDescent="0.4">
      <c r="A822" s="2">
        <v>216357</v>
      </c>
      <c r="B822" s="2" t="s">
        <v>866</v>
      </c>
      <c r="C822" s="2" t="s">
        <v>537</v>
      </c>
      <c r="D822" s="2">
        <v>689</v>
      </c>
      <c r="E822" s="2">
        <v>46</v>
      </c>
      <c r="F822" s="2" t="s">
        <v>47</v>
      </c>
      <c r="G822" s="2" t="s">
        <v>37</v>
      </c>
      <c r="H822" s="2">
        <v>3</v>
      </c>
      <c r="I822" s="2">
        <v>38</v>
      </c>
      <c r="J822" s="2" t="s">
        <v>38</v>
      </c>
      <c r="K822" s="2">
        <v>434</v>
      </c>
      <c r="L822" s="2">
        <v>33.200000000000003</v>
      </c>
      <c r="M822" s="2">
        <v>1035642</v>
      </c>
      <c r="N822" s="2">
        <v>591875</v>
      </c>
      <c r="O822" s="2"/>
      <c r="P822" s="2"/>
      <c r="Q822">
        <f t="shared" si="24"/>
        <v>4107.7327744156355</v>
      </c>
      <c r="R822">
        <f t="shared" si="25"/>
        <v>3572.2633074864093</v>
      </c>
    </row>
    <row r="823" spans="1:18" ht="16" x14ac:dyDescent="0.4">
      <c r="A823" s="2">
        <v>216366</v>
      </c>
      <c r="B823" s="2" t="s">
        <v>867</v>
      </c>
      <c r="C823" s="2" t="s">
        <v>537</v>
      </c>
      <c r="D823" s="2">
        <v>3046</v>
      </c>
      <c r="E823" s="2">
        <v>72.3</v>
      </c>
      <c r="F823" s="2" t="s">
        <v>47</v>
      </c>
      <c r="G823" s="2" t="s">
        <v>37</v>
      </c>
      <c r="H823" s="2">
        <v>2</v>
      </c>
      <c r="I823" s="2">
        <v>38</v>
      </c>
      <c r="J823" s="2" t="s">
        <v>41</v>
      </c>
      <c r="K823" s="2">
        <v>319</v>
      </c>
      <c r="L823" s="2">
        <v>58.3</v>
      </c>
      <c r="M823" s="2">
        <v>1900656</v>
      </c>
      <c r="N823" s="2">
        <v>2677245</v>
      </c>
      <c r="O823" s="2"/>
      <c r="P823" s="2"/>
      <c r="Q823">
        <f t="shared" si="24"/>
        <v>14395.570419998174</v>
      </c>
      <c r="R823">
        <f t="shared" si="25"/>
        <v>14288.175729009266</v>
      </c>
    </row>
    <row r="824" spans="1:18" ht="16" x14ac:dyDescent="0.4">
      <c r="A824" s="2">
        <v>216524</v>
      </c>
      <c r="B824" s="2" t="s">
        <v>868</v>
      </c>
      <c r="C824" s="2" t="s">
        <v>537</v>
      </c>
      <c r="D824" s="2">
        <v>1454</v>
      </c>
      <c r="E824" s="2">
        <v>50.6</v>
      </c>
      <c r="F824" s="2" t="s">
        <v>47</v>
      </c>
      <c r="G824" s="2" t="s">
        <v>37</v>
      </c>
      <c r="H824" s="2">
        <v>3</v>
      </c>
      <c r="I824" s="2">
        <v>38</v>
      </c>
      <c r="J824" s="2" t="s">
        <v>38</v>
      </c>
      <c r="K824" s="2">
        <v>620</v>
      </c>
      <c r="L824" s="2">
        <v>38.200000000000003</v>
      </c>
      <c r="M824" s="2">
        <v>1714638</v>
      </c>
      <c r="N824" s="2">
        <v>1130741</v>
      </c>
      <c r="O824" s="2"/>
      <c r="P824" s="2"/>
      <c r="Q824">
        <f t="shared" si="24"/>
        <v>4774.2822158419176</v>
      </c>
      <c r="R824">
        <f t="shared" si="25"/>
        <v>4474.9921703726905</v>
      </c>
    </row>
    <row r="825" spans="1:18" ht="16" x14ac:dyDescent="0.4">
      <c r="A825" s="2">
        <v>216542</v>
      </c>
      <c r="B825" s="2" t="s">
        <v>869</v>
      </c>
      <c r="C825" s="2" t="s">
        <v>537</v>
      </c>
      <c r="D825" s="2">
        <v>423</v>
      </c>
      <c r="E825" s="2">
        <v>51.8</v>
      </c>
      <c r="F825" s="2" t="s">
        <v>47</v>
      </c>
      <c r="G825" s="2" t="s">
        <v>37</v>
      </c>
      <c r="H825" s="2">
        <v>3</v>
      </c>
      <c r="I825" s="2">
        <v>38</v>
      </c>
      <c r="J825" s="2" t="s">
        <v>41</v>
      </c>
      <c r="K825" s="2">
        <v>121</v>
      </c>
      <c r="L825" s="2">
        <v>47.9</v>
      </c>
      <c r="M825" s="2">
        <v>75858</v>
      </c>
      <c r="N825" s="2">
        <v>67853</v>
      </c>
      <c r="O825" s="2"/>
      <c r="P825" s="2"/>
      <c r="Q825">
        <f t="shared" si="24"/>
        <v>1170.7068790006729</v>
      </c>
      <c r="R825">
        <f t="shared" si="25"/>
        <v>1203.3121302009802</v>
      </c>
    </row>
    <row r="826" spans="1:18" ht="16" x14ac:dyDescent="0.4">
      <c r="A826" s="2">
        <v>216597</v>
      </c>
      <c r="B826" s="2" t="s">
        <v>870</v>
      </c>
      <c r="C826" s="2" t="s">
        <v>537</v>
      </c>
      <c r="D826" s="2">
        <v>6525</v>
      </c>
      <c r="E826" s="2">
        <v>52.8</v>
      </c>
      <c r="F826" s="2" t="s">
        <v>47</v>
      </c>
      <c r="G826" s="2" t="s">
        <v>37</v>
      </c>
      <c r="H826" s="2">
        <v>1</v>
      </c>
      <c r="I826" s="2">
        <v>38</v>
      </c>
      <c r="J826" s="2" t="s">
        <v>38</v>
      </c>
      <c r="K826" s="2">
        <v>718</v>
      </c>
      <c r="L826" s="2">
        <v>49.6</v>
      </c>
      <c r="M826" s="2">
        <v>25505162</v>
      </c>
      <c r="N826" s="2">
        <v>13135114</v>
      </c>
      <c r="O826" s="2"/>
      <c r="P826" s="2"/>
      <c r="Q826">
        <f t="shared" si="24"/>
        <v>36883.126291670407</v>
      </c>
      <c r="R826">
        <f t="shared" si="25"/>
        <v>70481.170137507186</v>
      </c>
    </row>
    <row r="827" spans="1:18" ht="16" x14ac:dyDescent="0.4">
      <c r="A827" s="2">
        <v>216667</v>
      </c>
      <c r="B827" s="2" t="s">
        <v>871</v>
      </c>
      <c r="C827" s="2" t="s">
        <v>537</v>
      </c>
      <c r="D827" s="2">
        <v>1243</v>
      </c>
      <c r="E827" s="2">
        <v>51.6</v>
      </c>
      <c r="F827" s="2" t="s">
        <v>47</v>
      </c>
      <c r="G827" s="2" t="s">
        <v>37</v>
      </c>
      <c r="H827" s="2">
        <v>3</v>
      </c>
      <c r="I827" s="2">
        <v>15</v>
      </c>
      <c r="J827" s="2" t="s">
        <v>38</v>
      </c>
      <c r="K827" s="2">
        <v>574</v>
      </c>
      <c r="L827" s="2">
        <v>37.6</v>
      </c>
      <c r="M827" s="2">
        <v>1366797</v>
      </c>
      <c r="N827" s="2">
        <v>859765</v>
      </c>
      <c r="O827" s="2"/>
      <c r="P827" s="2"/>
      <c r="Q827">
        <f t="shared" si="24"/>
        <v>3983.6394469567795</v>
      </c>
      <c r="R827">
        <f t="shared" si="25"/>
        <v>3815.9926963280623</v>
      </c>
    </row>
    <row r="828" spans="1:18" ht="16" x14ac:dyDescent="0.4">
      <c r="A828" s="2">
        <v>216694</v>
      </c>
      <c r="B828" s="2" t="s">
        <v>872</v>
      </c>
      <c r="C828" s="2" t="s">
        <v>537</v>
      </c>
      <c r="D828" s="2">
        <v>1239</v>
      </c>
      <c r="E828" s="2">
        <v>58.1</v>
      </c>
      <c r="F828" s="2" t="s">
        <v>47</v>
      </c>
      <c r="G828" s="2" t="s">
        <v>37</v>
      </c>
      <c r="H828" s="2">
        <v>3</v>
      </c>
      <c r="I828" s="2">
        <v>38</v>
      </c>
      <c r="J828" s="2" t="s">
        <v>38</v>
      </c>
      <c r="K828" s="2">
        <v>516</v>
      </c>
      <c r="L828" s="2">
        <v>37.799999999999997</v>
      </c>
      <c r="M828" s="2">
        <v>934533</v>
      </c>
      <c r="N828" s="2">
        <v>533728</v>
      </c>
      <c r="O828" s="2"/>
      <c r="P828" s="2"/>
      <c r="Q828">
        <f t="shared" si="24"/>
        <v>2736.3930929822404</v>
      </c>
      <c r="R828">
        <f t="shared" si="25"/>
        <v>2911.7531593509311</v>
      </c>
    </row>
    <row r="829" spans="1:18" ht="16" x14ac:dyDescent="0.4">
      <c r="A829" s="2">
        <v>216764</v>
      </c>
      <c r="B829" s="2" t="s">
        <v>873</v>
      </c>
      <c r="C829" s="2" t="s">
        <v>537</v>
      </c>
      <c r="D829" s="2">
        <v>13017</v>
      </c>
      <c r="E829" s="2">
        <v>59.7</v>
      </c>
      <c r="F829" s="2" t="s">
        <v>36</v>
      </c>
      <c r="G829" s="2" t="s">
        <v>37</v>
      </c>
      <c r="H829" s="2">
        <v>2</v>
      </c>
      <c r="I829" s="2">
        <v>38</v>
      </c>
      <c r="J829" s="2" t="s">
        <v>38</v>
      </c>
      <c r="K829" s="2">
        <v>569</v>
      </c>
      <c r="L829" s="2">
        <v>53.3</v>
      </c>
      <c r="M829" s="2">
        <v>2564071</v>
      </c>
      <c r="N829" s="2">
        <v>3122844</v>
      </c>
      <c r="O829" s="2"/>
      <c r="P829" s="2"/>
      <c r="Q829">
        <f t="shared" si="24"/>
        <v>10297.002410337742</v>
      </c>
      <c r="R829">
        <f t="shared" si="25"/>
        <v>9649.4131106452951</v>
      </c>
    </row>
    <row r="830" spans="1:18" ht="16" x14ac:dyDescent="0.4">
      <c r="A830" s="2">
        <v>216807</v>
      </c>
      <c r="B830" s="2" t="s">
        <v>512</v>
      </c>
      <c r="C830" s="2" t="s">
        <v>537</v>
      </c>
      <c r="D830" s="2">
        <v>1107</v>
      </c>
      <c r="E830" s="2">
        <v>52</v>
      </c>
      <c r="F830" s="2" t="s">
        <v>47</v>
      </c>
      <c r="G830" s="2" t="s">
        <v>37</v>
      </c>
      <c r="H830" s="2">
        <v>3</v>
      </c>
      <c r="I830" s="2">
        <v>38</v>
      </c>
      <c r="J830" s="2" t="s">
        <v>38</v>
      </c>
      <c r="K830" s="2">
        <v>610</v>
      </c>
      <c r="L830" s="2">
        <v>39.299999999999997</v>
      </c>
      <c r="M830" s="2">
        <v>1162400</v>
      </c>
      <c r="N830" s="2">
        <v>718080</v>
      </c>
      <c r="O830" s="2"/>
      <c r="P830" s="2"/>
      <c r="Q830">
        <f t="shared" si="24"/>
        <v>2995.3697910148917</v>
      </c>
      <c r="R830">
        <f t="shared" si="25"/>
        <v>3139.33075863559</v>
      </c>
    </row>
    <row r="831" spans="1:18" ht="16" x14ac:dyDescent="0.4">
      <c r="A831" s="2">
        <v>216852</v>
      </c>
      <c r="B831" s="2" t="s">
        <v>874</v>
      </c>
      <c r="C831" s="2" t="s">
        <v>537</v>
      </c>
      <c r="D831" s="2">
        <v>2767</v>
      </c>
      <c r="E831" s="2">
        <v>54.8</v>
      </c>
      <c r="F831" s="2" t="s">
        <v>47</v>
      </c>
      <c r="G831" s="2" t="s">
        <v>37</v>
      </c>
      <c r="H831" s="2">
        <v>3</v>
      </c>
      <c r="I831" s="2">
        <v>13</v>
      </c>
      <c r="J831" s="2" t="s">
        <v>38</v>
      </c>
      <c r="K831" s="2">
        <v>579</v>
      </c>
      <c r="L831" s="2">
        <v>35.9</v>
      </c>
      <c r="M831" s="2">
        <v>1497117</v>
      </c>
      <c r="N831" s="2">
        <v>1070220</v>
      </c>
      <c r="O831" s="2"/>
      <c r="P831" s="2"/>
      <c r="Q831">
        <f t="shared" si="24"/>
        <v>5148.7291988396091</v>
      </c>
      <c r="R831">
        <f t="shared" si="25"/>
        <v>4033.8444625867942</v>
      </c>
    </row>
    <row r="832" spans="1:18" ht="16" x14ac:dyDescent="0.4">
      <c r="A832" s="2">
        <v>216931</v>
      </c>
      <c r="B832" s="2" t="s">
        <v>875</v>
      </c>
      <c r="C832" s="2" t="s">
        <v>537</v>
      </c>
      <c r="D832" s="2">
        <v>2104</v>
      </c>
      <c r="E832" s="2">
        <v>49.6</v>
      </c>
      <c r="F832" s="2" t="s">
        <v>47</v>
      </c>
      <c r="G832" s="2" t="s">
        <v>37</v>
      </c>
      <c r="H832" s="2">
        <v>3</v>
      </c>
      <c r="I832" s="2">
        <v>38</v>
      </c>
      <c r="J832" s="2" t="s">
        <v>38</v>
      </c>
      <c r="K832" s="2">
        <v>533</v>
      </c>
      <c r="L832" s="2">
        <v>35.6</v>
      </c>
      <c r="M832" s="2">
        <v>1577310</v>
      </c>
      <c r="N832" s="2">
        <v>792188</v>
      </c>
      <c r="O832" s="2"/>
      <c r="P832" s="2"/>
      <c r="Q832">
        <f t="shared" si="24"/>
        <v>4174.9478255370277</v>
      </c>
      <c r="R832">
        <f t="shared" si="25"/>
        <v>4595.1953666693853</v>
      </c>
    </row>
    <row r="833" spans="1:18" ht="16" x14ac:dyDescent="0.4">
      <c r="A833" s="2">
        <v>217013</v>
      </c>
      <c r="B833" s="2" t="s">
        <v>876</v>
      </c>
      <c r="C833" s="2" t="s">
        <v>537</v>
      </c>
      <c r="D833" s="2">
        <v>668</v>
      </c>
      <c r="E833" s="2">
        <v>80.7</v>
      </c>
      <c r="F833" s="2" t="s">
        <v>47</v>
      </c>
      <c r="G833" s="2" t="s">
        <v>37</v>
      </c>
      <c r="H833" s="2">
        <v>3</v>
      </c>
      <c r="I833" s="2">
        <v>38</v>
      </c>
      <c r="J833" s="2" t="s">
        <v>41</v>
      </c>
      <c r="K833" s="2">
        <v>178</v>
      </c>
      <c r="L833" s="2">
        <v>43.8</v>
      </c>
      <c r="M833" s="2">
        <v>268782</v>
      </c>
      <c r="N833" s="2">
        <v>317326</v>
      </c>
      <c r="O833" s="2"/>
      <c r="P833" s="2"/>
      <c r="Q833">
        <f t="shared" si="24"/>
        <v>4070.1605869375612</v>
      </c>
      <c r="R833">
        <f t="shared" si="25"/>
        <v>2686.8527330161137</v>
      </c>
    </row>
    <row r="834" spans="1:18" ht="16" x14ac:dyDescent="0.4">
      <c r="A834" s="2">
        <v>217059</v>
      </c>
      <c r="B834" s="2" t="s">
        <v>877</v>
      </c>
      <c r="C834" s="2" t="s">
        <v>537</v>
      </c>
      <c r="D834" s="2">
        <v>3681</v>
      </c>
      <c r="E834" s="2">
        <v>56.6</v>
      </c>
      <c r="F834" s="2" t="s">
        <v>47</v>
      </c>
      <c r="G834" s="2" t="s">
        <v>37</v>
      </c>
      <c r="H834" s="2">
        <v>3</v>
      </c>
      <c r="I834" s="2">
        <v>14</v>
      </c>
      <c r="J834" s="2" t="s">
        <v>41</v>
      </c>
      <c r="K834" s="2">
        <v>515</v>
      </c>
      <c r="L834" s="2">
        <v>46.8</v>
      </c>
      <c r="M834" s="2">
        <v>752859</v>
      </c>
      <c r="N834" s="2">
        <v>803744</v>
      </c>
      <c r="O834" s="2"/>
      <c r="P834" s="2"/>
      <c r="Q834">
        <f t="shared" si="24"/>
        <v>3334.7606007800186</v>
      </c>
      <c r="R834">
        <f t="shared" si="25"/>
        <v>2747.8611577487404</v>
      </c>
    </row>
    <row r="835" spans="1:18" ht="16" x14ac:dyDescent="0.4">
      <c r="A835" s="2">
        <v>217156</v>
      </c>
      <c r="B835" s="2" t="s">
        <v>878</v>
      </c>
      <c r="C835" s="2" t="s">
        <v>152</v>
      </c>
      <c r="D835" s="2">
        <v>6810</v>
      </c>
      <c r="E835" s="2">
        <v>52.3</v>
      </c>
      <c r="F835" s="2" t="s">
        <v>47</v>
      </c>
      <c r="G835" s="2" t="s">
        <v>37</v>
      </c>
      <c r="H835" s="2">
        <v>1</v>
      </c>
      <c r="I835" s="2">
        <v>38</v>
      </c>
      <c r="J835" s="2" t="s">
        <v>38</v>
      </c>
      <c r="K835" s="2">
        <v>893</v>
      </c>
      <c r="L835" s="2">
        <v>49.8</v>
      </c>
      <c r="M835" s="2">
        <v>9162809</v>
      </c>
      <c r="N835" s="2">
        <v>6391386</v>
      </c>
      <c r="O835" s="2"/>
      <c r="P835" s="2"/>
      <c r="Q835">
        <f t="shared" ref="Q835:Q898" si="26">N835/(K835*(0.01*L835))</f>
        <v>14371.901941472497</v>
      </c>
      <c r="R835">
        <f t="shared" ref="R835:R898" si="27">M835/(K835*(0.01*(100-L835)))</f>
        <v>20439.6501340662</v>
      </c>
    </row>
    <row r="836" spans="1:18" ht="16" x14ac:dyDescent="0.4">
      <c r="A836" s="2">
        <v>217165</v>
      </c>
      <c r="B836" s="2" t="s">
        <v>879</v>
      </c>
      <c r="C836" s="2" t="s">
        <v>152</v>
      </c>
      <c r="D836" s="2">
        <v>3196</v>
      </c>
      <c r="E836" s="2">
        <v>36.9</v>
      </c>
      <c r="F836" s="2" t="s">
        <v>47</v>
      </c>
      <c r="G836" s="2" t="s">
        <v>37</v>
      </c>
      <c r="H836" s="2">
        <v>1</v>
      </c>
      <c r="I836" s="2">
        <v>38</v>
      </c>
      <c r="J836" s="2" t="s">
        <v>38</v>
      </c>
      <c r="K836" s="2">
        <v>675</v>
      </c>
      <c r="L836" s="2">
        <v>38.799999999999997</v>
      </c>
      <c r="M836" s="2">
        <v>10561820</v>
      </c>
      <c r="N836" s="2">
        <v>6225652</v>
      </c>
      <c r="O836" s="2"/>
      <c r="P836" s="2"/>
      <c r="Q836">
        <f t="shared" si="26"/>
        <v>23771.10347460863</v>
      </c>
      <c r="R836">
        <f t="shared" si="27"/>
        <v>25567.223432582912</v>
      </c>
    </row>
    <row r="837" spans="1:18" ht="16" x14ac:dyDescent="0.4">
      <c r="A837" s="2">
        <v>217235</v>
      </c>
      <c r="B837" s="2" t="s">
        <v>880</v>
      </c>
      <c r="C837" s="2" t="s">
        <v>152</v>
      </c>
      <c r="D837" s="2">
        <v>5692</v>
      </c>
      <c r="E837" s="2">
        <v>60.1</v>
      </c>
      <c r="F837" s="2" t="s">
        <v>47</v>
      </c>
      <c r="G837" s="2" t="s">
        <v>37</v>
      </c>
      <c r="H837" s="2">
        <v>3</v>
      </c>
      <c r="I837" s="2">
        <v>38</v>
      </c>
      <c r="J837" s="2" t="s">
        <v>41</v>
      </c>
      <c r="K837" s="2">
        <v>495</v>
      </c>
      <c r="L837" s="2">
        <v>50.1</v>
      </c>
      <c r="M837" s="2">
        <v>1282009</v>
      </c>
      <c r="N837" s="2">
        <v>1182934</v>
      </c>
      <c r="O837" s="2"/>
      <c r="P837" s="2"/>
      <c r="Q837">
        <f t="shared" si="26"/>
        <v>4769.9913304703723</v>
      </c>
      <c r="R837">
        <f t="shared" si="27"/>
        <v>5190.2147729803046</v>
      </c>
    </row>
    <row r="838" spans="1:18" ht="16" x14ac:dyDescent="0.4">
      <c r="A838" s="2">
        <v>217402</v>
      </c>
      <c r="B838" s="2" t="s">
        <v>881</v>
      </c>
      <c r="C838" s="2" t="s">
        <v>152</v>
      </c>
      <c r="D838" s="2">
        <v>3887</v>
      </c>
      <c r="E838" s="2">
        <v>53.6</v>
      </c>
      <c r="F838" s="2" t="s">
        <v>47</v>
      </c>
      <c r="G838" s="2" t="s">
        <v>37</v>
      </c>
      <c r="H838" s="2">
        <v>1</v>
      </c>
      <c r="I838" s="2">
        <v>38</v>
      </c>
      <c r="J838" s="2" t="s">
        <v>41</v>
      </c>
      <c r="K838" s="2">
        <v>444</v>
      </c>
      <c r="L838" s="2">
        <v>51.4</v>
      </c>
      <c r="M838" s="2">
        <v>20066780</v>
      </c>
      <c r="N838" s="2">
        <v>11136367</v>
      </c>
      <c r="O838" s="2"/>
      <c r="P838" s="2"/>
      <c r="Q838">
        <f t="shared" si="26"/>
        <v>48797.485715287272</v>
      </c>
      <c r="R838">
        <f t="shared" si="27"/>
        <v>92994.754013272526</v>
      </c>
    </row>
    <row r="839" spans="1:18" ht="16" x14ac:dyDescent="0.4">
      <c r="A839" s="2">
        <v>217420</v>
      </c>
      <c r="B839" s="2" t="s">
        <v>882</v>
      </c>
      <c r="C839" s="2" t="s">
        <v>152</v>
      </c>
      <c r="D839" s="2">
        <v>4919</v>
      </c>
      <c r="E839" s="2">
        <v>69.7</v>
      </c>
      <c r="F839" s="2" t="s">
        <v>36</v>
      </c>
      <c r="G839" s="2" t="s">
        <v>37</v>
      </c>
      <c r="H839" s="2">
        <v>3</v>
      </c>
      <c r="I839" s="2">
        <v>14</v>
      </c>
      <c r="J839" s="2" t="s">
        <v>41</v>
      </c>
      <c r="K839" s="2">
        <v>295</v>
      </c>
      <c r="L839" s="2">
        <v>51.2</v>
      </c>
      <c r="M839" s="2">
        <v>554384</v>
      </c>
      <c r="N839" s="2">
        <v>607322</v>
      </c>
      <c r="O839" s="2"/>
      <c r="P839" s="2"/>
      <c r="Q839">
        <f t="shared" si="26"/>
        <v>4020.9348516949153</v>
      </c>
      <c r="R839">
        <f t="shared" si="27"/>
        <v>3850.9585996110027</v>
      </c>
    </row>
    <row r="840" spans="1:18" ht="16" x14ac:dyDescent="0.4">
      <c r="A840" s="2">
        <v>217484</v>
      </c>
      <c r="B840" s="2" t="s">
        <v>883</v>
      </c>
      <c r="C840" s="2" t="s">
        <v>152</v>
      </c>
      <c r="D840" s="2">
        <v>12559</v>
      </c>
      <c r="E840" s="2">
        <v>55.4</v>
      </c>
      <c r="F840" s="2" t="s">
        <v>36</v>
      </c>
      <c r="G840" s="2" t="s">
        <v>37</v>
      </c>
      <c r="H840" s="2">
        <v>1</v>
      </c>
      <c r="I840" s="2">
        <v>38</v>
      </c>
      <c r="J840" s="2" t="s">
        <v>38</v>
      </c>
      <c r="K840" s="2">
        <v>575</v>
      </c>
      <c r="L840" s="2">
        <v>48.5</v>
      </c>
      <c r="M840" s="2">
        <v>12322881</v>
      </c>
      <c r="N840" s="2">
        <v>8164882</v>
      </c>
      <c r="O840" s="2"/>
      <c r="P840" s="2"/>
      <c r="Q840">
        <f t="shared" si="26"/>
        <v>29277.927386822052</v>
      </c>
      <c r="R840">
        <f t="shared" si="27"/>
        <v>41613.781342338538</v>
      </c>
    </row>
    <row r="841" spans="1:18" ht="16" x14ac:dyDescent="0.4">
      <c r="A841" s="2">
        <v>217518</v>
      </c>
      <c r="B841" s="2" t="s">
        <v>884</v>
      </c>
      <c r="C841" s="2" t="s">
        <v>152</v>
      </c>
      <c r="D841" s="2">
        <v>4016</v>
      </c>
      <c r="E841" s="2">
        <v>50.6</v>
      </c>
      <c r="F841" s="2" t="s">
        <v>47</v>
      </c>
      <c r="G841" s="2" t="s">
        <v>37</v>
      </c>
      <c r="H841" s="2">
        <v>3</v>
      </c>
      <c r="I841" s="2">
        <v>16</v>
      </c>
      <c r="J841" s="2" t="s">
        <v>41</v>
      </c>
      <c r="K841" s="2">
        <v>485</v>
      </c>
      <c r="L841" s="2">
        <v>47.2</v>
      </c>
      <c r="M841" s="2">
        <v>706163</v>
      </c>
      <c r="N841" s="2">
        <v>800386</v>
      </c>
      <c r="O841" s="2"/>
      <c r="P841" s="2"/>
      <c r="Q841">
        <f t="shared" si="26"/>
        <v>3496.3568058710466</v>
      </c>
      <c r="R841">
        <f t="shared" si="27"/>
        <v>2757.5874726647926</v>
      </c>
    </row>
    <row r="842" spans="1:18" ht="16" x14ac:dyDescent="0.4">
      <c r="A842" s="2">
        <v>217536</v>
      </c>
      <c r="B842" s="2" t="s">
        <v>885</v>
      </c>
      <c r="C842" s="2" t="s">
        <v>152</v>
      </c>
      <c r="D842" s="2">
        <v>2085</v>
      </c>
      <c r="E842" s="2">
        <v>64.599999999999994</v>
      </c>
      <c r="F842" s="2" t="s">
        <v>47</v>
      </c>
      <c r="G842" s="2" t="s">
        <v>37</v>
      </c>
      <c r="H842" s="2">
        <v>3</v>
      </c>
      <c r="I842" s="2">
        <v>14</v>
      </c>
      <c r="J842" s="2" t="s">
        <v>38</v>
      </c>
      <c r="K842" s="2">
        <v>543</v>
      </c>
      <c r="L842" s="2">
        <v>41.3</v>
      </c>
      <c r="M842" s="2">
        <v>936186</v>
      </c>
      <c r="N842" s="2">
        <v>645302</v>
      </c>
      <c r="O842" s="2"/>
      <c r="P842" s="2"/>
      <c r="Q842">
        <f t="shared" si="26"/>
        <v>2877.485407497581</v>
      </c>
      <c r="R842">
        <f t="shared" si="27"/>
        <v>2937.1370485754887</v>
      </c>
    </row>
    <row r="843" spans="1:18" ht="16" x14ac:dyDescent="0.4">
      <c r="A843" s="2">
        <v>217633</v>
      </c>
      <c r="B843" s="2" t="s">
        <v>281</v>
      </c>
      <c r="C843" s="2" t="s">
        <v>172</v>
      </c>
      <c r="D843" s="2">
        <v>2544</v>
      </c>
      <c r="E843" s="2">
        <v>68.400000000000006</v>
      </c>
      <c r="F843" s="2" t="s">
        <v>47</v>
      </c>
      <c r="G843" s="2" t="s">
        <v>37</v>
      </c>
      <c r="H843" s="2">
        <v>2</v>
      </c>
      <c r="I843" s="2">
        <v>8</v>
      </c>
      <c r="J843" s="2" t="s">
        <v>41</v>
      </c>
      <c r="K843" s="2">
        <v>337</v>
      </c>
      <c r="L843" s="2">
        <v>46.9</v>
      </c>
      <c r="M843" s="2">
        <v>2043046</v>
      </c>
      <c r="N843" s="2">
        <v>2260895</v>
      </c>
      <c r="O843" s="2"/>
      <c r="P843" s="2"/>
      <c r="Q843">
        <f t="shared" si="26"/>
        <v>14304.663625492714</v>
      </c>
      <c r="R843">
        <f t="shared" si="27"/>
        <v>11417.045270387322</v>
      </c>
    </row>
    <row r="844" spans="1:18" ht="16" x14ac:dyDescent="0.4">
      <c r="A844" s="2">
        <v>217688</v>
      </c>
      <c r="B844" s="2" t="s">
        <v>886</v>
      </c>
      <c r="C844" s="2" t="s">
        <v>172</v>
      </c>
      <c r="D844" s="2">
        <v>2555</v>
      </c>
      <c r="E844" s="2">
        <v>63.6</v>
      </c>
      <c r="F844" s="2" t="s">
        <v>47</v>
      </c>
      <c r="G844" s="2" t="s">
        <v>37</v>
      </c>
      <c r="H844" s="2">
        <v>1</v>
      </c>
      <c r="I844" s="2">
        <v>12</v>
      </c>
      <c r="J844" s="2" t="s">
        <v>38</v>
      </c>
      <c r="K844" s="2">
        <v>442</v>
      </c>
      <c r="L844" s="2">
        <v>38.700000000000003</v>
      </c>
      <c r="M844" s="2">
        <v>6376177</v>
      </c>
      <c r="N844" s="2">
        <v>3969950</v>
      </c>
      <c r="O844" s="2"/>
      <c r="P844" s="2"/>
      <c r="Q844">
        <f t="shared" si="26"/>
        <v>23208.75279151613</v>
      </c>
      <c r="R844">
        <f t="shared" si="27"/>
        <v>23533.01764927329</v>
      </c>
    </row>
    <row r="845" spans="1:18" ht="16" x14ac:dyDescent="0.4">
      <c r="A845" s="2">
        <v>217721</v>
      </c>
      <c r="B845" s="2" t="s">
        <v>887</v>
      </c>
      <c r="C845" s="2" t="s">
        <v>172</v>
      </c>
      <c r="D845" s="2">
        <v>2012</v>
      </c>
      <c r="E845" s="2">
        <v>55.7</v>
      </c>
      <c r="F845" s="2" t="s">
        <v>47</v>
      </c>
      <c r="G845" s="2" t="s">
        <v>37</v>
      </c>
      <c r="H845" s="2">
        <v>2</v>
      </c>
      <c r="I845" s="2">
        <v>38</v>
      </c>
      <c r="J845" s="2" t="s">
        <v>38</v>
      </c>
      <c r="K845" s="2">
        <v>372</v>
      </c>
      <c r="L845" s="2">
        <v>37.6</v>
      </c>
      <c r="M845" s="2">
        <v>2076206</v>
      </c>
      <c r="N845" s="2">
        <v>1189037</v>
      </c>
      <c r="O845" s="2"/>
      <c r="P845" s="2"/>
      <c r="Q845">
        <f t="shared" si="26"/>
        <v>8500.893674216426</v>
      </c>
      <c r="R845">
        <f t="shared" si="27"/>
        <v>8944.2290460435634</v>
      </c>
    </row>
    <row r="846" spans="1:18" ht="16" x14ac:dyDescent="0.4">
      <c r="A846" s="2">
        <v>217776</v>
      </c>
      <c r="B846" s="2" t="s">
        <v>888</v>
      </c>
      <c r="C846" s="2" t="s">
        <v>172</v>
      </c>
      <c r="D846" s="2">
        <v>800</v>
      </c>
      <c r="E846" s="2">
        <v>58.9</v>
      </c>
      <c r="F846" s="2" t="s">
        <v>47</v>
      </c>
      <c r="G846" s="2" t="s">
        <v>37</v>
      </c>
      <c r="H846" s="2">
        <v>2</v>
      </c>
      <c r="I846" s="2">
        <v>38</v>
      </c>
      <c r="J846" s="2" t="s">
        <v>41</v>
      </c>
      <c r="K846" s="2">
        <v>385</v>
      </c>
      <c r="L846" s="2">
        <v>56.1</v>
      </c>
      <c r="M846" s="2">
        <v>1450231</v>
      </c>
      <c r="N846" s="2">
        <v>2039776</v>
      </c>
      <c r="O846" s="2"/>
      <c r="P846" s="2"/>
      <c r="Q846">
        <f t="shared" si="26"/>
        <v>9444.0632451327638</v>
      </c>
      <c r="R846">
        <f t="shared" si="27"/>
        <v>8580.4869390290805</v>
      </c>
    </row>
    <row r="847" spans="1:18" ht="16" x14ac:dyDescent="0.4">
      <c r="A847" s="2">
        <v>217819</v>
      </c>
      <c r="B847" s="2" t="s">
        <v>889</v>
      </c>
      <c r="C847" s="2" t="s">
        <v>172</v>
      </c>
      <c r="D847" s="2">
        <v>8713</v>
      </c>
      <c r="E847" s="2">
        <v>65.7</v>
      </c>
      <c r="F847" s="2" t="s">
        <v>36</v>
      </c>
      <c r="G847" s="2" t="s">
        <v>37</v>
      </c>
      <c r="H847" s="2">
        <v>1</v>
      </c>
      <c r="I847" s="2">
        <v>38</v>
      </c>
      <c r="J847" s="2" t="s">
        <v>41</v>
      </c>
      <c r="K847" s="2">
        <v>461</v>
      </c>
      <c r="L847" s="2">
        <v>65.7</v>
      </c>
      <c r="M847" s="2">
        <v>6176628</v>
      </c>
      <c r="N847" s="2">
        <v>6996057</v>
      </c>
      <c r="O847" s="2"/>
      <c r="P847" s="2"/>
      <c r="Q847">
        <f t="shared" si="26"/>
        <v>23098.673719034457</v>
      </c>
      <c r="R847">
        <f t="shared" si="27"/>
        <v>39062.173118395178</v>
      </c>
    </row>
    <row r="848" spans="1:18" ht="16" x14ac:dyDescent="0.4">
      <c r="A848" s="2">
        <v>217864</v>
      </c>
      <c r="B848" s="2" t="s">
        <v>890</v>
      </c>
      <c r="C848" s="2" t="s">
        <v>172</v>
      </c>
      <c r="D848" s="2">
        <v>2688</v>
      </c>
      <c r="E848" s="2">
        <v>11.6</v>
      </c>
      <c r="F848" s="2" t="s">
        <v>36</v>
      </c>
      <c r="G848" s="2" t="s">
        <v>37</v>
      </c>
      <c r="H848" s="2">
        <v>1</v>
      </c>
      <c r="I848" s="2">
        <v>35</v>
      </c>
      <c r="J848" s="2" t="s">
        <v>38</v>
      </c>
      <c r="K848" s="2">
        <v>441</v>
      </c>
      <c r="L848" s="2">
        <v>25.4</v>
      </c>
      <c r="M848" s="2">
        <v>8846847</v>
      </c>
      <c r="N848" s="2">
        <v>2498563</v>
      </c>
      <c r="O848" s="2"/>
      <c r="P848" s="2"/>
      <c r="Q848">
        <f t="shared" si="26"/>
        <v>22305.80998803721</v>
      </c>
      <c r="R848">
        <f t="shared" si="27"/>
        <v>26891.256770804837</v>
      </c>
    </row>
    <row r="849" spans="1:18" ht="16" x14ac:dyDescent="0.4">
      <c r="A849" s="2">
        <v>217873</v>
      </c>
      <c r="B849" s="2" t="s">
        <v>891</v>
      </c>
      <c r="C849" s="2" t="s">
        <v>172</v>
      </c>
      <c r="D849" s="2">
        <v>1889</v>
      </c>
      <c r="E849" s="2">
        <v>68.2</v>
      </c>
      <c r="F849" s="2" t="s">
        <v>47</v>
      </c>
      <c r="G849" s="2" t="s">
        <v>37</v>
      </c>
      <c r="H849" s="2">
        <v>2</v>
      </c>
      <c r="I849" s="2">
        <v>38</v>
      </c>
      <c r="J849" s="2" t="s">
        <v>41</v>
      </c>
      <c r="K849" s="2">
        <v>184</v>
      </c>
      <c r="L849" s="2">
        <v>45.7</v>
      </c>
      <c r="M849" s="2">
        <v>892080</v>
      </c>
      <c r="N849" s="2">
        <v>770982</v>
      </c>
      <c r="O849" s="2"/>
      <c r="P849" s="2"/>
      <c r="Q849">
        <f t="shared" si="26"/>
        <v>9168.7517838454951</v>
      </c>
      <c r="R849">
        <f t="shared" si="27"/>
        <v>8928.6572183521494</v>
      </c>
    </row>
    <row r="850" spans="1:18" ht="16" x14ac:dyDescent="0.4">
      <c r="A850" s="2">
        <v>217882</v>
      </c>
      <c r="B850" s="2" t="s">
        <v>892</v>
      </c>
      <c r="C850" s="2" t="s">
        <v>172</v>
      </c>
      <c r="D850" s="2">
        <v>19441</v>
      </c>
      <c r="E850" s="2">
        <v>50</v>
      </c>
      <c r="F850" s="2" t="s">
        <v>36</v>
      </c>
      <c r="G850" s="2" t="s">
        <v>37</v>
      </c>
      <c r="H850" s="2">
        <v>1</v>
      </c>
      <c r="I850" s="2">
        <v>10</v>
      </c>
      <c r="J850" s="2" t="s">
        <v>38</v>
      </c>
      <c r="K850" s="2">
        <v>630</v>
      </c>
      <c r="L850" s="2">
        <v>50.5</v>
      </c>
      <c r="M850" s="2">
        <v>72665854</v>
      </c>
      <c r="N850" s="2">
        <v>16628525</v>
      </c>
      <c r="O850" s="2"/>
      <c r="P850" s="2"/>
      <c r="Q850">
        <f t="shared" si="26"/>
        <v>52266.305201948773</v>
      </c>
      <c r="R850">
        <f t="shared" si="27"/>
        <v>233015.4048420715</v>
      </c>
    </row>
    <row r="851" spans="1:18" ht="16" x14ac:dyDescent="0.4">
      <c r="A851" s="2">
        <v>217907</v>
      </c>
      <c r="B851" s="2" t="s">
        <v>893</v>
      </c>
      <c r="C851" s="2" t="s">
        <v>172</v>
      </c>
      <c r="D851" s="2">
        <v>920</v>
      </c>
      <c r="E851" s="2">
        <v>58.7</v>
      </c>
      <c r="F851" s="2" t="s">
        <v>47</v>
      </c>
      <c r="G851" s="2" t="s">
        <v>37</v>
      </c>
      <c r="H851" s="2">
        <v>2</v>
      </c>
      <c r="I851" s="2">
        <v>38</v>
      </c>
      <c r="J851" s="2" t="s">
        <v>41</v>
      </c>
      <c r="K851" s="2">
        <v>460</v>
      </c>
      <c r="L851" s="2">
        <v>42.4</v>
      </c>
      <c r="M851" s="2">
        <v>2507006</v>
      </c>
      <c r="N851" s="2">
        <v>2359809</v>
      </c>
      <c r="O851" s="2"/>
      <c r="P851" s="2"/>
      <c r="Q851">
        <f t="shared" si="26"/>
        <v>12099.102748154226</v>
      </c>
      <c r="R851">
        <f t="shared" si="27"/>
        <v>9461.8282004830908</v>
      </c>
    </row>
    <row r="852" spans="1:18" ht="16" x14ac:dyDescent="0.4">
      <c r="A852" s="2">
        <v>217998</v>
      </c>
      <c r="B852" s="2" t="s">
        <v>894</v>
      </c>
      <c r="C852" s="2" t="s">
        <v>172</v>
      </c>
      <c r="D852" s="2">
        <v>771</v>
      </c>
      <c r="E852" s="2">
        <v>36.200000000000003</v>
      </c>
      <c r="F852" s="2" t="s">
        <v>47</v>
      </c>
      <c r="G852" s="2" t="s">
        <v>37</v>
      </c>
      <c r="H852" s="2">
        <v>2</v>
      </c>
      <c r="I852" s="2">
        <v>38</v>
      </c>
      <c r="J852" s="2" t="s">
        <v>41</v>
      </c>
      <c r="K852" s="2">
        <v>726</v>
      </c>
      <c r="L852" s="2">
        <v>31.5</v>
      </c>
      <c r="M852" s="2">
        <v>2653355</v>
      </c>
      <c r="N852" s="2">
        <v>2325773</v>
      </c>
      <c r="O852" s="2"/>
      <c r="P852" s="2"/>
      <c r="Q852">
        <f t="shared" si="26"/>
        <v>10169.981197253925</v>
      </c>
      <c r="R852">
        <f t="shared" si="27"/>
        <v>5335.4145301723265</v>
      </c>
    </row>
    <row r="853" spans="1:18" ht="16" x14ac:dyDescent="0.4">
      <c r="A853" s="2">
        <v>218061</v>
      </c>
      <c r="B853" s="2" t="s">
        <v>895</v>
      </c>
      <c r="C853" s="2" t="s">
        <v>172</v>
      </c>
      <c r="D853" s="2">
        <v>2881</v>
      </c>
      <c r="E853" s="2">
        <v>68</v>
      </c>
      <c r="F853" s="2" t="s">
        <v>36</v>
      </c>
      <c r="G853" s="2" t="s">
        <v>37</v>
      </c>
      <c r="H853" s="2">
        <v>2</v>
      </c>
      <c r="I853" s="2">
        <v>38</v>
      </c>
      <c r="J853" s="2" t="s">
        <v>41</v>
      </c>
      <c r="K853" s="2">
        <v>261</v>
      </c>
      <c r="L853" s="2">
        <v>37.5</v>
      </c>
      <c r="M853" s="2">
        <v>1728568</v>
      </c>
      <c r="N853" s="2">
        <v>1485651</v>
      </c>
      <c r="O853" s="2"/>
      <c r="P853" s="2"/>
      <c r="Q853">
        <f t="shared" si="26"/>
        <v>15179.065134099617</v>
      </c>
      <c r="R853">
        <f t="shared" si="27"/>
        <v>10596.585440613027</v>
      </c>
    </row>
    <row r="854" spans="1:18" ht="16" x14ac:dyDescent="0.4">
      <c r="A854" s="2">
        <v>218070</v>
      </c>
      <c r="B854" s="2" t="s">
        <v>896</v>
      </c>
      <c r="C854" s="2" t="s">
        <v>172</v>
      </c>
      <c r="D854" s="2">
        <v>2599</v>
      </c>
      <c r="E854" s="2">
        <v>60.6</v>
      </c>
      <c r="F854" s="2" t="s">
        <v>47</v>
      </c>
      <c r="G854" s="2" t="s">
        <v>37</v>
      </c>
      <c r="H854" s="2">
        <v>1</v>
      </c>
      <c r="I854" s="2">
        <v>38</v>
      </c>
      <c r="J854" s="2" t="s">
        <v>38</v>
      </c>
      <c r="K854" s="2">
        <v>466</v>
      </c>
      <c r="L854" s="2">
        <v>33.5</v>
      </c>
      <c r="M854" s="2">
        <v>15125606</v>
      </c>
      <c r="N854" s="2">
        <v>8044223</v>
      </c>
      <c r="O854" s="2"/>
      <c r="P854" s="2"/>
      <c r="Q854">
        <f t="shared" si="26"/>
        <v>51529.197360835307</v>
      </c>
      <c r="R854">
        <f t="shared" si="27"/>
        <v>48809.596953757777</v>
      </c>
    </row>
    <row r="855" spans="1:18" ht="16" x14ac:dyDescent="0.4">
      <c r="A855" s="2">
        <v>218229</v>
      </c>
      <c r="B855" s="2" t="s">
        <v>897</v>
      </c>
      <c r="C855" s="2" t="s">
        <v>172</v>
      </c>
      <c r="D855" s="2">
        <v>2935</v>
      </c>
      <c r="E855" s="2">
        <v>68.2</v>
      </c>
      <c r="F855" s="2" t="s">
        <v>36</v>
      </c>
      <c r="G855" s="2" t="s">
        <v>37</v>
      </c>
      <c r="H855" s="2">
        <v>2</v>
      </c>
      <c r="I855" s="2">
        <v>10</v>
      </c>
      <c r="J855" s="2" t="s">
        <v>41</v>
      </c>
      <c r="K855" s="2">
        <v>352</v>
      </c>
      <c r="L855" s="2">
        <v>42</v>
      </c>
      <c r="M855" s="2">
        <v>3340414</v>
      </c>
      <c r="N855" s="2">
        <v>2847682</v>
      </c>
      <c r="O855" s="2"/>
      <c r="P855" s="2"/>
      <c r="Q855">
        <f t="shared" si="26"/>
        <v>19261.91829004329</v>
      </c>
      <c r="R855">
        <f t="shared" si="27"/>
        <v>16361.745689655172</v>
      </c>
    </row>
    <row r="856" spans="1:18" ht="16" x14ac:dyDescent="0.4">
      <c r="A856" s="2">
        <v>218238</v>
      </c>
      <c r="B856" s="2" t="s">
        <v>898</v>
      </c>
      <c r="C856" s="2" t="s">
        <v>172</v>
      </c>
      <c r="D856" s="2">
        <v>1647</v>
      </c>
      <c r="E856" s="2">
        <v>52.5</v>
      </c>
      <c r="F856" s="2" t="s">
        <v>47</v>
      </c>
      <c r="G856" s="2" t="s">
        <v>37</v>
      </c>
      <c r="H856" s="2">
        <v>2</v>
      </c>
      <c r="I856" s="2">
        <v>38</v>
      </c>
      <c r="J856" s="2" t="s">
        <v>38</v>
      </c>
      <c r="K856" s="2">
        <v>819</v>
      </c>
      <c r="L856" s="2">
        <v>35.5</v>
      </c>
      <c r="M856" s="2">
        <v>5560975</v>
      </c>
      <c r="N856" s="2">
        <v>3617847</v>
      </c>
      <c r="O856" s="2"/>
      <c r="P856" s="2"/>
      <c r="Q856">
        <f t="shared" si="26"/>
        <v>12443.367899705927</v>
      </c>
      <c r="R856">
        <f t="shared" si="27"/>
        <v>10527.065527065528</v>
      </c>
    </row>
    <row r="857" spans="1:18" ht="16" x14ac:dyDescent="0.4">
      <c r="A857" s="2">
        <v>218414</v>
      </c>
      <c r="B857" s="2" t="s">
        <v>899</v>
      </c>
      <c r="C857" s="2" t="s">
        <v>172</v>
      </c>
      <c r="D857" s="2">
        <v>1225</v>
      </c>
      <c r="E857" s="2">
        <v>42.4</v>
      </c>
      <c r="F857" s="2" t="s">
        <v>47</v>
      </c>
      <c r="G857" s="2" t="s">
        <v>37</v>
      </c>
      <c r="H857" s="2">
        <v>2</v>
      </c>
      <c r="I857" s="2">
        <v>12</v>
      </c>
      <c r="J857" s="2" t="s">
        <v>38</v>
      </c>
      <c r="K857" s="2">
        <v>801</v>
      </c>
      <c r="L857" s="2">
        <v>31.2</v>
      </c>
      <c r="M857" s="2">
        <v>4368672</v>
      </c>
      <c r="N857" s="2">
        <v>2315037</v>
      </c>
      <c r="O857" s="2"/>
      <c r="P857" s="2"/>
      <c r="Q857">
        <f t="shared" si="26"/>
        <v>9263.4087198693942</v>
      </c>
      <c r="R857">
        <f t="shared" si="27"/>
        <v>7927.3582440553964</v>
      </c>
    </row>
    <row r="858" spans="1:18" ht="16" x14ac:dyDescent="0.4">
      <c r="A858" s="2">
        <v>218441</v>
      </c>
      <c r="B858" s="2" t="s">
        <v>900</v>
      </c>
      <c r="C858" s="2" t="s">
        <v>172</v>
      </c>
      <c r="D858" s="2">
        <v>1758</v>
      </c>
      <c r="E858" s="2">
        <v>52.3</v>
      </c>
      <c r="F858" s="2" t="s">
        <v>47</v>
      </c>
      <c r="G858" s="2" t="s">
        <v>37</v>
      </c>
      <c r="H858" s="2">
        <v>2</v>
      </c>
      <c r="I858" s="2">
        <v>10</v>
      </c>
      <c r="J858" s="2" t="s">
        <v>38</v>
      </c>
      <c r="K858" s="2">
        <v>534</v>
      </c>
      <c r="L858" s="2">
        <v>36.1</v>
      </c>
      <c r="M858" s="2">
        <v>3348610</v>
      </c>
      <c r="N858" s="2">
        <v>1598885</v>
      </c>
      <c r="O858" s="2"/>
      <c r="P858" s="2"/>
      <c r="Q858">
        <f t="shared" si="26"/>
        <v>8294.0904893813477</v>
      </c>
      <c r="R858">
        <f t="shared" si="27"/>
        <v>9813.4667346567967</v>
      </c>
    </row>
    <row r="859" spans="1:18" ht="16" x14ac:dyDescent="0.4">
      <c r="A859" s="2">
        <v>218539</v>
      </c>
      <c r="B859" s="2" t="s">
        <v>901</v>
      </c>
      <c r="C859" s="2" t="s">
        <v>172</v>
      </c>
      <c r="D859" s="2">
        <v>1022</v>
      </c>
      <c r="E859" s="2">
        <v>51</v>
      </c>
      <c r="F859" s="2" t="s">
        <v>47</v>
      </c>
      <c r="G859" s="2" t="s">
        <v>37</v>
      </c>
      <c r="H859" s="2">
        <v>1</v>
      </c>
      <c r="I859" s="2">
        <v>38</v>
      </c>
      <c r="J859" s="2" t="s">
        <v>38</v>
      </c>
      <c r="K859" s="2">
        <v>419</v>
      </c>
      <c r="L859" s="2">
        <v>38.9</v>
      </c>
      <c r="M859" s="2">
        <v>5734641</v>
      </c>
      <c r="N859" s="2">
        <v>4470672</v>
      </c>
      <c r="O859" s="2"/>
      <c r="P859" s="2"/>
      <c r="Q859">
        <f t="shared" si="26"/>
        <v>27428.950064727498</v>
      </c>
      <c r="R859">
        <f t="shared" si="27"/>
        <v>22400.153900839421</v>
      </c>
    </row>
    <row r="860" spans="1:18" ht="16" x14ac:dyDescent="0.4">
      <c r="A860" s="2">
        <v>218645</v>
      </c>
      <c r="B860" s="2" t="s">
        <v>902</v>
      </c>
      <c r="C860" s="2" t="s">
        <v>172</v>
      </c>
      <c r="D860" s="2">
        <v>2579</v>
      </c>
      <c r="E860" s="2">
        <v>65.3</v>
      </c>
      <c r="F860" s="2" t="s">
        <v>36</v>
      </c>
      <c r="G860" s="2" t="s">
        <v>37</v>
      </c>
      <c r="H860" s="2">
        <v>2</v>
      </c>
      <c r="I860" s="2">
        <v>38</v>
      </c>
      <c r="J860" s="2" t="s">
        <v>41</v>
      </c>
      <c r="K860" s="2">
        <v>175</v>
      </c>
      <c r="L860" s="2">
        <v>45.1</v>
      </c>
      <c r="M860" s="2">
        <v>1645504</v>
      </c>
      <c r="N860" s="2">
        <v>1410551</v>
      </c>
      <c r="O860" s="2"/>
      <c r="P860" s="2"/>
      <c r="Q860">
        <f t="shared" si="26"/>
        <v>17872.043078872346</v>
      </c>
      <c r="R860">
        <f t="shared" si="27"/>
        <v>17127.285974499089</v>
      </c>
    </row>
    <row r="861" spans="1:18" ht="16" x14ac:dyDescent="0.4">
      <c r="A861" s="2">
        <v>218663</v>
      </c>
      <c r="B861" s="2" t="s">
        <v>903</v>
      </c>
      <c r="C861" s="2" t="s">
        <v>172</v>
      </c>
      <c r="D861" s="2">
        <v>26119</v>
      </c>
      <c r="E861" s="2">
        <v>53.9</v>
      </c>
      <c r="F861" s="2" t="s">
        <v>36</v>
      </c>
      <c r="G861" s="2" t="s">
        <v>37</v>
      </c>
      <c r="H861" s="2">
        <v>1</v>
      </c>
      <c r="I861" s="2">
        <v>38</v>
      </c>
      <c r="J861" s="2" t="s">
        <v>38</v>
      </c>
      <c r="K861" s="2">
        <v>709</v>
      </c>
      <c r="L861" s="2">
        <v>54.9</v>
      </c>
      <c r="M861" s="2">
        <v>51467134</v>
      </c>
      <c r="N861" s="2">
        <v>21901438</v>
      </c>
      <c r="O861" s="2"/>
      <c r="P861" s="2"/>
      <c r="Q861">
        <f t="shared" si="26"/>
        <v>56267.037645057942</v>
      </c>
      <c r="R861">
        <f t="shared" si="27"/>
        <v>160956.01374785384</v>
      </c>
    </row>
    <row r="862" spans="1:18" ht="16" x14ac:dyDescent="0.4">
      <c r="A862" s="2">
        <v>218724</v>
      </c>
      <c r="B862" s="2" t="s">
        <v>904</v>
      </c>
      <c r="C862" s="2" t="s">
        <v>172</v>
      </c>
      <c r="D862" s="2">
        <v>8784</v>
      </c>
      <c r="E862" s="2">
        <v>55.1</v>
      </c>
      <c r="F862" s="2" t="s">
        <v>36</v>
      </c>
      <c r="G862" s="2" t="s">
        <v>37</v>
      </c>
      <c r="H862" s="2">
        <v>1</v>
      </c>
      <c r="I862" s="2">
        <v>38</v>
      </c>
      <c r="J862" s="2" t="s">
        <v>38</v>
      </c>
      <c r="K862" s="2">
        <v>509</v>
      </c>
      <c r="L862" s="2">
        <v>46.6</v>
      </c>
      <c r="M862" s="2">
        <v>17124028</v>
      </c>
      <c r="N862" s="2">
        <v>7835779</v>
      </c>
      <c r="O862" s="2"/>
      <c r="P862" s="2"/>
      <c r="Q862">
        <f t="shared" si="26"/>
        <v>33035.317082219619</v>
      </c>
      <c r="R862">
        <f t="shared" si="27"/>
        <v>63000.919773662084</v>
      </c>
    </row>
    <row r="863" spans="1:18" ht="16" x14ac:dyDescent="0.4">
      <c r="A863" s="2">
        <v>218733</v>
      </c>
      <c r="B863" s="2" t="s">
        <v>905</v>
      </c>
      <c r="C863" s="2" t="s">
        <v>172</v>
      </c>
      <c r="D863" s="2">
        <v>1958</v>
      </c>
      <c r="E863" s="2">
        <v>53.4</v>
      </c>
      <c r="F863" s="2" t="s">
        <v>36</v>
      </c>
      <c r="G863" s="2" t="s">
        <v>37</v>
      </c>
      <c r="H863" s="2">
        <v>1</v>
      </c>
      <c r="I863" s="2">
        <v>38</v>
      </c>
      <c r="J863" s="2" t="s">
        <v>38</v>
      </c>
      <c r="K863" s="2">
        <v>275</v>
      </c>
      <c r="L863" s="2">
        <v>38.5</v>
      </c>
      <c r="M863" s="2">
        <v>3733080</v>
      </c>
      <c r="N863" s="2">
        <v>1926242</v>
      </c>
      <c r="O863" s="2"/>
      <c r="P863" s="2"/>
      <c r="Q863">
        <f t="shared" si="26"/>
        <v>18193.548996458088</v>
      </c>
      <c r="R863">
        <f t="shared" si="27"/>
        <v>22072.90465631929</v>
      </c>
    </row>
    <row r="864" spans="1:18" ht="16" x14ac:dyDescent="0.4">
      <c r="A864" s="2">
        <v>218742</v>
      </c>
      <c r="B864" s="2" t="s">
        <v>906</v>
      </c>
      <c r="C864" s="2" t="s">
        <v>172</v>
      </c>
      <c r="D864" s="2">
        <v>4570</v>
      </c>
      <c r="E864" s="2">
        <v>67.599999999999994</v>
      </c>
      <c r="F864" s="2" t="s">
        <v>36</v>
      </c>
      <c r="G864" s="2" t="s">
        <v>37</v>
      </c>
      <c r="H864" s="2">
        <v>1</v>
      </c>
      <c r="I864" s="2">
        <v>8</v>
      </c>
      <c r="J864" s="2" t="s">
        <v>41</v>
      </c>
      <c r="K864" s="2">
        <v>362</v>
      </c>
      <c r="L864" s="2">
        <v>49.4</v>
      </c>
      <c r="M864" s="2">
        <v>3249429</v>
      </c>
      <c r="N864" s="2">
        <v>3289304</v>
      </c>
      <c r="O864" s="2"/>
      <c r="P864" s="2"/>
      <c r="Q864">
        <f t="shared" si="26"/>
        <v>18393.6743686671</v>
      </c>
      <c r="R864">
        <f t="shared" si="27"/>
        <v>17739.769178695435</v>
      </c>
    </row>
    <row r="865" spans="1:18" ht="16" x14ac:dyDescent="0.4">
      <c r="A865" s="2">
        <v>218964</v>
      </c>
      <c r="B865" s="2" t="s">
        <v>907</v>
      </c>
      <c r="C865" s="2" t="s">
        <v>172</v>
      </c>
      <c r="D865" s="2">
        <v>4231</v>
      </c>
      <c r="E865" s="2">
        <v>69.3</v>
      </c>
      <c r="F865" s="2" t="s">
        <v>36</v>
      </c>
      <c r="G865" s="2" t="s">
        <v>37</v>
      </c>
      <c r="H865" s="2">
        <v>1</v>
      </c>
      <c r="I865" s="2">
        <v>38</v>
      </c>
      <c r="J865" s="2" t="s">
        <v>41</v>
      </c>
      <c r="K865" s="2">
        <v>369</v>
      </c>
      <c r="L865" s="2">
        <v>52.6</v>
      </c>
      <c r="M865" s="2">
        <v>4249812</v>
      </c>
      <c r="N865" s="2">
        <v>4515376</v>
      </c>
      <c r="O865" s="2"/>
      <c r="P865" s="2"/>
      <c r="Q865">
        <f t="shared" si="26"/>
        <v>23263.861840139311</v>
      </c>
      <c r="R865">
        <f t="shared" si="27"/>
        <v>24297.691331343696</v>
      </c>
    </row>
    <row r="866" spans="1:18" ht="16" x14ac:dyDescent="0.4">
      <c r="A866" s="2">
        <v>218973</v>
      </c>
      <c r="B866" s="2" t="s">
        <v>908</v>
      </c>
      <c r="C866" s="2" t="s">
        <v>172</v>
      </c>
      <c r="D866" s="2">
        <v>1709</v>
      </c>
      <c r="E866" s="2">
        <v>52.3</v>
      </c>
      <c r="F866" s="2" t="s">
        <v>47</v>
      </c>
      <c r="G866" s="2" t="s">
        <v>37</v>
      </c>
      <c r="H866" s="2">
        <v>1</v>
      </c>
      <c r="I866" s="2">
        <v>38</v>
      </c>
      <c r="J866" s="2" t="s">
        <v>38</v>
      </c>
      <c r="K866" s="2">
        <v>456</v>
      </c>
      <c r="L866" s="2">
        <v>36.6</v>
      </c>
      <c r="M866" s="2">
        <v>10585187</v>
      </c>
      <c r="N866" s="2">
        <v>5162589</v>
      </c>
      <c r="O866" s="2"/>
      <c r="P866" s="2"/>
      <c r="Q866">
        <f t="shared" si="26"/>
        <v>30932.970232959444</v>
      </c>
      <c r="R866">
        <f t="shared" si="27"/>
        <v>36613.768747578724</v>
      </c>
    </row>
    <row r="867" spans="1:18" ht="16" x14ac:dyDescent="0.4">
      <c r="A867" s="2">
        <v>219000</v>
      </c>
      <c r="B867" s="2" t="s">
        <v>909</v>
      </c>
      <c r="C867" s="2" t="s">
        <v>302</v>
      </c>
      <c r="D867" s="2">
        <v>1710</v>
      </c>
      <c r="E867" s="2">
        <v>63.9</v>
      </c>
      <c r="F867" s="2" t="s">
        <v>47</v>
      </c>
      <c r="G867" s="2" t="s">
        <v>37</v>
      </c>
      <c r="H867" s="2">
        <v>2</v>
      </c>
      <c r="I867" s="2">
        <v>38</v>
      </c>
      <c r="J867" s="2" t="s">
        <v>38</v>
      </c>
      <c r="K867" s="2">
        <v>545</v>
      </c>
      <c r="L867" s="2">
        <v>44</v>
      </c>
      <c r="M867" s="2">
        <v>4712241</v>
      </c>
      <c r="N867" s="2">
        <v>3700502</v>
      </c>
      <c r="O867" s="2"/>
      <c r="P867" s="2"/>
      <c r="Q867">
        <f t="shared" si="26"/>
        <v>15431.618015012509</v>
      </c>
      <c r="R867">
        <f t="shared" si="27"/>
        <v>15439.846002621231</v>
      </c>
    </row>
    <row r="868" spans="1:18" ht="16" x14ac:dyDescent="0.4">
      <c r="A868" s="2">
        <v>219046</v>
      </c>
      <c r="B868" s="2" t="s">
        <v>910</v>
      </c>
      <c r="C868" s="2" t="s">
        <v>302</v>
      </c>
      <c r="D868" s="2">
        <v>1873</v>
      </c>
      <c r="E868" s="2">
        <v>64</v>
      </c>
      <c r="F868" s="2" t="s">
        <v>36</v>
      </c>
      <c r="G868" s="2" t="s">
        <v>37</v>
      </c>
      <c r="H868" s="2">
        <v>2</v>
      </c>
      <c r="I868" s="2">
        <v>38</v>
      </c>
      <c r="J868" s="2" t="s">
        <v>38</v>
      </c>
      <c r="K868" s="2">
        <v>358</v>
      </c>
      <c r="L868" s="2">
        <v>43</v>
      </c>
      <c r="M868" s="2">
        <v>1960417</v>
      </c>
      <c r="N868" s="2">
        <v>1511995</v>
      </c>
      <c r="O868" s="2"/>
      <c r="P868" s="2"/>
      <c r="Q868">
        <f t="shared" si="26"/>
        <v>9821.9760945823054</v>
      </c>
      <c r="R868">
        <f t="shared" si="27"/>
        <v>9607.0616485347437</v>
      </c>
    </row>
    <row r="869" spans="1:18" ht="16" x14ac:dyDescent="0.4">
      <c r="A869" s="2">
        <v>219259</v>
      </c>
      <c r="B869" s="2" t="s">
        <v>911</v>
      </c>
      <c r="C869" s="2" t="s">
        <v>302</v>
      </c>
      <c r="D869" s="2">
        <v>1175</v>
      </c>
      <c r="E869" s="2">
        <v>55.7</v>
      </c>
      <c r="F869" s="2" t="s">
        <v>36</v>
      </c>
      <c r="G869" s="2" t="s">
        <v>37</v>
      </c>
      <c r="H869" s="2">
        <v>2</v>
      </c>
      <c r="I869" s="2">
        <v>12</v>
      </c>
      <c r="J869" s="2" t="s">
        <v>38</v>
      </c>
      <c r="K869" s="2">
        <v>462</v>
      </c>
      <c r="L869" s="2">
        <v>38.5</v>
      </c>
      <c r="M869" s="2">
        <v>3470716</v>
      </c>
      <c r="N869" s="2">
        <v>2235377</v>
      </c>
      <c r="O869" s="2"/>
      <c r="P869" s="2"/>
      <c r="Q869">
        <f t="shared" si="26"/>
        <v>12567.476246697026</v>
      </c>
      <c r="R869">
        <f t="shared" si="27"/>
        <v>12215.23950304438</v>
      </c>
    </row>
    <row r="870" spans="1:18" ht="16" x14ac:dyDescent="0.4">
      <c r="A870" s="2">
        <v>219347</v>
      </c>
      <c r="B870" s="2" t="s">
        <v>912</v>
      </c>
      <c r="C870" s="2" t="s">
        <v>302</v>
      </c>
      <c r="D870" s="2">
        <v>1861</v>
      </c>
      <c r="E870" s="2">
        <v>22.9</v>
      </c>
      <c r="F870" s="2" t="s">
        <v>36</v>
      </c>
      <c r="G870" s="2" t="s">
        <v>37</v>
      </c>
      <c r="H870" s="2">
        <v>2</v>
      </c>
      <c r="I870" s="2">
        <v>38</v>
      </c>
      <c r="J870" s="2" t="s">
        <v>38</v>
      </c>
      <c r="K870" s="2">
        <v>358</v>
      </c>
      <c r="L870" s="2">
        <v>26.3</v>
      </c>
      <c r="M870" s="2">
        <v>2632753</v>
      </c>
      <c r="N870" s="2">
        <v>916428</v>
      </c>
      <c r="O870" s="2"/>
      <c r="P870" s="2"/>
      <c r="Q870">
        <f t="shared" si="26"/>
        <v>9733.2880175032387</v>
      </c>
      <c r="R870">
        <f t="shared" si="27"/>
        <v>9978.3699582332119</v>
      </c>
    </row>
    <row r="871" spans="1:18" ht="16" x14ac:dyDescent="0.4">
      <c r="A871" s="2">
        <v>219356</v>
      </c>
      <c r="B871" s="2" t="s">
        <v>913</v>
      </c>
      <c r="C871" s="2" t="s">
        <v>302</v>
      </c>
      <c r="D871" s="2">
        <v>7961</v>
      </c>
      <c r="E871" s="2">
        <v>50.8</v>
      </c>
      <c r="F871" s="2" t="s">
        <v>36</v>
      </c>
      <c r="G871" s="2" t="s">
        <v>37</v>
      </c>
      <c r="H871" s="2">
        <v>1</v>
      </c>
      <c r="I871" s="2">
        <v>38</v>
      </c>
      <c r="J871" s="2" t="s">
        <v>38</v>
      </c>
      <c r="K871" s="2">
        <v>584</v>
      </c>
      <c r="L871" s="2">
        <v>46.7</v>
      </c>
      <c r="M871" s="2">
        <v>8366904</v>
      </c>
      <c r="N871" s="2">
        <v>4790159</v>
      </c>
      <c r="O871" s="2"/>
      <c r="P871" s="2"/>
      <c r="Q871">
        <f t="shared" si="26"/>
        <v>17563.869496348008</v>
      </c>
      <c r="R871">
        <f t="shared" si="27"/>
        <v>26879.719345138659</v>
      </c>
    </row>
    <row r="872" spans="1:18" ht="16" x14ac:dyDescent="0.4">
      <c r="A872" s="2">
        <v>219383</v>
      </c>
      <c r="B872" s="2" t="s">
        <v>914</v>
      </c>
      <c r="C872" s="2" t="s">
        <v>302</v>
      </c>
      <c r="D872" s="2">
        <v>1206</v>
      </c>
      <c r="E872" s="2">
        <v>63.8</v>
      </c>
      <c r="F872" s="2" t="s">
        <v>47</v>
      </c>
      <c r="G872" s="2" t="s">
        <v>37</v>
      </c>
      <c r="H872" s="2">
        <v>2</v>
      </c>
      <c r="I872" s="2">
        <v>38</v>
      </c>
      <c r="J872" s="2" t="s">
        <v>38</v>
      </c>
      <c r="K872" s="2">
        <v>502</v>
      </c>
      <c r="L872" s="2">
        <v>38</v>
      </c>
      <c r="M872" s="2">
        <v>3003391</v>
      </c>
      <c r="N872" s="2">
        <v>2512542</v>
      </c>
      <c r="O872" s="2"/>
      <c r="P872" s="2"/>
      <c r="Q872">
        <f t="shared" si="26"/>
        <v>13171.22038163137</v>
      </c>
      <c r="R872">
        <f t="shared" si="27"/>
        <v>9649.7590284025191</v>
      </c>
    </row>
    <row r="873" spans="1:18" ht="16" x14ac:dyDescent="0.4">
      <c r="A873" s="2">
        <v>219471</v>
      </c>
      <c r="B873" s="2" t="s">
        <v>915</v>
      </c>
      <c r="C873" s="2" t="s">
        <v>302</v>
      </c>
      <c r="D873" s="2">
        <v>4843</v>
      </c>
      <c r="E873" s="2">
        <v>63</v>
      </c>
      <c r="F873" s="2" t="s">
        <v>36</v>
      </c>
      <c r="G873" s="2" t="s">
        <v>37</v>
      </c>
      <c r="H873" s="2">
        <v>1</v>
      </c>
      <c r="I873" s="2">
        <v>10</v>
      </c>
      <c r="J873" s="2" t="s">
        <v>38</v>
      </c>
      <c r="K873" s="2">
        <v>614</v>
      </c>
      <c r="L873" s="2">
        <v>57</v>
      </c>
      <c r="M873" s="2">
        <v>6420153</v>
      </c>
      <c r="N873" s="2">
        <v>5846751</v>
      </c>
      <c r="O873" s="2"/>
      <c r="P873" s="2"/>
      <c r="Q873">
        <f t="shared" si="26"/>
        <v>16705.957483284757</v>
      </c>
      <c r="R873">
        <f t="shared" si="27"/>
        <v>24316.919172789942</v>
      </c>
    </row>
    <row r="874" spans="1:18" ht="16" x14ac:dyDescent="0.4">
      <c r="A874" s="2">
        <v>219602</v>
      </c>
      <c r="B874" s="2" t="s">
        <v>916</v>
      </c>
      <c r="C874" s="2" t="s">
        <v>35</v>
      </c>
      <c r="D874" s="2">
        <v>6711</v>
      </c>
      <c r="E874" s="2">
        <v>59.9</v>
      </c>
      <c r="F874" s="2" t="s">
        <v>36</v>
      </c>
      <c r="G874" s="2" t="s">
        <v>37</v>
      </c>
      <c r="H874" s="2">
        <v>1</v>
      </c>
      <c r="I874" s="2">
        <v>38</v>
      </c>
      <c r="J874" s="2" t="s">
        <v>38</v>
      </c>
      <c r="K874" s="2">
        <v>379</v>
      </c>
      <c r="L874" s="2">
        <v>50.9</v>
      </c>
      <c r="M874" s="2">
        <v>7564521</v>
      </c>
      <c r="N874" s="2">
        <v>3895613</v>
      </c>
      <c r="O874" s="2"/>
      <c r="P874" s="2"/>
      <c r="Q874">
        <f t="shared" si="26"/>
        <v>20193.835499271685</v>
      </c>
      <c r="R874">
        <f t="shared" si="27"/>
        <v>40650.016927384204</v>
      </c>
    </row>
    <row r="875" spans="1:18" ht="16" x14ac:dyDescent="0.4">
      <c r="A875" s="2">
        <v>219709</v>
      </c>
      <c r="B875" s="2" t="s">
        <v>917</v>
      </c>
      <c r="C875" s="2" t="s">
        <v>35</v>
      </c>
      <c r="D875" s="2">
        <v>6536</v>
      </c>
      <c r="E875" s="2">
        <v>65.099999999999994</v>
      </c>
      <c r="F875" s="2" t="s">
        <v>47</v>
      </c>
      <c r="G875" s="2" t="s">
        <v>37</v>
      </c>
      <c r="H875" s="2">
        <v>1</v>
      </c>
      <c r="I875" s="2">
        <v>38</v>
      </c>
      <c r="J875" s="2" t="s">
        <v>41</v>
      </c>
      <c r="K875" s="2">
        <v>325</v>
      </c>
      <c r="L875" s="2">
        <v>45.8</v>
      </c>
      <c r="M875" s="2">
        <v>6066571</v>
      </c>
      <c r="N875" s="2">
        <v>5989660</v>
      </c>
      <c r="O875" s="2"/>
      <c r="P875" s="2"/>
      <c r="Q875">
        <f t="shared" si="26"/>
        <v>40239.570036949954</v>
      </c>
      <c r="R875">
        <f t="shared" si="27"/>
        <v>34439.801305705361</v>
      </c>
    </row>
    <row r="876" spans="1:18" ht="16" x14ac:dyDescent="0.4">
      <c r="A876" s="2">
        <v>219806</v>
      </c>
      <c r="B876" s="2" t="s">
        <v>918</v>
      </c>
      <c r="C876" s="2" t="s">
        <v>35</v>
      </c>
      <c r="D876" s="2">
        <v>1705</v>
      </c>
      <c r="E876" s="2">
        <v>59.6</v>
      </c>
      <c r="F876" s="2" t="s">
        <v>47</v>
      </c>
      <c r="G876" s="2" t="s">
        <v>37</v>
      </c>
      <c r="H876" s="2">
        <v>2</v>
      </c>
      <c r="I876" s="2">
        <v>12</v>
      </c>
      <c r="J876" s="2" t="s">
        <v>38</v>
      </c>
      <c r="K876" s="2">
        <v>530</v>
      </c>
      <c r="L876" s="2">
        <v>32.6</v>
      </c>
      <c r="M876" s="2">
        <v>4688482</v>
      </c>
      <c r="N876" s="2">
        <v>3109832</v>
      </c>
      <c r="O876" s="2"/>
      <c r="P876" s="2"/>
      <c r="Q876">
        <f t="shared" si="26"/>
        <v>17998.79615696261</v>
      </c>
      <c r="R876">
        <f t="shared" si="27"/>
        <v>13124.914618442415</v>
      </c>
    </row>
    <row r="877" spans="1:18" ht="16" x14ac:dyDescent="0.4">
      <c r="A877" s="2">
        <v>219833</v>
      </c>
      <c r="B877" s="2" t="s">
        <v>919</v>
      </c>
      <c r="C877" s="2" t="s">
        <v>35</v>
      </c>
      <c r="D877" s="2">
        <v>1367</v>
      </c>
      <c r="E877" s="2">
        <v>51.1</v>
      </c>
      <c r="F877" s="2" t="s">
        <v>47</v>
      </c>
      <c r="G877" s="2" t="s">
        <v>37</v>
      </c>
      <c r="H877" s="2">
        <v>2</v>
      </c>
      <c r="I877" s="2">
        <v>38</v>
      </c>
      <c r="J877" s="2" t="s">
        <v>41</v>
      </c>
      <c r="K877" s="2">
        <v>283</v>
      </c>
      <c r="L877" s="2">
        <v>44.9</v>
      </c>
      <c r="M877" s="2">
        <v>1960157</v>
      </c>
      <c r="N877" s="2">
        <v>2179974</v>
      </c>
      <c r="O877" s="2"/>
      <c r="P877" s="2"/>
      <c r="Q877">
        <f t="shared" si="26"/>
        <v>17156.098751052592</v>
      </c>
      <c r="R877">
        <f t="shared" si="27"/>
        <v>12570.507846318609</v>
      </c>
    </row>
    <row r="878" spans="1:18" ht="16" x14ac:dyDescent="0.4">
      <c r="A878" s="2">
        <v>219976</v>
      </c>
      <c r="B878" s="2" t="s">
        <v>920</v>
      </c>
      <c r="C878" s="2" t="s">
        <v>35</v>
      </c>
      <c r="D878" s="2">
        <v>2677</v>
      </c>
      <c r="E878" s="2">
        <v>60.3</v>
      </c>
      <c r="F878" s="2" t="s">
        <v>47</v>
      </c>
      <c r="G878" s="2" t="s">
        <v>37</v>
      </c>
      <c r="H878" s="2">
        <v>1</v>
      </c>
      <c r="I878" s="2">
        <v>38</v>
      </c>
      <c r="J878" s="2" t="s">
        <v>41</v>
      </c>
      <c r="K878" s="2">
        <v>346</v>
      </c>
      <c r="L878" s="2">
        <v>46.8</v>
      </c>
      <c r="M878" s="2">
        <v>6027646</v>
      </c>
      <c r="N878" s="2">
        <v>6564948</v>
      </c>
      <c r="O878" s="2"/>
      <c r="P878" s="2"/>
      <c r="Q878">
        <f t="shared" si="26"/>
        <v>40542.389210019268</v>
      </c>
      <c r="R878">
        <f t="shared" si="27"/>
        <v>32746.131948368031</v>
      </c>
    </row>
    <row r="879" spans="1:18" ht="16" x14ac:dyDescent="0.4">
      <c r="A879" s="2">
        <v>220075</v>
      </c>
      <c r="B879" s="2" t="s">
        <v>921</v>
      </c>
      <c r="C879" s="2" t="s">
        <v>35</v>
      </c>
      <c r="D879" s="2">
        <v>9194</v>
      </c>
      <c r="E879" s="2">
        <v>58.8</v>
      </c>
      <c r="F879" s="2" t="s">
        <v>36</v>
      </c>
      <c r="G879" s="2" t="s">
        <v>37</v>
      </c>
      <c r="H879" s="2">
        <v>1</v>
      </c>
      <c r="I879" s="2">
        <v>38</v>
      </c>
      <c r="J879" s="2" t="s">
        <v>38</v>
      </c>
      <c r="K879" s="2">
        <v>480</v>
      </c>
      <c r="L879" s="2">
        <v>43.5</v>
      </c>
      <c r="M879" s="2">
        <v>8036863</v>
      </c>
      <c r="N879" s="2">
        <v>3960878</v>
      </c>
      <c r="O879" s="2"/>
      <c r="P879" s="2"/>
      <c r="Q879">
        <f t="shared" si="26"/>
        <v>18969.722222222223</v>
      </c>
      <c r="R879">
        <f t="shared" si="27"/>
        <v>29634.450589970496</v>
      </c>
    </row>
    <row r="880" spans="1:18" ht="16" x14ac:dyDescent="0.4">
      <c r="A880" s="2">
        <v>220516</v>
      </c>
      <c r="B880" s="2" t="s">
        <v>922</v>
      </c>
      <c r="C880" s="2" t="s">
        <v>35</v>
      </c>
      <c r="D880" s="2">
        <v>1486</v>
      </c>
      <c r="E880" s="2">
        <v>64.900000000000006</v>
      </c>
      <c r="F880" s="2" t="s">
        <v>47</v>
      </c>
      <c r="G880" s="2" t="s">
        <v>37</v>
      </c>
      <c r="H880" s="2">
        <v>2</v>
      </c>
      <c r="I880" s="2">
        <v>38</v>
      </c>
      <c r="J880" s="2" t="s">
        <v>41</v>
      </c>
      <c r="K880" s="2">
        <v>496</v>
      </c>
      <c r="L880" s="2">
        <v>44.4</v>
      </c>
      <c r="M880" s="2">
        <v>2582853</v>
      </c>
      <c r="N880" s="2">
        <v>2530379</v>
      </c>
      <c r="O880" s="2"/>
      <c r="P880" s="2"/>
      <c r="Q880">
        <f t="shared" si="26"/>
        <v>11490.023793955246</v>
      </c>
      <c r="R880">
        <f t="shared" si="27"/>
        <v>9365.7642434439549</v>
      </c>
    </row>
    <row r="881" spans="1:18" ht="16" x14ac:dyDescent="0.4">
      <c r="A881" s="2">
        <v>220598</v>
      </c>
      <c r="B881" s="2" t="s">
        <v>923</v>
      </c>
      <c r="C881" s="2" t="s">
        <v>35</v>
      </c>
      <c r="D881" s="2">
        <v>1239</v>
      </c>
      <c r="E881" s="2">
        <v>50.7</v>
      </c>
      <c r="F881" s="2" t="s">
        <v>47</v>
      </c>
      <c r="G881" s="2" t="s">
        <v>37</v>
      </c>
      <c r="H881" s="2">
        <v>2</v>
      </c>
      <c r="I881" s="2">
        <v>38</v>
      </c>
      <c r="J881" s="2" t="s">
        <v>38</v>
      </c>
      <c r="K881" s="2">
        <v>279</v>
      </c>
      <c r="L881" s="2">
        <v>34.799999999999997</v>
      </c>
      <c r="M881" s="2">
        <v>1824088</v>
      </c>
      <c r="N881" s="2">
        <v>799735</v>
      </c>
      <c r="O881" s="2"/>
      <c r="P881" s="2"/>
      <c r="Q881">
        <f t="shared" si="26"/>
        <v>8236.8784245869901</v>
      </c>
      <c r="R881">
        <f t="shared" si="27"/>
        <v>10027.530399982408</v>
      </c>
    </row>
    <row r="882" spans="1:18" ht="16" x14ac:dyDescent="0.4">
      <c r="A882" s="2">
        <v>220604</v>
      </c>
      <c r="B882" s="2" t="s">
        <v>924</v>
      </c>
      <c r="C882" s="2" t="s">
        <v>35</v>
      </c>
      <c r="D882" s="2">
        <v>749</v>
      </c>
      <c r="E882" s="2">
        <v>65.8</v>
      </c>
      <c r="F882" s="2" t="s">
        <v>47</v>
      </c>
      <c r="G882" s="2" t="s">
        <v>37</v>
      </c>
      <c r="H882" s="2">
        <v>2</v>
      </c>
      <c r="I882" s="2">
        <v>38</v>
      </c>
      <c r="J882" s="2" t="s">
        <v>41</v>
      </c>
      <c r="K882" s="2">
        <v>115</v>
      </c>
      <c r="L882" s="2">
        <v>51.3</v>
      </c>
      <c r="M882" s="2">
        <v>673811</v>
      </c>
      <c r="N882" s="2">
        <v>486506</v>
      </c>
      <c r="O882" s="2"/>
      <c r="P882" s="2"/>
      <c r="Q882">
        <f t="shared" si="26"/>
        <v>8246.5632680735653</v>
      </c>
      <c r="R882">
        <f t="shared" si="27"/>
        <v>12031.26506561914</v>
      </c>
    </row>
    <row r="883" spans="1:18" ht="16" x14ac:dyDescent="0.4">
      <c r="A883" s="2">
        <v>220613</v>
      </c>
      <c r="B883" s="2" t="s">
        <v>925</v>
      </c>
      <c r="C883" s="2" t="s">
        <v>35</v>
      </c>
      <c r="D883" s="2">
        <v>3674</v>
      </c>
      <c r="E883" s="2">
        <v>62.4</v>
      </c>
      <c r="F883" s="2" t="s">
        <v>47</v>
      </c>
      <c r="G883" s="2" t="s">
        <v>37</v>
      </c>
      <c r="H883" s="2">
        <v>2</v>
      </c>
      <c r="I883" s="2">
        <v>38</v>
      </c>
      <c r="J883" s="2" t="s">
        <v>41</v>
      </c>
      <c r="K883" s="2">
        <v>299</v>
      </c>
      <c r="L883" s="2">
        <v>54.2</v>
      </c>
      <c r="M883" s="2">
        <v>2605707</v>
      </c>
      <c r="N883" s="2">
        <v>3107620</v>
      </c>
      <c r="O883" s="2"/>
      <c r="P883" s="2"/>
      <c r="Q883">
        <f t="shared" si="26"/>
        <v>19175.97403398783</v>
      </c>
      <c r="R883">
        <f t="shared" si="27"/>
        <v>19027.814695272453</v>
      </c>
    </row>
    <row r="884" spans="1:18" ht="16" x14ac:dyDescent="0.4">
      <c r="A884" s="2">
        <v>220631</v>
      </c>
      <c r="B884" s="2" t="s">
        <v>926</v>
      </c>
      <c r="C884" s="2" t="s">
        <v>35</v>
      </c>
      <c r="D884" s="2">
        <v>1414</v>
      </c>
      <c r="E884" s="2">
        <v>65.8</v>
      </c>
      <c r="F884" s="2" t="s">
        <v>47</v>
      </c>
      <c r="G884" s="2" t="s">
        <v>37</v>
      </c>
      <c r="H884" s="2">
        <v>2</v>
      </c>
      <c r="I884" s="2">
        <v>15</v>
      </c>
      <c r="J884" s="2" t="s">
        <v>41</v>
      </c>
      <c r="K884" s="2">
        <v>416</v>
      </c>
      <c r="L884" s="2">
        <v>46.4</v>
      </c>
      <c r="M884" s="2">
        <v>3802882</v>
      </c>
      <c r="N884" s="2">
        <v>3387917</v>
      </c>
      <c r="O884" s="2"/>
      <c r="P884" s="2"/>
      <c r="Q884">
        <f t="shared" si="26"/>
        <v>17551.791487068964</v>
      </c>
      <c r="R884">
        <f t="shared" si="27"/>
        <v>17055.118039609642</v>
      </c>
    </row>
    <row r="885" spans="1:18" ht="16" x14ac:dyDescent="0.4">
      <c r="A885" s="2">
        <v>220710</v>
      </c>
      <c r="B885" s="2" t="s">
        <v>927</v>
      </c>
      <c r="C885" s="2" t="s">
        <v>35</v>
      </c>
      <c r="D885" s="2">
        <v>1061</v>
      </c>
      <c r="E885" s="2">
        <v>56.2</v>
      </c>
      <c r="F885" s="2" t="s">
        <v>47</v>
      </c>
      <c r="G885" s="2" t="s">
        <v>37</v>
      </c>
      <c r="H885" s="2">
        <v>3</v>
      </c>
      <c r="I885" s="2">
        <v>38</v>
      </c>
      <c r="J885" s="2" t="s">
        <v>38</v>
      </c>
      <c r="K885" s="2">
        <v>315</v>
      </c>
      <c r="L885" s="2">
        <v>31.1</v>
      </c>
      <c r="M885" s="2">
        <v>948489</v>
      </c>
      <c r="N885" s="2">
        <v>541540</v>
      </c>
      <c r="O885" s="2"/>
      <c r="P885" s="2"/>
      <c r="Q885">
        <f t="shared" si="26"/>
        <v>5527.8926147093343</v>
      </c>
      <c r="R885">
        <f t="shared" si="27"/>
        <v>4370.2121777593475</v>
      </c>
    </row>
    <row r="886" spans="1:18" ht="16" x14ac:dyDescent="0.4">
      <c r="A886" s="2">
        <v>220862</v>
      </c>
      <c r="B886" s="2" t="s">
        <v>928</v>
      </c>
      <c r="C886" s="2" t="s">
        <v>35</v>
      </c>
      <c r="D886" s="2">
        <v>12032</v>
      </c>
      <c r="E886" s="2">
        <v>58.3</v>
      </c>
      <c r="F886" s="2" t="s">
        <v>36</v>
      </c>
      <c r="G886" s="2" t="s">
        <v>37</v>
      </c>
      <c r="H886" s="2">
        <v>1</v>
      </c>
      <c r="I886" s="2">
        <v>38</v>
      </c>
      <c r="J886" s="2" t="s">
        <v>38</v>
      </c>
      <c r="K886" s="2">
        <v>545</v>
      </c>
      <c r="L886" s="2">
        <v>39.1</v>
      </c>
      <c r="M886" s="2">
        <v>36511425</v>
      </c>
      <c r="N886" s="2">
        <v>8234381</v>
      </c>
      <c r="O886" s="2"/>
      <c r="P886" s="2"/>
      <c r="Q886">
        <f t="shared" si="26"/>
        <v>38641.831108191182</v>
      </c>
      <c r="R886">
        <f t="shared" si="27"/>
        <v>110005.64920685136</v>
      </c>
    </row>
    <row r="887" spans="1:18" ht="16" x14ac:dyDescent="0.4">
      <c r="A887" s="2">
        <v>220978</v>
      </c>
      <c r="B887" s="2" t="s">
        <v>929</v>
      </c>
      <c r="C887" s="2" t="s">
        <v>35</v>
      </c>
      <c r="D887" s="2">
        <v>15689</v>
      </c>
      <c r="E887" s="2">
        <v>53.1</v>
      </c>
      <c r="F887" s="2" t="s">
        <v>36</v>
      </c>
      <c r="G887" s="2" t="s">
        <v>37</v>
      </c>
      <c r="H887" s="2">
        <v>1</v>
      </c>
      <c r="I887" s="2">
        <v>9</v>
      </c>
      <c r="J887" s="2" t="s">
        <v>38</v>
      </c>
      <c r="K887" s="2">
        <v>400</v>
      </c>
      <c r="L887" s="2">
        <v>33</v>
      </c>
      <c r="M887" s="2">
        <v>16392845</v>
      </c>
      <c r="N887" s="2">
        <v>7539076</v>
      </c>
      <c r="O887" s="2"/>
      <c r="P887" s="2"/>
      <c r="Q887">
        <f t="shared" si="26"/>
        <v>57114.21212121212</v>
      </c>
      <c r="R887">
        <f t="shared" si="27"/>
        <v>61167.332089552241</v>
      </c>
    </row>
    <row r="888" spans="1:18" ht="16" x14ac:dyDescent="0.4">
      <c r="A888" s="2">
        <v>221351</v>
      </c>
      <c r="B888" s="2" t="s">
        <v>930</v>
      </c>
      <c r="C888" s="2" t="s">
        <v>35</v>
      </c>
      <c r="D888" s="2">
        <v>1939</v>
      </c>
      <c r="E888" s="2">
        <v>58</v>
      </c>
      <c r="F888" s="2" t="s">
        <v>47</v>
      </c>
      <c r="G888" s="2" t="s">
        <v>37</v>
      </c>
      <c r="H888" s="2">
        <v>3</v>
      </c>
      <c r="I888" s="2">
        <v>38</v>
      </c>
      <c r="J888" s="2" t="s">
        <v>38</v>
      </c>
      <c r="K888" s="2">
        <v>567</v>
      </c>
      <c r="L888" s="2">
        <v>41.1</v>
      </c>
      <c r="M888" s="2">
        <v>1843563</v>
      </c>
      <c r="N888" s="2">
        <v>1384479</v>
      </c>
      <c r="O888" s="2"/>
      <c r="P888" s="2"/>
      <c r="Q888">
        <f t="shared" si="26"/>
        <v>5941.0265322674077</v>
      </c>
      <c r="R888">
        <f t="shared" si="27"/>
        <v>5520.2612265430607</v>
      </c>
    </row>
    <row r="889" spans="1:18" ht="16" x14ac:dyDescent="0.4">
      <c r="A889" s="2">
        <v>221519</v>
      </c>
      <c r="B889" s="2" t="s">
        <v>931</v>
      </c>
      <c r="C889" s="2" t="s">
        <v>35</v>
      </c>
      <c r="D889" s="2">
        <v>1669</v>
      </c>
      <c r="E889" s="2">
        <v>51.2</v>
      </c>
      <c r="F889" s="2" t="s">
        <v>47</v>
      </c>
      <c r="G889" s="2" t="s">
        <v>37</v>
      </c>
      <c r="H889" s="2">
        <v>3</v>
      </c>
      <c r="I889" s="2">
        <v>38</v>
      </c>
      <c r="J889" s="2" t="s">
        <v>38</v>
      </c>
      <c r="K889" s="2">
        <v>558</v>
      </c>
      <c r="L889" s="2">
        <v>41.6</v>
      </c>
      <c r="M889" s="2">
        <v>1484065</v>
      </c>
      <c r="N889" s="2">
        <v>1388421</v>
      </c>
      <c r="O889" s="2"/>
      <c r="P889" s="2"/>
      <c r="Q889">
        <f t="shared" si="26"/>
        <v>5981.2732630272949</v>
      </c>
      <c r="R889">
        <f t="shared" si="27"/>
        <v>4554.1347522953802</v>
      </c>
    </row>
    <row r="890" spans="1:18" ht="16" x14ac:dyDescent="0.4">
      <c r="A890" s="2">
        <v>221740</v>
      </c>
      <c r="B890" s="2" t="s">
        <v>932</v>
      </c>
      <c r="C890" s="2" t="s">
        <v>35</v>
      </c>
      <c r="D890" s="2">
        <v>9212</v>
      </c>
      <c r="E890" s="2">
        <v>56.8</v>
      </c>
      <c r="F890" s="2" t="s">
        <v>36</v>
      </c>
      <c r="G890" s="2" t="s">
        <v>37</v>
      </c>
      <c r="H890" s="2">
        <v>1</v>
      </c>
      <c r="I890" s="2">
        <v>13</v>
      </c>
      <c r="J890" s="2" t="s">
        <v>38</v>
      </c>
      <c r="K890" s="2">
        <v>266</v>
      </c>
      <c r="L890" s="2">
        <v>54.9</v>
      </c>
      <c r="M890" s="2">
        <v>8083901</v>
      </c>
      <c r="N890" s="2">
        <v>4421067</v>
      </c>
      <c r="O890" s="2"/>
      <c r="P890" s="2"/>
      <c r="Q890">
        <f t="shared" si="26"/>
        <v>30274.230658613742</v>
      </c>
      <c r="R890">
        <f t="shared" si="27"/>
        <v>67384.93406465165</v>
      </c>
    </row>
    <row r="891" spans="1:18" ht="16" x14ac:dyDescent="0.4">
      <c r="A891" s="2">
        <v>221759</v>
      </c>
      <c r="B891" s="2" t="s">
        <v>933</v>
      </c>
      <c r="C891" s="2" t="s">
        <v>35</v>
      </c>
      <c r="D891" s="2">
        <v>21972</v>
      </c>
      <c r="E891" s="2">
        <v>51.5</v>
      </c>
      <c r="F891" s="2" t="s">
        <v>36</v>
      </c>
      <c r="G891" s="2" t="s">
        <v>37</v>
      </c>
      <c r="H891" s="2">
        <v>1</v>
      </c>
      <c r="I891" s="2">
        <v>38</v>
      </c>
      <c r="J891" s="2" t="s">
        <v>38</v>
      </c>
      <c r="K891" s="2">
        <v>736</v>
      </c>
      <c r="L891" s="2">
        <v>49.5</v>
      </c>
      <c r="M891" s="2">
        <v>57579887</v>
      </c>
      <c r="N891" s="2">
        <v>19916171</v>
      </c>
      <c r="O891" s="2"/>
      <c r="P891" s="2"/>
      <c r="Q891">
        <f t="shared" si="26"/>
        <v>54666.696859903386</v>
      </c>
      <c r="R891">
        <f t="shared" si="27"/>
        <v>154917.90518725786</v>
      </c>
    </row>
    <row r="892" spans="1:18" ht="16" x14ac:dyDescent="0.4">
      <c r="A892" s="2">
        <v>221768</v>
      </c>
      <c r="B892" s="2" t="s">
        <v>934</v>
      </c>
      <c r="C892" s="2" t="s">
        <v>35</v>
      </c>
      <c r="D892" s="2">
        <v>4743</v>
      </c>
      <c r="E892" s="2">
        <v>58.9</v>
      </c>
      <c r="F892" s="2" t="s">
        <v>36</v>
      </c>
      <c r="G892" s="2" t="s">
        <v>37</v>
      </c>
      <c r="H892" s="2">
        <v>1</v>
      </c>
      <c r="I892" s="2">
        <v>13</v>
      </c>
      <c r="J892" s="2" t="s">
        <v>38</v>
      </c>
      <c r="K892" s="2">
        <v>531</v>
      </c>
      <c r="L892" s="2">
        <v>44.6</v>
      </c>
      <c r="M892" s="2">
        <v>5943624</v>
      </c>
      <c r="N892" s="2">
        <v>4375942</v>
      </c>
      <c r="O892" s="2"/>
      <c r="P892" s="2"/>
      <c r="Q892">
        <f t="shared" si="26"/>
        <v>18477.456022565089</v>
      </c>
      <c r="R892">
        <f t="shared" si="27"/>
        <v>20204.450427298128</v>
      </c>
    </row>
    <row r="893" spans="1:18" ht="16" x14ac:dyDescent="0.4">
      <c r="A893" s="2">
        <v>221838</v>
      </c>
      <c r="B893" s="2" t="s">
        <v>935</v>
      </c>
      <c r="C893" s="2" t="s">
        <v>35</v>
      </c>
      <c r="D893" s="2">
        <v>4806</v>
      </c>
      <c r="E893" s="2">
        <v>62.9</v>
      </c>
      <c r="F893" s="2" t="s">
        <v>36</v>
      </c>
      <c r="G893" s="2" t="s">
        <v>37</v>
      </c>
      <c r="H893" s="2">
        <v>1</v>
      </c>
      <c r="I893" s="2">
        <v>7</v>
      </c>
      <c r="J893" s="2" t="s">
        <v>38</v>
      </c>
      <c r="K893" s="2">
        <v>326</v>
      </c>
      <c r="L893" s="2">
        <v>40.5</v>
      </c>
      <c r="M893" s="2">
        <v>5314250</v>
      </c>
      <c r="N893" s="2">
        <v>2329872</v>
      </c>
      <c r="O893" s="2"/>
      <c r="P893" s="2"/>
      <c r="Q893">
        <f t="shared" si="26"/>
        <v>17646.53487843672</v>
      </c>
      <c r="R893">
        <f t="shared" si="27"/>
        <v>27397.27792957674</v>
      </c>
    </row>
    <row r="894" spans="1:18" ht="16" x14ac:dyDescent="0.4">
      <c r="A894" s="2">
        <v>221847</v>
      </c>
      <c r="B894" s="2" t="s">
        <v>936</v>
      </c>
      <c r="C894" s="2" t="s">
        <v>35</v>
      </c>
      <c r="D894" s="2">
        <v>7974</v>
      </c>
      <c r="E894" s="2">
        <v>45.2</v>
      </c>
      <c r="F894" s="2" t="s">
        <v>36</v>
      </c>
      <c r="G894" s="2" t="s">
        <v>37</v>
      </c>
      <c r="H894" s="2">
        <v>1</v>
      </c>
      <c r="I894" s="2">
        <v>38</v>
      </c>
      <c r="J894" s="2" t="s">
        <v>38</v>
      </c>
      <c r="K894" s="2">
        <v>314</v>
      </c>
      <c r="L894" s="2">
        <v>45.5</v>
      </c>
      <c r="M894" s="2">
        <v>6027770</v>
      </c>
      <c r="N894" s="2">
        <v>3825167</v>
      </c>
      <c r="O894" s="2"/>
      <c r="P894" s="2"/>
      <c r="Q894">
        <f t="shared" si="26"/>
        <v>26773.759361657449</v>
      </c>
      <c r="R894">
        <f t="shared" si="27"/>
        <v>35223.338982060413</v>
      </c>
    </row>
    <row r="895" spans="1:18" ht="16" x14ac:dyDescent="0.4">
      <c r="A895" s="2">
        <v>221892</v>
      </c>
      <c r="B895" s="2" t="s">
        <v>937</v>
      </c>
      <c r="C895" s="2" t="s">
        <v>35</v>
      </c>
      <c r="D895" s="2">
        <v>1913</v>
      </c>
      <c r="E895" s="2">
        <v>61.4</v>
      </c>
      <c r="F895" s="2" t="s">
        <v>47</v>
      </c>
      <c r="G895" s="2" t="s">
        <v>37</v>
      </c>
      <c r="H895" s="2">
        <v>2</v>
      </c>
      <c r="I895" s="2">
        <v>35</v>
      </c>
      <c r="J895" s="2" t="s">
        <v>41</v>
      </c>
      <c r="K895" s="2">
        <v>315</v>
      </c>
      <c r="L895" s="2">
        <v>42.5</v>
      </c>
      <c r="M895" s="2">
        <v>2035122</v>
      </c>
      <c r="N895" s="2">
        <v>2089359</v>
      </c>
      <c r="O895" s="2"/>
      <c r="P895" s="2"/>
      <c r="Q895">
        <f t="shared" si="26"/>
        <v>15606.789915966387</v>
      </c>
      <c r="R895">
        <f t="shared" si="27"/>
        <v>11236.008281573497</v>
      </c>
    </row>
    <row r="896" spans="1:18" ht="16" x14ac:dyDescent="0.4">
      <c r="A896" s="2">
        <v>221953</v>
      </c>
      <c r="B896" s="2" t="s">
        <v>938</v>
      </c>
      <c r="C896" s="2" t="s">
        <v>35</v>
      </c>
      <c r="D896" s="2">
        <v>1223</v>
      </c>
      <c r="E896" s="2">
        <v>51.9</v>
      </c>
      <c r="F896" s="2" t="s">
        <v>47</v>
      </c>
      <c r="G896" s="2" t="s">
        <v>37</v>
      </c>
      <c r="H896" s="2">
        <v>2</v>
      </c>
      <c r="I896" s="2">
        <v>38</v>
      </c>
      <c r="J896" s="2" t="s">
        <v>38</v>
      </c>
      <c r="K896" s="2">
        <v>570</v>
      </c>
      <c r="L896" s="2">
        <v>38.799999999999997</v>
      </c>
      <c r="M896" s="2">
        <v>4142176</v>
      </c>
      <c r="N896" s="2">
        <v>2629431</v>
      </c>
      <c r="O896" s="2"/>
      <c r="P896" s="2"/>
      <c r="Q896">
        <f t="shared" si="26"/>
        <v>11889.270211611505</v>
      </c>
      <c r="R896">
        <f t="shared" si="27"/>
        <v>11874.142873523679</v>
      </c>
    </row>
    <row r="897" spans="1:18" ht="16" x14ac:dyDescent="0.4">
      <c r="A897" s="2">
        <v>221971</v>
      </c>
      <c r="B897" s="2" t="s">
        <v>939</v>
      </c>
      <c r="C897" s="2" t="s">
        <v>35</v>
      </c>
      <c r="D897" s="2">
        <v>1795</v>
      </c>
      <c r="E897" s="2">
        <v>66.400000000000006</v>
      </c>
      <c r="F897" s="2" t="s">
        <v>47</v>
      </c>
      <c r="G897" s="2" t="s">
        <v>37</v>
      </c>
      <c r="H897" s="2">
        <v>2</v>
      </c>
      <c r="I897" s="2">
        <v>38</v>
      </c>
      <c r="J897" s="2" t="s">
        <v>41</v>
      </c>
      <c r="K897" s="2">
        <v>195</v>
      </c>
      <c r="L897" s="2">
        <v>53.8</v>
      </c>
      <c r="M897" s="2">
        <v>2339634</v>
      </c>
      <c r="N897" s="2">
        <v>2975254</v>
      </c>
      <c r="O897" s="2"/>
      <c r="P897" s="2"/>
      <c r="Q897">
        <f t="shared" si="26"/>
        <v>28360.061004670668</v>
      </c>
      <c r="R897">
        <f t="shared" si="27"/>
        <v>25969.96336996337</v>
      </c>
    </row>
    <row r="898" spans="1:18" ht="16" x14ac:dyDescent="0.4">
      <c r="A898" s="2">
        <v>221999</v>
      </c>
      <c r="B898" s="2" t="s">
        <v>940</v>
      </c>
      <c r="C898" s="2" t="s">
        <v>35</v>
      </c>
      <c r="D898" s="2">
        <v>6824</v>
      </c>
      <c r="E898" s="2">
        <v>51.7</v>
      </c>
      <c r="F898" s="2" t="s">
        <v>47</v>
      </c>
      <c r="G898" s="2" t="s">
        <v>37</v>
      </c>
      <c r="H898" s="2">
        <v>1</v>
      </c>
      <c r="I898" s="2">
        <v>11</v>
      </c>
      <c r="J898" s="2" t="s">
        <v>38</v>
      </c>
      <c r="K898" s="2">
        <v>411</v>
      </c>
      <c r="L898" s="2">
        <v>54</v>
      </c>
      <c r="M898" s="2">
        <v>51223591</v>
      </c>
      <c r="N898" s="2">
        <v>17853963</v>
      </c>
      <c r="O898" s="2"/>
      <c r="P898" s="2"/>
      <c r="Q898">
        <f t="shared" si="26"/>
        <v>80444.998648283305</v>
      </c>
      <c r="R898">
        <f t="shared" si="27"/>
        <v>270938.27885327407</v>
      </c>
    </row>
    <row r="899" spans="1:18" ht="16" x14ac:dyDescent="0.4">
      <c r="A899" s="2">
        <v>222178</v>
      </c>
      <c r="B899" s="2" t="s">
        <v>941</v>
      </c>
      <c r="C899" s="2" t="s">
        <v>68</v>
      </c>
      <c r="D899" s="2">
        <v>3344</v>
      </c>
      <c r="E899" s="2">
        <v>60.5</v>
      </c>
      <c r="F899" s="2" t="s">
        <v>47</v>
      </c>
      <c r="G899" s="2" t="s">
        <v>37</v>
      </c>
      <c r="H899" s="2">
        <v>1</v>
      </c>
      <c r="I899" s="2">
        <v>10</v>
      </c>
      <c r="J899" s="2" t="s">
        <v>38</v>
      </c>
      <c r="K899" s="2">
        <v>533</v>
      </c>
      <c r="L899" s="2">
        <v>39.799999999999997</v>
      </c>
      <c r="M899" s="2">
        <v>10348534</v>
      </c>
      <c r="N899" s="2">
        <v>5989573</v>
      </c>
      <c r="O899" s="2"/>
      <c r="P899" s="2"/>
      <c r="Q899">
        <f t="shared" ref="Q899:Q962" si="28">N899/(K899*(0.01*L899))</f>
        <v>28234.856270093434</v>
      </c>
      <c r="R899">
        <f t="shared" ref="R899:R962" si="29">M899/(K899*(0.01*(100-L899)))</f>
        <v>32251.887080588152</v>
      </c>
    </row>
    <row r="900" spans="1:18" ht="16" x14ac:dyDescent="0.4">
      <c r="A900" s="2">
        <v>222831</v>
      </c>
      <c r="B900" s="2" t="s">
        <v>942</v>
      </c>
      <c r="C900" s="2" t="s">
        <v>68</v>
      </c>
      <c r="D900" s="2">
        <v>5325</v>
      </c>
      <c r="E900" s="2">
        <v>56.7</v>
      </c>
      <c r="F900" s="2" t="s">
        <v>36</v>
      </c>
      <c r="G900" s="2" t="s">
        <v>37</v>
      </c>
      <c r="H900" s="2">
        <v>2</v>
      </c>
      <c r="I900" s="2">
        <v>10</v>
      </c>
      <c r="J900" s="2" t="s">
        <v>38</v>
      </c>
      <c r="K900" s="2">
        <v>454</v>
      </c>
      <c r="L900" s="2">
        <v>37.4</v>
      </c>
      <c r="M900" s="2">
        <v>3069423</v>
      </c>
      <c r="N900" s="2">
        <v>2549873</v>
      </c>
      <c r="O900" s="2"/>
      <c r="P900" s="2"/>
      <c r="Q900">
        <f t="shared" si="28"/>
        <v>15017.273669579967</v>
      </c>
      <c r="R900">
        <f t="shared" si="29"/>
        <v>10800.069668266457</v>
      </c>
    </row>
    <row r="901" spans="1:18" ht="16" x14ac:dyDescent="0.4">
      <c r="A901" s="2">
        <v>222983</v>
      </c>
      <c r="B901" s="2" t="s">
        <v>943</v>
      </c>
      <c r="C901" s="2" t="s">
        <v>68</v>
      </c>
      <c r="D901" s="2">
        <v>1290</v>
      </c>
      <c r="E901" s="2">
        <v>52</v>
      </c>
      <c r="F901" s="2" t="s">
        <v>47</v>
      </c>
      <c r="G901" s="2" t="s">
        <v>37</v>
      </c>
      <c r="H901" s="2">
        <v>3</v>
      </c>
      <c r="I901" s="2">
        <v>38</v>
      </c>
      <c r="J901" s="2" t="s">
        <v>38</v>
      </c>
      <c r="K901" s="2">
        <v>396</v>
      </c>
      <c r="L901" s="2">
        <v>33.6</v>
      </c>
      <c r="M901" s="2">
        <v>1012910</v>
      </c>
      <c r="N901" s="2">
        <v>618316</v>
      </c>
      <c r="O901" s="2"/>
      <c r="P901" s="2"/>
      <c r="Q901">
        <f t="shared" si="28"/>
        <v>4647.0358345358345</v>
      </c>
      <c r="R901">
        <f t="shared" si="29"/>
        <v>3852.1890592673722</v>
      </c>
    </row>
    <row r="902" spans="1:18" ht="16" x14ac:dyDescent="0.4">
      <c r="A902" s="2">
        <v>223232</v>
      </c>
      <c r="B902" s="2" t="s">
        <v>944</v>
      </c>
      <c r="C902" s="2" t="s">
        <v>68</v>
      </c>
      <c r="D902" s="2">
        <v>13757</v>
      </c>
      <c r="E902" s="2">
        <v>59.9</v>
      </c>
      <c r="F902" s="2" t="s">
        <v>47</v>
      </c>
      <c r="G902" s="2" t="s">
        <v>37</v>
      </c>
      <c r="H902" s="2">
        <v>1</v>
      </c>
      <c r="I902" s="2">
        <v>38</v>
      </c>
      <c r="J902" s="2" t="s">
        <v>38</v>
      </c>
      <c r="K902" s="2">
        <v>627</v>
      </c>
      <c r="L902" s="2">
        <v>58.9</v>
      </c>
      <c r="M902" s="2">
        <v>53478756</v>
      </c>
      <c r="N902" s="2">
        <v>26240975</v>
      </c>
      <c r="O902" s="2"/>
      <c r="P902" s="2"/>
      <c r="Q902">
        <f t="shared" si="28"/>
        <v>71055.407077657102</v>
      </c>
      <c r="R902">
        <f t="shared" si="29"/>
        <v>207525.72206894142</v>
      </c>
    </row>
    <row r="903" spans="1:18" ht="16" x14ac:dyDescent="0.4">
      <c r="A903" s="2">
        <v>224004</v>
      </c>
      <c r="B903" s="2" t="s">
        <v>945</v>
      </c>
      <c r="C903" s="2" t="s">
        <v>68</v>
      </c>
      <c r="D903" s="2">
        <v>1436</v>
      </c>
      <c r="E903" s="2">
        <v>66</v>
      </c>
      <c r="F903" s="2" t="s">
        <v>47</v>
      </c>
      <c r="G903" s="2" t="s">
        <v>37</v>
      </c>
      <c r="H903" s="2">
        <v>3</v>
      </c>
      <c r="I903" s="2">
        <v>37</v>
      </c>
      <c r="J903" s="2" t="s">
        <v>41</v>
      </c>
      <c r="K903" s="2">
        <v>303</v>
      </c>
      <c r="L903" s="2">
        <v>45.9</v>
      </c>
      <c r="M903" s="2">
        <v>848370</v>
      </c>
      <c r="N903" s="2">
        <v>713888</v>
      </c>
      <c r="O903" s="2"/>
      <c r="P903" s="2"/>
      <c r="Q903">
        <f t="shared" si="28"/>
        <v>5133.0414087160352</v>
      </c>
      <c r="R903">
        <f t="shared" si="29"/>
        <v>5175.4177266155448</v>
      </c>
    </row>
    <row r="904" spans="1:18" ht="16" x14ac:dyDescent="0.4">
      <c r="A904" s="2">
        <v>224147</v>
      </c>
      <c r="B904" s="2" t="s">
        <v>946</v>
      </c>
      <c r="C904" s="2" t="s">
        <v>68</v>
      </c>
      <c r="D904" s="2">
        <v>7189</v>
      </c>
      <c r="E904" s="2">
        <v>60.2</v>
      </c>
      <c r="F904" s="2" t="s">
        <v>36</v>
      </c>
      <c r="G904" s="2" t="s">
        <v>37</v>
      </c>
      <c r="H904" s="2">
        <v>1</v>
      </c>
      <c r="I904" s="2">
        <v>38</v>
      </c>
      <c r="J904" s="2" t="s">
        <v>41</v>
      </c>
      <c r="K904" s="2">
        <v>303</v>
      </c>
      <c r="L904" s="2">
        <v>56.1</v>
      </c>
      <c r="M904" s="2">
        <v>3600369</v>
      </c>
      <c r="N904" s="2">
        <v>5111748</v>
      </c>
      <c r="O904" s="2"/>
      <c r="P904" s="2"/>
      <c r="Q904">
        <f t="shared" si="28"/>
        <v>30072.113093662305</v>
      </c>
      <c r="R904">
        <f t="shared" si="29"/>
        <v>27066.983919348655</v>
      </c>
    </row>
    <row r="905" spans="1:18" ht="16" x14ac:dyDescent="0.4">
      <c r="A905" s="2">
        <v>224226</v>
      </c>
      <c r="B905" s="2" t="s">
        <v>947</v>
      </c>
      <c r="C905" s="2" t="s">
        <v>68</v>
      </c>
      <c r="D905" s="2">
        <v>2297</v>
      </c>
      <c r="E905" s="2">
        <v>58.2</v>
      </c>
      <c r="F905" s="2" t="s">
        <v>47</v>
      </c>
      <c r="G905" s="2" t="s">
        <v>37</v>
      </c>
      <c r="H905" s="2">
        <v>2</v>
      </c>
      <c r="I905" s="2">
        <v>8</v>
      </c>
      <c r="J905" s="2" t="s">
        <v>41</v>
      </c>
      <c r="K905" s="2">
        <v>379</v>
      </c>
      <c r="L905" s="2">
        <v>47</v>
      </c>
      <c r="M905" s="2">
        <v>3470395</v>
      </c>
      <c r="N905" s="2">
        <v>2770236</v>
      </c>
      <c r="O905" s="2"/>
      <c r="P905" s="2"/>
      <c r="Q905">
        <f t="shared" si="28"/>
        <v>15551.765564475381</v>
      </c>
      <c r="R905">
        <f t="shared" si="29"/>
        <v>17276.820829392145</v>
      </c>
    </row>
    <row r="906" spans="1:18" ht="16" x14ac:dyDescent="0.4">
      <c r="A906" s="2">
        <v>224323</v>
      </c>
      <c r="B906" s="2" t="s">
        <v>948</v>
      </c>
      <c r="C906" s="2" t="s">
        <v>68</v>
      </c>
      <c r="D906" s="2">
        <v>1442</v>
      </c>
      <c r="E906" s="2">
        <v>53.6</v>
      </c>
      <c r="F906" s="2" t="s">
        <v>47</v>
      </c>
      <c r="G906" s="2" t="s">
        <v>37</v>
      </c>
      <c r="H906" s="2">
        <v>3</v>
      </c>
      <c r="I906" s="2">
        <v>38</v>
      </c>
      <c r="J906" s="2" t="s">
        <v>41</v>
      </c>
      <c r="K906" s="2">
        <v>264</v>
      </c>
      <c r="L906" s="2">
        <v>46.2</v>
      </c>
      <c r="M906" s="2">
        <v>786218</v>
      </c>
      <c r="N906" s="2">
        <v>696508</v>
      </c>
      <c r="O906" s="2"/>
      <c r="P906" s="2"/>
      <c r="Q906">
        <f t="shared" si="28"/>
        <v>5710.5798242161873</v>
      </c>
      <c r="R906">
        <f t="shared" si="29"/>
        <v>5535.4990424693024</v>
      </c>
    </row>
    <row r="907" spans="1:18" ht="16" x14ac:dyDescent="0.4">
      <c r="A907" s="2">
        <v>224527</v>
      </c>
      <c r="B907" s="2" t="s">
        <v>949</v>
      </c>
      <c r="C907" s="2" t="s">
        <v>68</v>
      </c>
      <c r="D907" s="2">
        <v>1230</v>
      </c>
      <c r="E907" s="2">
        <v>54.9</v>
      </c>
      <c r="F907" s="2" t="s">
        <v>47</v>
      </c>
      <c r="G907" s="2" t="s">
        <v>37</v>
      </c>
      <c r="H907" s="2">
        <v>3</v>
      </c>
      <c r="I907" s="2">
        <v>38</v>
      </c>
      <c r="J907" s="2" t="s">
        <v>38</v>
      </c>
      <c r="K907" s="2">
        <v>581</v>
      </c>
      <c r="L907" s="2">
        <v>35.799999999999997</v>
      </c>
      <c r="M907" s="2">
        <v>1775581</v>
      </c>
      <c r="N907" s="2">
        <v>1263734</v>
      </c>
      <c r="O907" s="2"/>
      <c r="P907" s="2"/>
      <c r="Q907">
        <f t="shared" si="28"/>
        <v>6075.7026509870293</v>
      </c>
      <c r="R907">
        <f t="shared" si="29"/>
        <v>4760.2452533766573</v>
      </c>
    </row>
    <row r="908" spans="1:18" ht="16" x14ac:dyDescent="0.4">
      <c r="A908" s="2">
        <v>224554</v>
      </c>
      <c r="B908" s="2" t="s">
        <v>950</v>
      </c>
      <c r="C908" s="2" t="s">
        <v>68</v>
      </c>
      <c r="D908" s="2">
        <v>6141</v>
      </c>
      <c r="E908" s="2">
        <v>59.1</v>
      </c>
      <c r="F908" s="2" t="s">
        <v>36</v>
      </c>
      <c r="G908" s="2" t="s">
        <v>37</v>
      </c>
      <c r="H908" s="2">
        <v>2</v>
      </c>
      <c r="I908" s="2">
        <v>38</v>
      </c>
      <c r="J908" s="2" t="s">
        <v>38</v>
      </c>
      <c r="K908" s="2">
        <v>494</v>
      </c>
      <c r="L908" s="2">
        <v>40.1</v>
      </c>
      <c r="M908" s="2">
        <v>4568467</v>
      </c>
      <c r="N908" s="2">
        <v>3173992</v>
      </c>
      <c r="O908" s="2"/>
      <c r="P908" s="2"/>
      <c r="Q908">
        <f t="shared" si="28"/>
        <v>16022.65591083021</v>
      </c>
      <c r="R908">
        <f t="shared" si="29"/>
        <v>15438.913033192974</v>
      </c>
    </row>
    <row r="909" spans="1:18" ht="16" x14ac:dyDescent="0.4">
      <c r="A909" s="2">
        <v>225247</v>
      </c>
      <c r="B909" s="2" t="s">
        <v>951</v>
      </c>
      <c r="C909" s="2" t="s">
        <v>68</v>
      </c>
      <c r="D909" s="2">
        <v>1614</v>
      </c>
      <c r="E909" s="2">
        <v>53.7</v>
      </c>
      <c r="F909" s="2" t="s">
        <v>47</v>
      </c>
      <c r="G909" s="2" t="s">
        <v>37</v>
      </c>
      <c r="H909" s="2">
        <v>3</v>
      </c>
      <c r="I909" s="2">
        <v>38</v>
      </c>
      <c r="J909" s="2" t="s">
        <v>38</v>
      </c>
      <c r="K909" s="2">
        <v>559</v>
      </c>
      <c r="L909" s="2">
        <v>33.5</v>
      </c>
      <c r="M909" s="2">
        <v>1614688</v>
      </c>
      <c r="N909" s="2">
        <v>911443</v>
      </c>
      <c r="O909" s="2"/>
      <c r="P909" s="2"/>
      <c r="Q909">
        <f t="shared" si="28"/>
        <v>4867.1294689343977</v>
      </c>
      <c r="R909">
        <f t="shared" si="29"/>
        <v>4343.653409014486</v>
      </c>
    </row>
    <row r="910" spans="1:18" ht="16" x14ac:dyDescent="0.4">
      <c r="A910" s="2">
        <v>225399</v>
      </c>
      <c r="B910" s="2" t="s">
        <v>952</v>
      </c>
      <c r="C910" s="2" t="s">
        <v>68</v>
      </c>
      <c r="D910" s="2">
        <v>2067</v>
      </c>
      <c r="E910" s="2">
        <v>65.099999999999994</v>
      </c>
      <c r="F910" s="2" t="s">
        <v>47</v>
      </c>
      <c r="G910" s="2" t="s">
        <v>37</v>
      </c>
      <c r="H910" s="2">
        <v>1</v>
      </c>
      <c r="I910" s="2">
        <v>38</v>
      </c>
      <c r="J910" s="2" t="s">
        <v>38</v>
      </c>
      <c r="K910" s="2">
        <v>413</v>
      </c>
      <c r="L910" s="2">
        <v>39.5</v>
      </c>
      <c r="M910" s="2">
        <v>8443030</v>
      </c>
      <c r="N910" s="2">
        <v>5111500</v>
      </c>
      <c r="O910" s="2"/>
      <c r="P910" s="2"/>
      <c r="Q910">
        <f t="shared" si="28"/>
        <v>31332.945106813371</v>
      </c>
      <c r="R910">
        <f t="shared" si="29"/>
        <v>33790.366798070958</v>
      </c>
    </row>
    <row r="911" spans="1:18" ht="16" x14ac:dyDescent="0.4">
      <c r="A911" s="2">
        <v>225511</v>
      </c>
      <c r="B911" s="2" t="s">
        <v>953</v>
      </c>
      <c r="C911" s="2" t="s">
        <v>68</v>
      </c>
      <c r="D911" s="2">
        <v>28038</v>
      </c>
      <c r="E911" s="2">
        <v>51</v>
      </c>
      <c r="F911" s="2" t="s">
        <v>36</v>
      </c>
      <c r="G911" s="2" t="s">
        <v>37</v>
      </c>
      <c r="H911" s="2">
        <v>1</v>
      </c>
      <c r="I911" s="2">
        <v>38</v>
      </c>
      <c r="J911" s="2" t="s">
        <v>38</v>
      </c>
      <c r="K911" s="2">
        <v>610</v>
      </c>
      <c r="L911" s="2">
        <v>47.5</v>
      </c>
      <c r="M911" s="2">
        <v>30688249</v>
      </c>
      <c r="N911" s="2">
        <v>8839186</v>
      </c>
      <c r="O911" s="2"/>
      <c r="P911" s="2"/>
      <c r="Q911">
        <f t="shared" si="28"/>
        <v>30506.250215703192</v>
      </c>
      <c r="R911">
        <f t="shared" si="29"/>
        <v>95825.914129586265</v>
      </c>
    </row>
    <row r="912" spans="1:18" ht="16" x14ac:dyDescent="0.4">
      <c r="A912" s="2">
        <v>225548</v>
      </c>
      <c r="B912" s="2" t="s">
        <v>954</v>
      </c>
      <c r="C912" s="2" t="s">
        <v>68</v>
      </c>
      <c r="D912" s="2">
        <v>738</v>
      </c>
      <c r="E912" s="2">
        <v>45.8</v>
      </c>
      <c r="F912" s="2" t="s">
        <v>47</v>
      </c>
      <c r="G912" s="2" t="s">
        <v>37</v>
      </c>
      <c r="H912" s="2">
        <v>3</v>
      </c>
      <c r="I912" s="2">
        <v>38</v>
      </c>
      <c r="J912" s="2" t="s">
        <v>38</v>
      </c>
      <c r="K912" s="2">
        <v>371</v>
      </c>
      <c r="L912" s="2">
        <v>32.1</v>
      </c>
      <c r="M912" s="2">
        <v>1222790</v>
      </c>
      <c r="N912" s="2">
        <v>626527</v>
      </c>
      <c r="O912" s="2"/>
      <c r="P912" s="2"/>
      <c r="Q912">
        <f t="shared" si="28"/>
        <v>5260.9097244963932</v>
      </c>
      <c r="R912">
        <f t="shared" si="29"/>
        <v>4854.0941371685803</v>
      </c>
    </row>
    <row r="913" spans="1:18" ht="16" x14ac:dyDescent="0.4">
      <c r="A913" s="2">
        <v>225627</v>
      </c>
      <c r="B913" s="2" t="s">
        <v>955</v>
      </c>
      <c r="C913" s="2" t="s">
        <v>68</v>
      </c>
      <c r="D913" s="2">
        <v>4029</v>
      </c>
      <c r="E913" s="2">
        <v>61.6</v>
      </c>
      <c r="F913" s="2" t="s">
        <v>47</v>
      </c>
      <c r="G913" s="2" t="s">
        <v>37</v>
      </c>
      <c r="H913" s="2">
        <v>1</v>
      </c>
      <c r="I913" s="2">
        <v>38</v>
      </c>
      <c r="J913" s="2" t="s">
        <v>38</v>
      </c>
      <c r="K913" s="2">
        <v>582</v>
      </c>
      <c r="L913" s="2">
        <v>38.700000000000003</v>
      </c>
      <c r="M913" s="2">
        <v>10258046</v>
      </c>
      <c r="N913" s="2">
        <v>6934908</v>
      </c>
      <c r="O913" s="2"/>
      <c r="P913" s="2"/>
      <c r="Q913">
        <f t="shared" si="28"/>
        <v>30789.791949705639</v>
      </c>
      <c r="R913">
        <f t="shared" si="29"/>
        <v>28752.868827186445</v>
      </c>
    </row>
    <row r="914" spans="1:18" ht="16" x14ac:dyDescent="0.4">
      <c r="A914" s="2">
        <v>226091</v>
      </c>
      <c r="B914" s="2" t="s">
        <v>956</v>
      </c>
      <c r="C914" s="2" t="s">
        <v>68</v>
      </c>
      <c r="D914" s="2">
        <v>5237</v>
      </c>
      <c r="E914" s="2">
        <v>56.5</v>
      </c>
      <c r="F914" s="2" t="s">
        <v>36</v>
      </c>
      <c r="G914" s="2" t="s">
        <v>37</v>
      </c>
      <c r="H914" s="2">
        <v>1</v>
      </c>
      <c r="I914" s="2">
        <v>38</v>
      </c>
      <c r="J914" s="2" t="s">
        <v>38</v>
      </c>
      <c r="K914" s="2">
        <v>402</v>
      </c>
      <c r="L914" s="2">
        <v>35.299999999999997</v>
      </c>
      <c r="M914" s="2">
        <v>8293885</v>
      </c>
      <c r="N914" s="2">
        <v>4458490</v>
      </c>
      <c r="O914" s="2"/>
      <c r="P914" s="2"/>
      <c r="Q914">
        <f t="shared" si="28"/>
        <v>31418.615139599453</v>
      </c>
      <c r="R914">
        <f t="shared" si="29"/>
        <v>31888.028943382007</v>
      </c>
    </row>
    <row r="915" spans="1:18" ht="16" x14ac:dyDescent="0.4">
      <c r="A915" s="2">
        <v>226152</v>
      </c>
      <c r="B915" s="2" t="s">
        <v>957</v>
      </c>
      <c r="C915" s="2" t="s">
        <v>68</v>
      </c>
      <c r="D915" s="2">
        <v>5558</v>
      </c>
      <c r="E915" s="2">
        <v>60.6</v>
      </c>
      <c r="F915" s="2" t="s">
        <v>36</v>
      </c>
      <c r="G915" s="2" t="s">
        <v>37</v>
      </c>
      <c r="H915" s="2">
        <v>2</v>
      </c>
      <c r="I915" s="2">
        <v>7</v>
      </c>
      <c r="J915" s="2" t="s">
        <v>41</v>
      </c>
      <c r="K915" s="2">
        <v>203</v>
      </c>
      <c r="L915" s="2">
        <v>49.3</v>
      </c>
      <c r="M915" s="2">
        <v>1694128</v>
      </c>
      <c r="N915" s="2">
        <v>1724655</v>
      </c>
      <c r="O915" s="2"/>
      <c r="P915" s="2"/>
      <c r="Q915">
        <f t="shared" si="28"/>
        <v>17232.935980575348</v>
      </c>
      <c r="R915">
        <f t="shared" si="29"/>
        <v>16460.46968062883</v>
      </c>
    </row>
    <row r="916" spans="1:18" ht="16" x14ac:dyDescent="0.4">
      <c r="A916" s="2">
        <v>226231</v>
      </c>
      <c r="B916" s="2" t="s">
        <v>958</v>
      </c>
      <c r="C916" s="2" t="s">
        <v>68</v>
      </c>
      <c r="D916" s="2">
        <v>1306</v>
      </c>
      <c r="E916" s="2">
        <v>33.799999999999997</v>
      </c>
      <c r="F916" s="2" t="s">
        <v>47</v>
      </c>
      <c r="G916" s="2" t="s">
        <v>37</v>
      </c>
      <c r="H916" s="2">
        <v>3</v>
      </c>
      <c r="I916" s="2">
        <v>38</v>
      </c>
      <c r="J916" s="2" t="s">
        <v>41</v>
      </c>
      <c r="K916" s="2">
        <v>328</v>
      </c>
      <c r="L916" s="2">
        <v>42.7</v>
      </c>
      <c r="M916" s="2">
        <v>731548</v>
      </c>
      <c r="N916" s="2">
        <v>717629</v>
      </c>
      <c r="O916" s="2"/>
      <c r="P916" s="2"/>
      <c r="Q916">
        <f t="shared" si="28"/>
        <v>5123.8718798195005</v>
      </c>
      <c r="R916">
        <f t="shared" si="29"/>
        <v>3892.3721959732688</v>
      </c>
    </row>
    <row r="917" spans="1:18" ht="16" x14ac:dyDescent="0.4">
      <c r="A917" s="2">
        <v>226383</v>
      </c>
      <c r="B917" s="2" t="s">
        <v>959</v>
      </c>
      <c r="C917" s="2" t="s">
        <v>68</v>
      </c>
      <c r="D917" s="2">
        <v>1200</v>
      </c>
      <c r="E917" s="2">
        <v>59.5</v>
      </c>
      <c r="F917" s="2" t="s">
        <v>47</v>
      </c>
      <c r="G917" s="2" t="s">
        <v>37</v>
      </c>
      <c r="H917" s="2">
        <v>2</v>
      </c>
      <c r="I917" s="2">
        <v>37</v>
      </c>
      <c r="J917" s="2" t="s">
        <v>41</v>
      </c>
      <c r="K917" s="2">
        <v>281</v>
      </c>
      <c r="L917" s="2">
        <v>55.5</v>
      </c>
      <c r="M917" s="2">
        <v>2244738</v>
      </c>
      <c r="N917" s="2">
        <v>2652198</v>
      </c>
      <c r="O917" s="2"/>
      <c r="P917" s="2"/>
      <c r="Q917">
        <f t="shared" si="28"/>
        <v>17006.174858132152</v>
      </c>
      <c r="R917">
        <f t="shared" si="29"/>
        <v>17951.441481066817</v>
      </c>
    </row>
    <row r="918" spans="1:18" ht="16" x14ac:dyDescent="0.4">
      <c r="A918" s="2">
        <v>226471</v>
      </c>
      <c r="B918" s="2" t="s">
        <v>960</v>
      </c>
      <c r="C918" s="2" t="s">
        <v>68</v>
      </c>
      <c r="D918" s="2">
        <v>3112</v>
      </c>
      <c r="E918" s="2">
        <v>64.7</v>
      </c>
      <c r="F918" s="2" t="s">
        <v>47</v>
      </c>
      <c r="G918" s="2" t="s">
        <v>37</v>
      </c>
      <c r="H918" s="2">
        <v>3</v>
      </c>
      <c r="I918" s="2">
        <v>38</v>
      </c>
      <c r="J918" s="2" t="s">
        <v>38</v>
      </c>
      <c r="K918" s="2">
        <v>514</v>
      </c>
      <c r="L918" s="2">
        <v>32.1</v>
      </c>
      <c r="M918" s="2">
        <v>2218657</v>
      </c>
      <c r="N918" s="2">
        <v>1149009</v>
      </c>
      <c r="O918" s="2"/>
      <c r="P918" s="2"/>
      <c r="Q918">
        <f t="shared" si="28"/>
        <v>6963.9441434233968</v>
      </c>
      <c r="R918">
        <f t="shared" si="29"/>
        <v>6357.0740904167833</v>
      </c>
    </row>
    <row r="919" spans="1:18" ht="16" x14ac:dyDescent="0.4">
      <c r="A919" s="2">
        <v>226587</v>
      </c>
      <c r="B919" s="2" t="s">
        <v>961</v>
      </c>
      <c r="C919" s="2" t="s">
        <v>68</v>
      </c>
      <c r="D919" s="2">
        <v>1019</v>
      </c>
      <c r="E919" s="2">
        <v>50.5</v>
      </c>
      <c r="F919" s="2" t="s">
        <v>47</v>
      </c>
      <c r="G919" s="2" t="s">
        <v>37</v>
      </c>
      <c r="H919" s="2">
        <v>3</v>
      </c>
      <c r="I919" s="2">
        <v>38</v>
      </c>
      <c r="J919" s="2" t="s">
        <v>38</v>
      </c>
      <c r="K919" s="2">
        <v>474</v>
      </c>
      <c r="L919" s="2">
        <v>39.200000000000003</v>
      </c>
      <c r="M919" s="2">
        <v>1695588</v>
      </c>
      <c r="N919" s="2">
        <v>988233</v>
      </c>
      <c r="O919" s="2"/>
      <c r="P919" s="2"/>
      <c r="Q919">
        <f t="shared" si="28"/>
        <v>5318.5707827434762</v>
      </c>
      <c r="R919">
        <f t="shared" si="29"/>
        <v>5883.535976015989</v>
      </c>
    </row>
    <row r="920" spans="1:18" ht="16" x14ac:dyDescent="0.4">
      <c r="A920" s="2">
        <v>226833</v>
      </c>
      <c r="B920" s="2" t="s">
        <v>962</v>
      </c>
      <c r="C920" s="2" t="s">
        <v>68</v>
      </c>
      <c r="D920" s="2">
        <v>4084</v>
      </c>
      <c r="E920" s="2">
        <v>61.3</v>
      </c>
      <c r="F920" s="2" t="s">
        <v>36</v>
      </c>
      <c r="G920" s="2" t="s">
        <v>37</v>
      </c>
      <c r="H920" s="2">
        <v>2</v>
      </c>
      <c r="I920" s="2">
        <v>38</v>
      </c>
      <c r="J920" s="2" t="s">
        <v>38</v>
      </c>
      <c r="K920" s="2">
        <v>355</v>
      </c>
      <c r="L920" s="2">
        <v>45.1</v>
      </c>
      <c r="M920" s="2">
        <v>2804634</v>
      </c>
      <c r="N920" s="2">
        <v>2101853</v>
      </c>
      <c r="O920" s="2"/>
      <c r="P920" s="2"/>
      <c r="Q920">
        <f t="shared" si="28"/>
        <v>13127.966022297865</v>
      </c>
      <c r="R920">
        <f t="shared" si="29"/>
        <v>14390.487185407526</v>
      </c>
    </row>
    <row r="921" spans="1:18" ht="16" x14ac:dyDescent="0.4">
      <c r="A921" s="2">
        <v>227216</v>
      </c>
      <c r="B921" s="2" t="s">
        <v>963</v>
      </c>
      <c r="C921" s="2" t="s">
        <v>68</v>
      </c>
      <c r="D921" s="2">
        <v>26055</v>
      </c>
      <c r="E921" s="2">
        <v>53.5</v>
      </c>
      <c r="F921" s="2" t="s">
        <v>36</v>
      </c>
      <c r="G921" s="2" t="s">
        <v>37</v>
      </c>
      <c r="H921" s="2">
        <v>1</v>
      </c>
      <c r="I921" s="2">
        <v>38</v>
      </c>
      <c r="J921" s="2" t="s">
        <v>38</v>
      </c>
      <c r="K921" s="2">
        <v>462</v>
      </c>
      <c r="L921" s="2">
        <v>49.6</v>
      </c>
      <c r="M921" s="2">
        <v>15159082</v>
      </c>
      <c r="N921" s="2">
        <v>7202501</v>
      </c>
      <c r="O921" s="2"/>
      <c r="P921" s="2"/>
      <c r="Q921">
        <f t="shared" si="28"/>
        <v>31431.10686356654</v>
      </c>
      <c r="R921">
        <f t="shared" si="29"/>
        <v>65102.908335051186</v>
      </c>
    </row>
    <row r="922" spans="1:18" ht="16" x14ac:dyDescent="0.4">
      <c r="A922" s="2">
        <v>227368</v>
      </c>
      <c r="B922" s="2" t="s">
        <v>964</v>
      </c>
      <c r="C922" s="2" t="s">
        <v>68</v>
      </c>
      <c r="D922" s="2">
        <v>19899</v>
      </c>
      <c r="E922" s="2">
        <v>58.1</v>
      </c>
      <c r="F922" s="2" t="s">
        <v>36</v>
      </c>
      <c r="G922" s="2" t="s">
        <v>37</v>
      </c>
      <c r="H922" s="2">
        <v>1</v>
      </c>
      <c r="I922" s="2">
        <v>35</v>
      </c>
      <c r="J922" s="2" t="s">
        <v>41</v>
      </c>
      <c r="K922" s="2">
        <v>283</v>
      </c>
      <c r="L922" s="2">
        <v>45.2</v>
      </c>
      <c r="M922" s="2">
        <v>4152473</v>
      </c>
      <c r="N922" s="2">
        <v>3701723</v>
      </c>
      <c r="O922" s="2"/>
      <c r="P922" s="2"/>
      <c r="Q922">
        <f t="shared" si="28"/>
        <v>28938.701960661685</v>
      </c>
      <c r="R922">
        <f t="shared" si="29"/>
        <v>26775.637718913626</v>
      </c>
    </row>
    <row r="923" spans="1:18" ht="16" x14ac:dyDescent="0.4">
      <c r="A923" s="2">
        <v>227526</v>
      </c>
      <c r="B923" s="2" t="s">
        <v>965</v>
      </c>
      <c r="C923" s="2" t="s">
        <v>68</v>
      </c>
      <c r="D923" s="2">
        <v>7501</v>
      </c>
      <c r="E923" s="2">
        <v>65.900000000000006</v>
      </c>
      <c r="F923" s="2" t="s">
        <v>36</v>
      </c>
      <c r="G923" s="2" t="s">
        <v>37</v>
      </c>
      <c r="H923" s="2">
        <v>1</v>
      </c>
      <c r="I923" s="2">
        <v>38</v>
      </c>
      <c r="J923" s="2" t="s">
        <v>38</v>
      </c>
      <c r="K923" s="2">
        <v>419</v>
      </c>
      <c r="L923" s="2">
        <v>48.9</v>
      </c>
      <c r="M923" s="2">
        <v>5856370</v>
      </c>
      <c r="N923" s="2">
        <v>3424405</v>
      </c>
      <c r="O923" s="2"/>
      <c r="P923" s="2"/>
      <c r="Q923">
        <f t="shared" si="28"/>
        <v>16713.301218696772</v>
      </c>
      <c r="R923">
        <f t="shared" si="29"/>
        <v>27352.283182864801</v>
      </c>
    </row>
    <row r="924" spans="1:18" ht="16" x14ac:dyDescent="0.4">
      <c r="A924" s="2">
        <v>227757</v>
      </c>
      <c r="B924" s="2" t="s">
        <v>966</v>
      </c>
      <c r="C924" s="2" t="s">
        <v>68</v>
      </c>
      <c r="D924" s="2">
        <v>3931</v>
      </c>
      <c r="E924" s="2">
        <v>48.3</v>
      </c>
      <c r="F924" s="2" t="s">
        <v>47</v>
      </c>
      <c r="G924" s="2" t="s">
        <v>37</v>
      </c>
      <c r="H924" s="2">
        <v>1</v>
      </c>
      <c r="I924" s="2">
        <v>38</v>
      </c>
      <c r="J924" s="2" t="s">
        <v>38</v>
      </c>
      <c r="K924" s="2">
        <v>461</v>
      </c>
      <c r="L924" s="2">
        <v>44.3</v>
      </c>
      <c r="M924" s="2">
        <v>21611610</v>
      </c>
      <c r="N924" s="2">
        <v>9891354</v>
      </c>
      <c r="O924" s="2"/>
      <c r="P924" s="2"/>
      <c r="Q924">
        <f t="shared" si="28"/>
        <v>48434.0843097986</v>
      </c>
      <c r="R924">
        <f t="shared" si="29"/>
        <v>84164.897946467157</v>
      </c>
    </row>
    <row r="925" spans="1:18" ht="16" x14ac:dyDescent="0.4">
      <c r="A925" s="2">
        <v>227845</v>
      </c>
      <c r="B925" s="2" t="s">
        <v>967</v>
      </c>
      <c r="C925" s="2" t="s">
        <v>68</v>
      </c>
      <c r="D925" s="2">
        <v>3167</v>
      </c>
      <c r="E925" s="2">
        <v>62.6</v>
      </c>
      <c r="F925" s="2" t="s">
        <v>47</v>
      </c>
      <c r="G925" s="2" t="s">
        <v>37</v>
      </c>
      <c r="H925" s="2">
        <v>2</v>
      </c>
      <c r="I925" s="2">
        <v>37</v>
      </c>
      <c r="J925" s="2" t="s">
        <v>41</v>
      </c>
      <c r="K925" s="2">
        <v>285</v>
      </c>
      <c r="L925" s="2">
        <v>42.5</v>
      </c>
      <c r="M925" s="2">
        <v>4107109</v>
      </c>
      <c r="N925" s="2">
        <v>4233113</v>
      </c>
      <c r="O925" s="2"/>
      <c r="P925" s="2"/>
      <c r="Q925">
        <f t="shared" si="28"/>
        <v>34948.301341589264</v>
      </c>
      <c r="R925">
        <f t="shared" si="29"/>
        <v>25062.450038138821</v>
      </c>
    </row>
    <row r="926" spans="1:18" ht="16" x14ac:dyDescent="0.4">
      <c r="A926" s="2">
        <v>227863</v>
      </c>
      <c r="B926" s="2" t="s">
        <v>478</v>
      </c>
      <c r="C926" s="2" t="s">
        <v>68</v>
      </c>
      <c r="D926" s="2">
        <v>1687</v>
      </c>
      <c r="E926" s="2">
        <v>67.900000000000006</v>
      </c>
      <c r="F926" s="2" t="s">
        <v>47</v>
      </c>
      <c r="G926" s="2" t="s">
        <v>37</v>
      </c>
      <c r="H926" s="2">
        <v>3</v>
      </c>
      <c r="I926" s="2">
        <v>38</v>
      </c>
      <c r="J926" s="2" t="s">
        <v>41</v>
      </c>
      <c r="K926" s="2">
        <v>185</v>
      </c>
      <c r="L926" s="2">
        <v>38.4</v>
      </c>
      <c r="M926" s="2">
        <v>807880</v>
      </c>
      <c r="N926" s="2">
        <v>698636</v>
      </c>
      <c r="O926" s="2"/>
      <c r="P926" s="2"/>
      <c r="Q926">
        <f t="shared" si="28"/>
        <v>9834.4031531531527</v>
      </c>
      <c r="R926">
        <f t="shared" si="29"/>
        <v>7089.1540891540899</v>
      </c>
    </row>
    <row r="927" spans="1:18" ht="16" x14ac:dyDescent="0.4">
      <c r="A927" s="2">
        <v>227881</v>
      </c>
      <c r="B927" s="2" t="s">
        <v>968</v>
      </c>
      <c r="C927" s="2" t="s">
        <v>68</v>
      </c>
      <c r="D927" s="2">
        <v>15311</v>
      </c>
      <c r="E927" s="2">
        <v>62.1</v>
      </c>
      <c r="F927" s="2" t="s">
        <v>36</v>
      </c>
      <c r="G927" s="2" t="s">
        <v>37</v>
      </c>
      <c r="H927" s="2">
        <v>1</v>
      </c>
      <c r="I927" s="2">
        <v>38</v>
      </c>
      <c r="J927" s="2" t="s">
        <v>38</v>
      </c>
      <c r="K927" s="2">
        <v>460</v>
      </c>
      <c r="L927" s="2">
        <v>42.2</v>
      </c>
      <c r="M927" s="2">
        <v>7563271</v>
      </c>
      <c r="N927" s="2">
        <v>4470793</v>
      </c>
      <c r="O927" s="2"/>
      <c r="P927" s="2"/>
      <c r="Q927">
        <f t="shared" si="28"/>
        <v>23031.0787141974</v>
      </c>
      <c r="R927">
        <f t="shared" si="29"/>
        <v>28446.182488340604</v>
      </c>
    </row>
    <row r="928" spans="1:18" ht="16" x14ac:dyDescent="0.4">
      <c r="A928" s="2">
        <v>228042</v>
      </c>
      <c r="B928" s="2" t="s">
        <v>969</v>
      </c>
      <c r="C928" s="2" t="s">
        <v>68</v>
      </c>
      <c r="D928" s="2">
        <v>1062</v>
      </c>
      <c r="E928" s="2">
        <v>54.2</v>
      </c>
      <c r="F928" s="2" t="s">
        <v>47</v>
      </c>
      <c r="G928" s="2" t="s">
        <v>37</v>
      </c>
      <c r="H928" s="2">
        <v>3</v>
      </c>
      <c r="I928" s="2">
        <v>38</v>
      </c>
      <c r="J928" s="2" t="s">
        <v>41</v>
      </c>
      <c r="K928" s="2">
        <v>313</v>
      </c>
      <c r="L928" s="2">
        <v>39.9</v>
      </c>
      <c r="M928" s="2">
        <v>654417</v>
      </c>
      <c r="N928" s="2">
        <v>635403</v>
      </c>
      <c r="O928" s="2"/>
      <c r="P928" s="2"/>
      <c r="Q928">
        <f t="shared" si="28"/>
        <v>5087.8233923466814</v>
      </c>
      <c r="R928">
        <f t="shared" si="29"/>
        <v>3478.8504781700362</v>
      </c>
    </row>
    <row r="929" spans="1:18" ht="16" x14ac:dyDescent="0.4">
      <c r="A929" s="2">
        <v>228149</v>
      </c>
      <c r="B929" s="2" t="s">
        <v>970</v>
      </c>
      <c r="C929" s="2" t="s">
        <v>68</v>
      </c>
      <c r="D929" s="2">
        <v>2160</v>
      </c>
      <c r="E929" s="2">
        <v>56.1</v>
      </c>
      <c r="F929" s="2" t="s">
        <v>47</v>
      </c>
      <c r="G929" s="2" t="s">
        <v>37</v>
      </c>
      <c r="H929" s="2">
        <v>2</v>
      </c>
      <c r="I929" s="2">
        <v>38</v>
      </c>
      <c r="J929" s="2" t="s">
        <v>41</v>
      </c>
      <c r="K929" s="2">
        <v>192</v>
      </c>
      <c r="L929" s="2">
        <v>48.4</v>
      </c>
      <c r="M929" s="2">
        <v>2357339</v>
      </c>
      <c r="N929" s="2">
        <v>2413546</v>
      </c>
      <c r="O929" s="2"/>
      <c r="P929" s="2"/>
      <c r="Q929">
        <f t="shared" si="28"/>
        <v>25972.215048209368</v>
      </c>
      <c r="R929">
        <f t="shared" si="29"/>
        <v>23794.200177648578</v>
      </c>
    </row>
    <row r="930" spans="1:18" ht="16" x14ac:dyDescent="0.4">
      <c r="A930" s="2">
        <v>228246</v>
      </c>
      <c r="B930" s="2" t="s">
        <v>971</v>
      </c>
      <c r="C930" s="2" t="s">
        <v>68</v>
      </c>
      <c r="D930" s="2">
        <v>6516</v>
      </c>
      <c r="E930" s="2">
        <v>49.1</v>
      </c>
      <c r="F930" s="2" t="s">
        <v>47</v>
      </c>
      <c r="G930" s="2" t="s">
        <v>37</v>
      </c>
      <c r="H930" s="2">
        <v>1</v>
      </c>
      <c r="I930" s="2">
        <v>10</v>
      </c>
      <c r="J930" s="2" t="s">
        <v>38</v>
      </c>
      <c r="K930" s="2">
        <v>497</v>
      </c>
      <c r="L930" s="2">
        <v>48.1</v>
      </c>
      <c r="M930" s="2">
        <v>34597872</v>
      </c>
      <c r="N930" s="2">
        <v>20986234</v>
      </c>
      <c r="O930" s="2"/>
      <c r="P930" s="2"/>
      <c r="Q930">
        <f t="shared" si="28"/>
        <v>87787.57367489762</v>
      </c>
      <c r="R930">
        <f t="shared" si="29"/>
        <v>134129.91242251196</v>
      </c>
    </row>
    <row r="931" spans="1:18" ht="16" x14ac:dyDescent="0.4">
      <c r="A931" s="2">
        <v>228343</v>
      </c>
      <c r="B931" s="2" t="s">
        <v>972</v>
      </c>
      <c r="C931" s="2" t="s">
        <v>68</v>
      </c>
      <c r="D931" s="2">
        <v>1495</v>
      </c>
      <c r="E931" s="2">
        <v>54.7</v>
      </c>
      <c r="F931" s="2" t="s">
        <v>47</v>
      </c>
      <c r="G931" s="2" t="s">
        <v>37</v>
      </c>
      <c r="H931" s="2">
        <v>3</v>
      </c>
      <c r="I931" s="2">
        <v>12</v>
      </c>
      <c r="J931" s="2" t="s">
        <v>38</v>
      </c>
      <c r="K931" s="2">
        <v>461</v>
      </c>
      <c r="L931" s="2">
        <v>35.4</v>
      </c>
      <c r="M931" s="2">
        <v>2005764</v>
      </c>
      <c r="N931" s="2">
        <v>1166275</v>
      </c>
      <c r="O931" s="2"/>
      <c r="P931" s="2"/>
      <c r="Q931">
        <f t="shared" si="28"/>
        <v>7146.5556331727885</v>
      </c>
      <c r="R931">
        <f t="shared" si="29"/>
        <v>6735.1362967838122</v>
      </c>
    </row>
    <row r="932" spans="1:18" ht="16" x14ac:dyDescent="0.4">
      <c r="A932" s="2">
        <v>228431</v>
      </c>
      <c r="B932" s="2" t="s">
        <v>973</v>
      </c>
      <c r="C932" s="2" t="s">
        <v>68</v>
      </c>
      <c r="D932" s="2">
        <v>9183</v>
      </c>
      <c r="E932" s="2">
        <v>64</v>
      </c>
      <c r="F932" s="2" t="s">
        <v>36</v>
      </c>
      <c r="G932" s="2" t="s">
        <v>37</v>
      </c>
      <c r="H932" s="2">
        <v>1</v>
      </c>
      <c r="I932" s="2">
        <v>38</v>
      </c>
      <c r="J932" s="2" t="s">
        <v>38</v>
      </c>
      <c r="K932" s="2">
        <v>528</v>
      </c>
      <c r="L932" s="2">
        <v>47.7</v>
      </c>
      <c r="M932" s="2">
        <v>8206327</v>
      </c>
      <c r="N932" s="2">
        <v>4801765</v>
      </c>
      <c r="O932" s="2"/>
      <c r="P932" s="2"/>
      <c r="Q932">
        <f t="shared" si="28"/>
        <v>19065.517597357219</v>
      </c>
      <c r="R932">
        <f t="shared" si="29"/>
        <v>29717.564024566891</v>
      </c>
    </row>
    <row r="933" spans="1:18" ht="16" x14ac:dyDescent="0.4">
      <c r="A933" s="2">
        <v>228459</v>
      </c>
      <c r="B933" s="2" t="s">
        <v>974</v>
      </c>
      <c r="C933" s="2" t="s">
        <v>68</v>
      </c>
      <c r="D933" s="2">
        <v>27923</v>
      </c>
      <c r="E933" s="2">
        <v>59.1</v>
      </c>
      <c r="F933" s="2" t="s">
        <v>36</v>
      </c>
      <c r="G933" s="2" t="s">
        <v>37</v>
      </c>
      <c r="H933" s="2">
        <v>1</v>
      </c>
      <c r="I933" s="2">
        <v>12</v>
      </c>
      <c r="J933" s="2" t="s">
        <v>38</v>
      </c>
      <c r="K933" s="2">
        <v>434</v>
      </c>
      <c r="L933" s="2">
        <v>39.4</v>
      </c>
      <c r="M933" s="2">
        <v>12402448</v>
      </c>
      <c r="N933" s="2">
        <v>5301510</v>
      </c>
      <c r="O933" s="2"/>
      <c r="P933" s="2"/>
      <c r="Q933">
        <f t="shared" si="28"/>
        <v>31003.707689068749</v>
      </c>
      <c r="R933">
        <f t="shared" si="29"/>
        <v>47156.879743273865</v>
      </c>
    </row>
    <row r="934" spans="1:18" ht="16" x14ac:dyDescent="0.4">
      <c r="A934" s="2">
        <v>228501</v>
      </c>
      <c r="B934" s="2" t="s">
        <v>975</v>
      </c>
      <c r="C934" s="2" t="s">
        <v>68</v>
      </c>
      <c r="D934" s="2">
        <v>1179</v>
      </c>
      <c r="E934" s="2">
        <v>53.8</v>
      </c>
      <c r="F934" s="2" t="s">
        <v>36</v>
      </c>
      <c r="G934" s="2" t="s">
        <v>37</v>
      </c>
      <c r="H934" s="2">
        <v>3</v>
      </c>
      <c r="I934" s="2">
        <v>8</v>
      </c>
      <c r="J934" s="2" t="s">
        <v>38</v>
      </c>
      <c r="K934" s="2">
        <v>309</v>
      </c>
      <c r="L934" s="2">
        <v>33.700000000000003</v>
      </c>
      <c r="M934" s="2">
        <v>993970</v>
      </c>
      <c r="N934" s="2">
        <v>653805</v>
      </c>
      <c r="O934" s="2"/>
      <c r="P934" s="2"/>
      <c r="Q934">
        <f t="shared" si="28"/>
        <v>6278.5572296966375</v>
      </c>
      <c r="R934">
        <f t="shared" si="29"/>
        <v>4851.7818877613272</v>
      </c>
    </row>
    <row r="935" spans="1:18" ht="16" x14ac:dyDescent="0.4">
      <c r="A935" s="2">
        <v>228529</v>
      </c>
      <c r="B935" s="2" t="s">
        <v>976</v>
      </c>
      <c r="C935" s="2" t="s">
        <v>68</v>
      </c>
      <c r="D935" s="2">
        <v>8211</v>
      </c>
      <c r="E935" s="2">
        <v>62.1</v>
      </c>
      <c r="F935" s="2" t="s">
        <v>36</v>
      </c>
      <c r="G935" s="2" t="s">
        <v>37</v>
      </c>
      <c r="H935" s="2">
        <v>2</v>
      </c>
      <c r="I935" s="2">
        <v>38</v>
      </c>
      <c r="J935" s="2" t="s">
        <v>38</v>
      </c>
      <c r="K935" s="2">
        <v>358</v>
      </c>
      <c r="L935" s="2">
        <v>35.200000000000003</v>
      </c>
      <c r="M935" s="2">
        <v>3997069</v>
      </c>
      <c r="N935" s="2">
        <v>2319636</v>
      </c>
      <c r="O935" s="2"/>
      <c r="P935" s="2"/>
      <c r="Q935">
        <f t="shared" si="28"/>
        <v>18407.472067039103</v>
      </c>
      <c r="R935">
        <f t="shared" si="29"/>
        <v>17229.933960962826</v>
      </c>
    </row>
    <row r="936" spans="1:18" ht="16" x14ac:dyDescent="0.4">
      <c r="A936" s="2">
        <v>228705</v>
      </c>
      <c r="B936" s="2" t="s">
        <v>977</v>
      </c>
      <c r="C936" s="2" t="s">
        <v>68</v>
      </c>
      <c r="D936" s="2">
        <v>4630</v>
      </c>
      <c r="E936" s="2">
        <v>48.4</v>
      </c>
      <c r="F936" s="2" t="s">
        <v>36</v>
      </c>
      <c r="G936" s="2" t="s">
        <v>37</v>
      </c>
      <c r="H936" s="2">
        <v>2</v>
      </c>
      <c r="I936" s="2">
        <v>38</v>
      </c>
      <c r="J936" s="2" t="s">
        <v>38</v>
      </c>
      <c r="K936" s="2">
        <v>411</v>
      </c>
      <c r="L936" s="2">
        <v>34.5</v>
      </c>
      <c r="M936" s="2">
        <v>3160995</v>
      </c>
      <c r="N936" s="2">
        <v>2305770</v>
      </c>
      <c r="O936" s="2"/>
      <c r="P936" s="2"/>
      <c r="Q936">
        <f t="shared" si="28"/>
        <v>16261.292711308577</v>
      </c>
      <c r="R936">
        <f t="shared" si="29"/>
        <v>11741.962444976876</v>
      </c>
    </row>
    <row r="937" spans="1:18" ht="16" x14ac:dyDescent="0.4">
      <c r="A937" s="2">
        <v>228723</v>
      </c>
      <c r="B937" s="2" t="s">
        <v>978</v>
      </c>
      <c r="C937" s="2" t="s">
        <v>68</v>
      </c>
      <c r="D937" s="2">
        <v>47537</v>
      </c>
      <c r="E937" s="2">
        <v>47.5</v>
      </c>
      <c r="F937" s="2" t="s">
        <v>36</v>
      </c>
      <c r="G937" s="2" t="s">
        <v>37</v>
      </c>
      <c r="H937" s="2">
        <v>1</v>
      </c>
      <c r="I937" s="2">
        <v>38</v>
      </c>
      <c r="J937" s="2" t="s">
        <v>38</v>
      </c>
      <c r="K937" s="2">
        <v>764</v>
      </c>
      <c r="L937" s="2">
        <v>48.2</v>
      </c>
      <c r="M937" s="2">
        <v>63690294</v>
      </c>
      <c r="N937" s="2">
        <v>21144046</v>
      </c>
      <c r="O937" s="2"/>
      <c r="P937" s="2"/>
      <c r="Q937">
        <f t="shared" si="28"/>
        <v>57417.952032326037</v>
      </c>
      <c r="R937">
        <f t="shared" si="29"/>
        <v>160934.86324769046</v>
      </c>
    </row>
    <row r="938" spans="1:18" ht="16" x14ac:dyDescent="0.4">
      <c r="A938" s="2">
        <v>228769</v>
      </c>
      <c r="B938" s="2" t="s">
        <v>979</v>
      </c>
      <c r="C938" s="2" t="s">
        <v>68</v>
      </c>
      <c r="D938" s="2">
        <v>19416</v>
      </c>
      <c r="E938" s="2">
        <v>53.5</v>
      </c>
      <c r="F938" s="2" t="s">
        <v>36</v>
      </c>
      <c r="G938" s="2" t="s">
        <v>37</v>
      </c>
      <c r="H938" s="2">
        <v>1</v>
      </c>
      <c r="I938" s="2">
        <v>10</v>
      </c>
      <c r="J938" s="2" t="s">
        <v>41</v>
      </c>
      <c r="K938" s="2">
        <v>313</v>
      </c>
      <c r="L938" s="2">
        <v>51.8</v>
      </c>
      <c r="M938" s="2">
        <v>4375280</v>
      </c>
      <c r="N938" s="2">
        <v>4970706</v>
      </c>
      <c r="O938" s="2"/>
      <c r="P938" s="2"/>
      <c r="Q938">
        <f t="shared" si="28"/>
        <v>30658.011274624689</v>
      </c>
      <c r="R938">
        <f t="shared" si="29"/>
        <v>29001.100314186097</v>
      </c>
    </row>
    <row r="939" spans="1:18" ht="16" x14ac:dyDescent="0.4">
      <c r="A939" s="2">
        <v>228778</v>
      </c>
      <c r="B939" s="2" t="s">
        <v>980</v>
      </c>
      <c r="C939" s="2" t="s">
        <v>68</v>
      </c>
      <c r="D939" s="2">
        <v>37362</v>
      </c>
      <c r="E939" s="2">
        <v>55</v>
      </c>
      <c r="F939" s="2" t="s">
        <v>36</v>
      </c>
      <c r="G939" s="2" t="s">
        <v>37</v>
      </c>
      <c r="H939" s="2">
        <v>1</v>
      </c>
      <c r="I939" s="2">
        <v>38</v>
      </c>
      <c r="J939" s="2" t="s">
        <v>38</v>
      </c>
      <c r="K939" s="2">
        <v>714</v>
      </c>
      <c r="L939" s="2">
        <v>50.4</v>
      </c>
      <c r="M939" s="2">
        <v>59485579</v>
      </c>
      <c r="N939" s="2">
        <v>22063819</v>
      </c>
      <c r="O939" s="2"/>
      <c r="P939" s="2"/>
      <c r="Q939">
        <f t="shared" si="28"/>
        <v>61312.911275621358</v>
      </c>
      <c r="R939">
        <f t="shared" si="29"/>
        <v>167970.03196439863</v>
      </c>
    </row>
    <row r="940" spans="1:18" ht="16" x14ac:dyDescent="0.4">
      <c r="A940" s="2">
        <v>228787</v>
      </c>
      <c r="B940" s="2" t="s">
        <v>981</v>
      </c>
      <c r="C940" s="2" t="s">
        <v>68</v>
      </c>
      <c r="D940" s="2">
        <v>17919</v>
      </c>
      <c r="E940" s="2">
        <v>43.5</v>
      </c>
      <c r="F940" s="2" t="s">
        <v>36</v>
      </c>
      <c r="G940" s="2" t="s">
        <v>37</v>
      </c>
      <c r="H940" s="2">
        <v>3</v>
      </c>
      <c r="I940" s="2">
        <v>38</v>
      </c>
      <c r="J940" s="2" t="s">
        <v>41</v>
      </c>
      <c r="K940" s="2">
        <v>274</v>
      </c>
      <c r="L940" s="2">
        <v>39.1</v>
      </c>
      <c r="M940" s="2">
        <v>779531</v>
      </c>
      <c r="N940" s="2">
        <v>866789</v>
      </c>
      <c r="O940" s="2"/>
      <c r="P940" s="2"/>
      <c r="Q940">
        <f t="shared" si="28"/>
        <v>8090.6994978251532</v>
      </c>
      <c r="R940">
        <f t="shared" si="29"/>
        <v>4671.5987678736237</v>
      </c>
    </row>
    <row r="941" spans="1:18" ht="16" x14ac:dyDescent="0.4">
      <c r="A941" s="2">
        <v>228796</v>
      </c>
      <c r="B941" s="2" t="s">
        <v>982</v>
      </c>
      <c r="C941" s="2" t="s">
        <v>68</v>
      </c>
      <c r="D941" s="2">
        <v>13840</v>
      </c>
      <c r="E941" s="2">
        <v>52.8</v>
      </c>
      <c r="F941" s="2" t="s">
        <v>36</v>
      </c>
      <c r="G941" s="2" t="s">
        <v>37</v>
      </c>
      <c r="H941" s="2">
        <v>1</v>
      </c>
      <c r="I941" s="2">
        <v>38</v>
      </c>
      <c r="J941" s="2" t="s">
        <v>38</v>
      </c>
      <c r="K941" s="2">
        <v>377</v>
      </c>
      <c r="L941" s="2">
        <v>43</v>
      </c>
      <c r="M941" s="2">
        <v>14092782</v>
      </c>
      <c r="N941" s="2">
        <v>7071895</v>
      </c>
      <c r="O941" s="2"/>
      <c r="P941" s="2"/>
      <c r="Q941">
        <f t="shared" si="28"/>
        <v>43624.051569921663</v>
      </c>
      <c r="R941">
        <f t="shared" si="29"/>
        <v>65581.376518218618</v>
      </c>
    </row>
    <row r="942" spans="1:18" ht="16" x14ac:dyDescent="0.4">
      <c r="A942" s="2">
        <v>228802</v>
      </c>
      <c r="B942" s="2" t="s">
        <v>983</v>
      </c>
      <c r="C942" s="2" t="s">
        <v>68</v>
      </c>
      <c r="D942" s="2">
        <v>4763</v>
      </c>
      <c r="E942" s="2">
        <v>56.4</v>
      </c>
      <c r="F942" s="2" t="s">
        <v>36</v>
      </c>
      <c r="G942" s="2" t="s">
        <v>37</v>
      </c>
      <c r="H942" s="2">
        <v>2</v>
      </c>
      <c r="I942" s="2">
        <v>38</v>
      </c>
      <c r="J942" s="2" t="s">
        <v>41</v>
      </c>
      <c r="K942" s="2">
        <v>342</v>
      </c>
      <c r="L942" s="2">
        <v>49.1</v>
      </c>
      <c r="M942" s="2">
        <v>2029803</v>
      </c>
      <c r="N942" s="2">
        <v>2175582</v>
      </c>
      <c r="O942" s="2"/>
      <c r="P942" s="2"/>
      <c r="Q942">
        <f t="shared" si="28"/>
        <v>12955.908100189372</v>
      </c>
      <c r="R942">
        <f t="shared" si="29"/>
        <v>11660.307448385207</v>
      </c>
    </row>
    <row r="943" spans="1:18" ht="16" x14ac:dyDescent="0.4">
      <c r="A943" s="2">
        <v>228875</v>
      </c>
      <c r="B943" s="2" t="s">
        <v>984</v>
      </c>
      <c r="C943" s="2" t="s">
        <v>68</v>
      </c>
      <c r="D943" s="2">
        <v>9207</v>
      </c>
      <c r="E943" s="2">
        <v>58.6</v>
      </c>
      <c r="F943" s="2" t="s">
        <v>47</v>
      </c>
      <c r="G943" s="2" t="s">
        <v>37</v>
      </c>
      <c r="H943" s="2">
        <v>1</v>
      </c>
      <c r="I943" s="2">
        <v>38</v>
      </c>
      <c r="J943" s="2" t="s">
        <v>38</v>
      </c>
      <c r="K943" s="2">
        <v>573</v>
      </c>
      <c r="L943" s="2">
        <v>46.4</v>
      </c>
      <c r="M943" s="2">
        <v>66464375</v>
      </c>
      <c r="N943" s="2">
        <v>24708958</v>
      </c>
      <c r="O943" s="2"/>
      <c r="P943" s="2"/>
      <c r="Q943">
        <f t="shared" si="28"/>
        <v>92935.540410423069</v>
      </c>
      <c r="R943">
        <f t="shared" si="29"/>
        <v>216406.10755124895</v>
      </c>
    </row>
    <row r="944" spans="1:18" ht="16" x14ac:dyDescent="0.4">
      <c r="A944" s="2">
        <v>228981</v>
      </c>
      <c r="B944" s="2" t="s">
        <v>985</v>
      </c>
      <c r="C944" s="2" t="s">
        <v>68</v>
      </c>
      <c r="D944" s="2">
        <v>1379</v>
      </c>
      <c r="E944" s="2">
        <v>50.7</v>
      </c>
      <c r="F944" s="2" t="s">
        <v>47</v>
      </c>
      <c r="G944" s="2" t="s">
        <v>37</v>
      </c>
      <c r="H944" s="2">
        <v>3</v>
      </c>
      <c r="I944" s="2">
        <v>11</v>
      </c>
      <c r="J944" s="2" t="s">
        <v>38</v>
      </c>
      <c r="K944" s="2">
        <v>456</v>
      </c>
      <c r="L944" s="2">
        <v>27</v>
      </c>
      <c r="M944" s="2">
        <v>1409406</v>
      </c>
      <c r="N944" s="2">
        <v>858879</v>
      </c>
      <c r="O944" s="2"/>
      <c r="P944" s="2"/>
      <c r="Q944">
        <f t="shared" si="28"/>
        <v>6975.9502923976606</v>
      </c>
      <c r="R944">
        <f t="shared" si="29"/>
        <v>4233.976207642394</v>
      </c>
    </row>
    <row r="945" spans="1:18" ht="16" x14ac:dyDescent="0.4">
      <c r="A945" s="2">
        <v>229018</v>
      </c>
      <c r="B945" s="2" t="s">
        <v>986</v>
      </c>
      <c r="C945" s="2" t="s">
        <v>68</v>
      </c>
      <c r="D945" s="2">
        <v>1855</v>
      </c>
      <c r="E945" s="2">
        <v>51.9</v>
      </c>
      <c r="F945" s="2" t="s">
        <v>36</v>
      </c>
      <c r="G945" s="2" t="s">
        <v>37</v>
      </c>
      <c r="H945" s="2">
        <v>2</v>
      </c>
      <c r="I945" s="2">
        <v>38</v>
      </c>
      <c r="J945" s="2" t="s">
        <v>38</v>
      </c>
      <c r="K945" s="2">
        <v>472</v>
      </c>
      <c r="L945" s="2">
        <v>33.299999999999997</v>
      </c>
      <c r="M945" s="2">
        <v>2964272</v>
      </c>
      <c r="N945" s="2">
        <v>1320951</v>
      </c>
      <c r="O945" s="2"/>
      <c r="P945" s="2"/>
      <c r="Q945">
        <f t="shared" si="28"/>
        <v>8404.2792792792807</v>
      </c>
      <c r="R945">
        <f t="shared" si="29"/>
        <v>9415.6481081493148</v>
      </c>
    </row>
    <row r="946" spans="1:18" ht="16" x14ac:dyDescent="0.4">
      <c r="A946" s="2">
        <v>229027</v>
      </c>
      <c r="B946" s="2" t="s">
        <v>987</v>
      </c>
      <c r="C946" s="2" t="s">
        <v>68</v>
      </c>
      <c r="D946" s="2">
        <v>22285</v>
      </c>
      <c r="E946" s="2">
        <v>51.3</v>
      </c>
      <c r="F946" s="2" t="s">
        <v>36</v>
      </c>
      <c r="G946" s="2" t="s">
        <v>37</v>
      </c>
      <c r="H946" s="2">
        <v>1</v>
      </c>
      <c r="I946" s="2">
        <v>38</v>
      </c>
      <c r="J946" s="2" t="s">
        <v>38</v>
      </c>
      <c r="K946" s="2">
        <v>481</v>
      </c>
      <c r="L946" s="2">
        <v>37.6</v>
      </c>
      <c r="M946" s="2">
        <v>14898085</v>
      </c>
      <c r="N946" s="2">
        <v>5049104</v>
      </c>
      <c r="O946" s="2"/>
      <c r="P946" s="2"/>
      <c r="Q946">
        <f t="shared" si="28"/>
        <v>27917.813066749237</v>
      </c>
      <c r="R946">
        <f t="shared" si="29"/>
        <v>49636.457833573215</v>
      </c>
    </row>
    <row r="947" spans="1:18" ht="16" x14ac:dyDescent="0.4">
      <c r="A947" s="2">
        <v>229063</v>
      </c>
      <c r="B947" s="2" t="s">
        <v>988</v>
      </c>
      <c r="C947" s="2" t="s">
        <v>68</v>
      </c>
      <c r="D947" s="2">
        <v>6032</v>
      </c>
      <c r="E947" s="2">
        <v>59.4</v>
      </c>
      <c r="F947" s="2" t="s">
        <v>36</v>
      </c>
      <c r="G947" s="2" t="s">
        <v>37</v>
      </c>
      <c r="H947" s="2">
        <v>1</v>
      </c>
      <c r="I947" s="2">
        <v>38</v>
      </c>
      <c r="J947" s="2" t="s">
        <v>38</v>
      </c>
      <c r="K947" s="2">
        <v>411</v>
      </c>
      <c r="L947" s="2">
        <v>44.5</v>
      </c>
      <c r="M947" s="2">
        <v>6546605</v>
      </c>
      <c r="N947" s="2">
        <v>3407200</v>
      </c>
      <c r="O947" s="2"/>
      <c r="P947" s="2"/>
      <c r="Q947">
        <f t="shared" si="28"/>
        <v>18629.268159326388</v>
      </c>
      <c r="R947">
        <f t="shared" si="29"/>
        <v>28699.962736459085</v>
      </c>
    </row>
    <row r="948" spans="1:18" ht="16" x14ac:dyDescent="0.4">
      <c r="A948" s="2">
        <v>229115</v>
      </c>
      <c r="B948" s="2" t="s">
        <v>989</v>
      </c>
      <c r="C948" s="2" t="s">
        <v>68</v>
      </c>
      <c r="D948" s="2">
        <v>28037</v>
      </c>
      <c r="E948" s="2">
        <v>48.2</v>
      </c>
      <c r="F948" s="2" t="s">
        <v>36</v>
      </c>
      <c r="G948" s="2" t="s">
        <v>37</v>
      </c>
      <c r="H948" s="2">
        <v>1</v>
      </c>
      <c r="I948" s="2">
        <v>38</v>
      </c>
      <c r="J948" s="2" t="s">
        <v>38</v>
      </c>
      <c r="K948" s="2">
        <v>573</v>
      </c>
      <c r="L948" s="2">
        <v>43.5</v>
      </c>
      <c r="M948" s="2">
        <v>40140303</v>
      </c>
      <c r="N948" s="2">
        <v>12231723</v>
      </c>
      <c r="O948" s="2"/>
      <c r="P948" s="2"/>
      <c r="Q948">
        <f t="shared" si="28"/>
        <v>49073.129927183007</v>
      </c>
      <c r="R948">
        <f t="shared" si="29"/>
        <v>123987.40675531667</v>
      </c>
    </row>
    <row r="949" spans="1:18" ht="16" x14ac:dyDescent="0.4">
      <c r="A949" s="2">
        <v>229267</v>
      </c>
      <c r="B949" s="2" t="s">
        <v>990</v>
      </c>
      <c r="C949" s="2" t="s">
        <v>68</v>
      </c>
      <c r="D949" s="2">
        <v>2397</v>
      </c>
      <c r="E949" s="2">
        <v>52.5</v>
      </c>
      <c r="F949" s="2" t="s">
        <v>47</v>
      </c>
      <c r="G949" s="2" t="s">
        <v>37</v>
      </c>
      <c r="H949" s="2">
        <v>3</v>
      </c>
      <c r="I949" s="2">
        <v>12</v>
      </c>
      <c r="J949" s="2" t="s">
        <v>38</v>
      </c>
      <c r="K949" s="2">
        <v>587</v>
      </c>
      <c r="L949" s="2">
        <v>35.299999999999997</v>
      </c>
      <c r="M949" s="2">
        <v>2318487</v>
      </c>
      <c r="N949" s="2">
        <v>1458604</v>
      </c>
      <c r="O949" s="2"/>
      <c r="P949" s="2"/>
      <c r="Q949">
        <f t="shared" si="28"/>
        <v>7039.2208907828253</v>
      </c>
      <c r="R949">
        <f t="shared" si="29"/>
        <v>6104.6712779990994</v>
      </c>
    </row>
    <row r="950" spans="1:18" ht="16" x14ac:dyDescent="0.4">
      <c r="A950" s="2">
        <v>229814</v>
      </c>
      <c r="B950" s="2" t="s">
        <v>991</v>
      </c>
      <c r="C950" s="2" t="s">
        <v>68</v>
      </c>
      <c r="D950" s="2">
        <v>5582</v>
      </c>
      <c r="E950" s="2">
        <v>57.8</v>
      </c>
      <c r="F950" s="2" t="s">
        <v>36</v>
      </c>
      <c r="G950" s="2" t="s">
        <v>37</v>
      </c>
      <c r="H950" s="2">
        <v>2</v>
      </c>
      <c r="I950" s="2">
        <v>38</v>
      </c>
      <c r="J950" s="2" t="s">
        <v>38</v>
      </c>
      <c r="K950" s="2">
        <v>566</v>
      </c>
      <c r="L950" s="2">
        <v>38.200000000000003</v>
      </c>
      <c r="M950" s="2">
        <v>4128112</v>
      </c>
      <c r="N950" s="2">
        <v>2813788</v>
      </c>
      <c r="O950" s="2"/>
      <c r="P950" s="2"/>
      <c r="Q950">
        <f t="shared" si="28"/>
        <v>13014.023273453829</v>
      </c>
      <c r="R950">
        <f t="shared" si="29"/>
        <v>11801.754205404415</v>
      </c>
    </row>
    <row r="951" spans="1:18" ht="16" x14ac:dyDescent="0.4">
      <c r="A951" s="2">
        <v>230038</v>
      </c>
      <c r="B951" s="2" t="s">
        <v>992</v>
      </c>
      <c r="C951" s="2" t="s">
        <v>63</v>
      </c>
      <c r="D951" s="2">
        <v>28288</v>
      </c>
      <c r="E951" s="2">
        <v>50.5</v>
      </c>
      <c r="F951" s="2" t="s">
        <v>47</v>
      </c>
      <c r="G951" s="2" t="s">
        <v>37</v>
      </c>
      <c r="H951" s="2">
        <v>1</v>
      </c>
      <c r="I951" s="2">
        <v>38</v>
      </c>
      <c r="J951" s="2" t="s">
        <v>38</v>
      </c>
      <c r="K951" s="2">
        <v>748</v>
      </c>
      <c r="L951" s="2">
        <v>50.5</v>
      </c>
      <c r="M951" s="2">
        <v>34385217</v>
      </c>
      <c r="N951" s="2">
        <v>14455729</v>
      </c>
      <c r="O951" s="2"/>
      <c r="P951" s="2"/>
      <c r="Q951">
        <f t="shared" si="28"/>
        <v>38268.991899189918</v>
      </c>
      <c r="R951">
        <f t="shared" si="29"/>
        <v>92867.76049262681</v>
      </c>
    </row>
    <row r="952" spans="1:18" ht="16" x14ac:dyDescent="0.4">
      <c r="A952" s="2">
        <v>230171</v>
      </c>
      <c r="B952" s="2" t="s">
        <v>993</v>
      </c>
      <c r="C952" s="2" t="s">
        <v>63</v>
      </c>
      <c r="D952" s="2">
        <v>6306</v>
      </c>
      <c r="E952" s="2">
        <v>57.9</v>
      </c>
      <c r="F952" s="2" t="s">
        <v>36</v>
      </c>
      <c r="G952" s="2" t="s">
        <v>37</v>
      </c>
      <c r="H952" s="2">
        <v>2</v>
      </c>
      <c r="I952" s="2">
        <v>37</v>
      </c>
      <c r="J952" s="2" t="s">
        <v>38</v>
      </c>
      <c r="K952" s="2">
        <v>407</v>
      </c>
      <c r="L952" s="2">
        <v>46.7</v>
      </c>
      <c r="M952" s="2">
        <v>3875888</v>
      </c>
      <c r="N952" s="2">
        <v>2843594</v>
      </c>
      <c r="O952" s="2"/>
      <c r="P952" s="2"/>
      <c r="Q952">
        <f t="shared" si="28"/>
        <v>14960.85105935213</v>
      </c>
      <c r="R952">
        <f t="shared" si="29"/>
        <v>17866.916208379622</v>
      </c>
    </row>
    <row r="953" spans="1:18" ht="16" x14ac:dyDescent="0.4">
      <c r="A953" s="2">
        <v>230603</v>
      </c>
      <c r="B953" s="2" t="s">
        <v>994</v>
      </c>
      <c r="C953" s="2" t="s">
        <v>63</v>
      </c>
      <c r="D953" s="2">
        <v>6831</v>
      </c>
      <c r="E953" s="2">
        <v>55.5</v>
      </c>
      <c r="F953" s="2" t="s">
        <v>36</v>
      </c>
      <c r="G953" s="2" t="s">
        <v>37</v>
      </c>
      <c r="H953" s="2">
        <v>1</v>
      </c>
      <c r="I953" s="2">
        <v>38</v>
      </c>
      <c r="J953" s="2" t="s">
        <v>38</v>
      </c>
      <c r="K953" s="2">
        <v>429</v>
      </c>
      <c r="L953" s="2">
        <v>46.9</v>
      </c>
      <c r="M953" s="2">
        <v>6059804</v>
      </c>
      <c r="N953" s="2">
        <v>4471733</v>
      </c>
      <c r="O953" s="2"/>
      <c r="P953" s="2"/>
      <c r="Q953">
        <f t="shared" si="28"/>
        <v>22225.202658038481</v>
      </c>
      <c r="R953">
        <f t="shared" si="29"/>
        <v>26601.539076115347</v>
      </c>
    </row>
    <row r="954" spans="1:18" ht="16" x14ac:dyDescent="0.4">
      <c r="A954" s="2">
        <v>230728</v>
      </c>
      <c r="B954" s="2" t="s">
        <v>995</v>
      </c>
      <c r="C954" s="2" t="s">
        <v>63</v>
      </c>
      <c r="D954" s="2">
        <v>16935</v>
      </c>
      <c r="E954" s="2">
        <v>53.2</v>
      </c>
      <c r="F954" s="2" t="s">
        <v>36</v>
      </c>
      <c r="G954" s="2" t="s">
        <v>37</v>
      </c>
      <c r="H954" s="2">
        <v>1</v>
      </c>
      <c r="I954" s="2">
        <v>11</v>
      </c>
      <c r="J954" s="2" t="s">
        <v>38</v>
      </c>
      <c r="K954" s="2">
        <v>731</v>
      </c>
      <c r="L954" s="2">
        <v>47.5</v>
      </c>
      <c r="M954" s="2">
        <v>20704285</v>
      </c>
      <c r="N954" s="2">
        <v>8388776</v>
      </c>
      <c r="O954" s="2"/>
      <c r="P954" s="2"/>
      <c r="Q954">
        <f t="shared" si="28"/>
        <v>24159.481604147164</v>
      </c>
      <c r="R954">
        <f t="shared" si="29"/>
        <v>53949.019607843133</v>
      </c>
    </row>
    <row r="955" spans="1:18" ht="16" x14ac:dyDescent="0.4">
      <c r="A955" s="2">
        <v>230737</v>
      </c>
      <c r="B955" s="2" t="s">
        <v>996</v>
      </c>
      <c r="C955" s="2" t="s">
        <v>63</v>
      </c>
      <c r="D955" s="2">
        <v>18722</v>
      </c>
      <c r="E955" s="2">
        <v>46.6</v>
      </c>
      <c r="F955" s="2" t="s">
        <v>36</v>
      </c>
      <c r="G955" s="2" t="s">
        <v>37</v>
      </c>
      <c r="H955" s="2">
        <v>1</v>
      </c>
      <c r="I955" s="2">
        <v>38</v>
      </c>
      <c r="J955" s="2" t="s">
        <v>41</v>
      </c>
      <c r="K955" s="2">
        <v>530</v>
      </c>
      <c r="L955" s="2">
        <v>45.8</v>
      </c>
      <c r="M955" s="2">
        <v>5051563</v>
      </c>
      <c r="N955" s="2">
        <v>4176797</v>
      </c>
      <c r="O955" s="2"/>
      <c r="P955" s="2"/>
      <c r="Q955">
        <f t="shared" si="28"/>
        <v>17206.875669440557</v>
      </c>
      <c r="R955">
        <f t="shared" si="29"/>
        <v>17585.333843904475</v>
      </c>
    </row>
    <row r="956" spans="1:18" ht="16" x14ac:dyDescent="0.4">
      <c r="A956" s="2">
        <v>230764</v>
      </c>
      <c r="B956" s="2" t="s">
        <v>997</v>
      </c>
      <c r="C956" s="2" t="s">
        <v>63</v>
      </c>
      <c r="D956" s="2">
        <v>18534</v>
      </c>
      <c r="E956" s="2">
        <v>47.5</v>
      </c>
      <c r="F956" s="2" t="s">
        <v>36</v>
      </c>
      <c r="G956" s="2" t="s">
        <v>37</v>
      </c>
      <c r="H956" s="2">
        <v>1</v>
      </c>
      <c r="I956" s="2">
        <v>17</v>
      </c>
      <c r="J956" s="2" t="s">
        <v>38</v>
      </c>
      <c r="K956" s="2">
        <v>576</v>
      </c>
      <c r="L956" s="2">
        <v>47.7</v>
      </c>
      <c r="M956" s="2">
        <v>46929509</v>
      </c>
      <c r="N956" s="2">
        <v>14075079</v>
      </c>
      <c r="O956" s="2"/>
      <c r="P956" s="2"/>
      <c r="Q956">
        <f t="shared" si="28"/>
        <v>51228.304070580009</v>
      </c>
      <c r="R956">
        <f t="shared" si="29"/>
        <v>155783.63673783728</v>
      </c>
    </row>
    <row r="957" spans="1:18" ht="16" x14ac:dyDescent="0.4">
      <c r="A957" s="2">
        <v>230782</v>
      </c>
      <c r="B957" s="2" t="s">
        <v>998</v>
      </c>
      <c r="C957" s="2" t="s">
        <v>63</v>
      </c>
      <c r="D957" s="2">
        <v>10778</v>
      </c>
      <c r="E957" s="2">
        <v>55.9</v>
      </c>
      <c r="F957" s="2" t="s">
        <v>36</v>
      </c>
      <c r="G957" s="2" t="s">
        <v>37</v>
      </c>
      <c r="H957" s="2">
        <v>1</v>
      </c>
      <c r="I957" s="2">
        <v>38</v>
      </c>
      <c r="J957" s="2" t="s">
        <v>38</v>
      </c>
      <c r="K957" s="2">
        <v>480</v>
      </c>
      <c r="L957" s="2">
        <v>50</v>
      </c>
      <c r="M957" s="2">
        <v>7341072</v>
      </c>
      <c r="N957" s="2">
        <v>4541212</v>
      </c>
      <c r="O957" s="2"/>
      <c r="P957" s="2"/>
      <c r="Q957">
        <f t="shared" si="28"/>
        <v>18921.716666666667</v>
      </c>
      <c r="R957">
        <f t="shared" si="29"/>
        <v>30587.8</v>
      </c>
    </row>
    <row r="958" spans="1:18" ht="16" x14ac:dyDescent="0.4">
      <c r="A958" s="2">
        <v>230807</v>
      </c>
      <c r="B958" s="2" t="s">
        <v>512</v>
      </c>
      <c r="C958" s="2" t="s">
        <v>63</v>
      </c>
      <c r="D958" s="2">
        <v>1641</v>
      </c>
      <c r="E958" s="2">
        <v>61.4</v>
      </c>
      <c r="F958" s="2" t="s">
        <v>47</v>
      </c>
      <c r="G958" s="2" t="s">
        <v>37</v>
      </c>
      <c r="H958" s="2">
        <v>2</v>
      </c>
      <c r="I958" s="2">
        <v>38</v>
      </c>
      <c r="J958" s="2" t="s">
        <v>41</v>
      </c>
      <c r="K958" s="2">
        <v>327</v>
      </c>
      <c r="L958" s="2">
        <v>47.4</v>
      </c>
      <c r="M958" s="2">
        <v>1491718</v>
      </c>
      <c r="N958" s="2">
        <v>1651185</v>
      </c>
      <c r="O958" s="2"/>
      <c r="P958" s="2"/>
      <c r="Q958">
        <f t="shared" si="28"/>
        <v>10652.943908953665</v>
      </c>
      <c r="R958">
        <f t="shared" si="29"/>
        <v>8672.6782246718049</v>
      </c>
    </row>
    <row r="959" spans="1:18" ht="16" x14ac:dyDescent="0.4">
      <c r="A959" s="2">
        <v>230834</v>
      </c>
      <c r="B959" s="2" t="s">
        <v>999</v>
      </c>
      <c r="C959" s="2" t="s">
        <v>152</v>
      </c>
      <c r="D959" s="2">
        <v>1652</v>
      </c>
      <c r="E959" s="2">
        <v>51.2</v>
      </c>
      <c r="F959" s="2" t="s">
        <v>36</v>
      </c>
      <c r="G959" s="2" t="s">
        <v>37</v>
      </c>
      <c r="H959" s="2">
        <v>3</v>
      </c>
      <c r="I959" s="2">
        <v>17</v>
      </c>
      <c r="J959" s="2" t="s">
        <v>38</v>
      </c>
      <c r="K959" s="2">
        <v>616</v>
      </c>
      <c r="L959" s="2">
        <v>36.5</v>
      </c>
      <c r="M959" s="2">
        <v>1130861</v>
      </c>
      <c r="N959" s="2">
        <v>764319</v>
      </c>
      <c r="O959" s="2"/>
      <c r="P959" s="2"/>
      <c r="Q959">
        <f t="shared" si="28"/>
        <v>3399.3906778153355</v>
      </c>
      <c r="R959">
        <f t="shared" si="29"/>
        <v>2891.0445853359238</v>
      </c>
    </row>
    <row r="960" spans="1:18" ht="16" x14ac:dyDescent="0.4">
      <c r="A960" s="2">
        <v>230913</v>
      </c>
      <c r="B960" s="2" t="s">
        <v>1000</v>
      </c>
      <c r="C960" s="2" t="s">
        <v>152</v>
      </c>
      <c r="D960" s="2">
        <v>1438</v>
      </c>
      <c r="E960" s="2">
        <v>55.4</v>
      </c>
      <c r="F960" s="2" t="s">
        <v>36</v>
      </c>
      <c r="G960" s="2" t="s">
        <v>37</v>
      </c>
      <c r="H960" s="2">
        <v>3</v>
      </c>
      <c r="I960" s="2">
        <v>38</v>
      </c>
      <c r="J960" s="2" t="s">
        <v>41</v>
      </c>
      <c r="K960" s="2">
        <v>330</v>
      </c>
      <c r="L960" s="2">
        <v>49.7</v>
      </c>
      <c r="M960" s="2">
        <v>381902</v>
      </c>
      <c r="N960" s="2">
        <v>415841</v>
      </c>
      <c r="O960" s="2"/>
      <c r="P960" s="2"/>
      <c r="Q960">
        <f t="shared" si="28"/>
        <v>2535.4612523626606</v>
      </c>
      <c r="R960">
        <f t="shared" si="29"/>
        <v>2300.7530574130969</v>
      </c>
    </row>
    <row r="961" spans="1:18" ht="16" x14ac:dyDescent="0.4">
      <c r="A961" s="2">
        <v>230959</v>
      </c>
      <c r="B961" s="2" t="s">
        <v>1001</v>
      </c>
      <c r="C961" s="2" t="s">
        <v>152</v>
      </c>
      <c r="D961" s="2">
        <v>2541</v>
      </c>
      <c r="E961" s="2">
        <v>52.9</v>
      </c>
      <c r="F961" s="2" t="s">
        <v>47</v>
      </c>
      <c r="G961" s="2" t="s">
        <v>37</v>
      </c>
      <c r="H961" s="2">
        <v>3</v>
      </c>
      <c r="I961" s="2">
        <v>38</v>
      </c>
      <c r="J961" s="2" t="s">
        <v>38</v>
      </c>
      <c r="K961" s="2">
        <v>796</v>
      </c>
      <c r="L961" s="2">
        <v>45.6</v>
      </c>
      <c r="M961" s="2">
        <v>2365942</v>
      </c>
      <c r="N961" s="2">
        <v>1903019</v>
      </c>
      <c r="O961" s="2"/>
      <c r="P961" s="2"/>
      <c r="Q961">
        <f t="shared" si="28"/>
        <v>5242.8232169620032</v>
      </c>
      <c r="R961">
        <f t="shared" si="29"/>
        <v>5463.7664425066505</v>
      </c>
    </row>
    <row r="962" spans="1:18" ht="16" x14ac:dyDescent="0.4">
      <c r="A962" s="2">
        <v>230995</v>
      </c>
      <c r="B962" s="2" t="s">
        <v>1002</v>
      </c>
      <c r="C962" s="2" t="s">
        <v>152</v>
      </c>
      <c r="D962" s="2">
        <v>2602</v>
      </c>
      <c r="E962" s="2">
        <v>27.6</v>
      </c>
      <c r="F962" s="2" t="s">
        <v>47</v>
      </c>
      <c r="G962" s="2" t="s">
        <v>37</v>
      </c>
      <c r="H962" s="2">
        <v>3</v>
      </c>
      <c r="I962" s="2">
        <v>13</v>
      </c>
      <c r="J962" s="2" t="s">
        <v>38</v>
      </c>
      <c r="K962" s="2">
        <v>608</v>
      </c>
      <c r="L962" s="2">
        <v>32.1</v>
      </c>
      <c r="M962" s="2">
        <v>2023007</v>
      </c>
      <c r="N962" s="2">
        <v>937780</v>
      </c>
      <c r="O962" s="2"/>
      <c r="P962" s="2"/>
      <c r="Q962">
        <f t="shared" si="28"/>
        <v>4804.9885227086406</v>
      </c>
      <c r="R962">
        <f t="shared" si="29"/>
        <v>4900.3153825284853</v>
      </c>
    </row>
    <row r="963" spans="1:18" ht="16" x14ac:dyDescent="0.4">
      <c r="A963" s="2">
        <v>231059</v>
      </c>
      <c r="B963" s="2" t="s">
        <v>1003</v>
      </c>
      <c r="C963" s="2" t="s">
        <v>152</v>
      </c>
      <c r="D963" s="2">
        <v>1540</v>
      </c>
      <c r="E963" s="2">
        <v>54.1</v>
      </c>
      <c r="F963" s="2" t="s">
        <v>47</v>
      </c>
      <c r="G963" s="2" t="s">
        <v>37</v>
      </c>
      <c r="H963" s="2">
        <v>2</v>
      </c>
      <c r="I963" s="2">
        <v>13</v>
      </c>
      <c r="J963" s="2" t="s">
        <v>41</v>
      </c>
      <c r="K963" s="2">
        <v>358</v>
      </c>
      <c r="L963" s="2">
        <v>47.5</v>
      </c>
      <c r="M963" s="2">
        <v>2016137</v>
      </c>
      <c r="N963" s="2">
        <v>1716303</v>
      </c>
      <c r="O963" s="2"/>
      <c r="P963" s="2"/>
      <c r="Q963">
        <f t="shared" ref="Q963:Q1026" si="30">N963/(K963*(0.01*L963))</f>
        <v>10092.931490738018</v>
      </c>
      <c r="R963">
        <f t="shared" ref="R963:R1026" si="31">M963/(K963*(0.01*(100-L963)))</f>
        <v>10726.985900505453</v>
      </c>
    </row>
    <row r="964" spans="1:18" ht="16" x14ac:dyDescent="0.4">
      <c r="A964" s="2">
        <v>231174</v>
      </c>
      <c r="B964" s="2" t="s">
        <v>1004</v>
      </c>
      <c r="C964" s="2" t="s">
        <v>152</v>
      </c>
      <c r="D964" s="2">
        <v>10376</v>
      </c>
      <c r="E964" s="2">
        <v>59.7</v>
      </c>
      <c r="F964" s="2" t="s">
        <v>36</v>
      </c>
      <c r="G964" s="2" t="s">
        <v>37</v>
      </c>
      <c r="H964" s="2">
        <v>1</v>
      </c>
      <c r="I964" s="2">
        <v>38</v>
      </c>
      <c r="J964" s="2" t="s">
        <v>41</v>
      </c>
      <c r="K964" s="2">
        <v>608</v>
      </c>
      <c r="L964" s="2">
        <v>52.3</v>
      </c>
      <c r="M964" s="2">
        <v>8232836</v>
      </c>
      <c r="N964" s="2">
        <v>7695562</v>
      </c>
      <c r="O964" s="2"/>
      <c r="P964" s="2"/>
      <c r="Q964">
        <f t="shared" si="30"/>
        <v>24201.098168461303</v>
      </c>
      <c r="R964">
        <f t="shared" si="31"/>
        <v>28387.523446982235</v>
      </c>
    </row>
    <row r="965" spans="1:18" ht="16" x14ac:dyDescent="0.4">
      <c r="A965" s="2">
        <v>231420</v>
      </c>
      <c r="B965" s="2" t="s">
        <v>1005</v>
      </c>
      <c r="C965" s="2" t="s">
        <v>172</v>
      </c>
      <c r="D965" s="2">
        <v>868</v>
      </c>
      <c r="E965" s="2">
        <v>43.5</v>
      </c>
      <c r="F965" s="2" t="s">
        <v>47</v>
      </c>
      <c r="G965" s="2" t="s">
        <v>37</v>
      </c>
      <c r="H965" s="2">
        <v>3</v>
      </c>
      <c r="I965" s="2">
        <v>38</v>
      </c>
      <c r="J965" s="2" t="s">
        <v>38</v>
      </c>
      <c r="K965" s="2">
        <v>386</v>
      </c>
      <c r="L965" s="2">
        <v>26.9</v>
      </c>
      <c r="M965" s="2">
        <v>1114719</v>
      </c>
      <c r="N965" s="2">
        <v>505990</v>
      </c>
      <c r="O965" s="2"/>
      <c r="P965" s="2"/>
      <c r="Q965">
        <f t="shared" si="30"/>
        <v>4873.0666255754377</v>
      </c>
      <c r="R965">
        <f t="shared" si="31"/>
        <v>3950.5787373390131</v>
      </c>
    </row>
    <row r="966" spans="1:18" ht="16" x14ac:dyDescent="0.4">
      <c r="A966" s="2">
        <v>231581</v>
      </c>
      <c r="B966" s="2" t="s">
        <v>1006</v>
      </c>
      <c r="C966" s="2" t="s">
        <v>172</v>
      </c>
      <c r="D966" s="2">
        <v>1704</v>
      </c>
      <c r="E966" s="2">
        <v>55.2</v>
      </c>
      <c r="F966" s="2" t="s">
        <v>47</v>
      </c>
      <c r="G966" s="2" t="s">
        <v>37</v>
      </c>
      <c r="H966" s="2">
        <v>3</v>
      </c>
      <c r="I966" s="2">
        <v>38</v>
      </c>
      <c r="J966" s="2" t="s">
        <v>38</v>
      </c>
      <c r="K966" s="2">
        <v>531</v>
      </c>
      <c r="L966" s="2">
        <v>36.200000000000003</v>
      </c>
      <c r="M966" s="2">
        <v>1497120</v>
      </c>
      <c r="N966" s="2">
        <v>1043011</v>
      </c>
      <c r="O966" s="2"/>
      <c r="P966" s="2"/>
      <c r="Q966">
        <f t="shared" si="30"/>
        <v>5426.0750590463103</v>
      </c>
      <c r="R966">
        <f t="shared" si="31"/>
        <v>4419.1771602642439</v>
      </c>
    </row>
    <row r="967" spans="1:18" ht="16" x14ac:dyDescent="0.4">
      <c r="A967" s="2">
        <v>231624</v>
      </c>
      <c r="B967" s="2" t="s">
        <v>1007</v>
      </c>
      <c r="C967" s="2" t="s">
        <v>172</v>
      </c>
      <c r="D967" s="2">
        <v>6187</v>
      </c>
      <c r="E967" s="2">
        <v>58.2</v>
      </c>
      <c r="F967" s="2" t="s">
        <v>36</v>
      </c>
      <c r="G967" s="2" t="s">
        <v>37</v>
      </c>
      <c r="H967" s="2">
        <v>1</v>
      </c>
      <c r="I967" s="2">
        <v>38</v>
      </c>
      <c r="J967" s="2" t="s">
        <v>38</v>
      </c>
      <c r="K967" s="2">
        <v>596</v>
      </c>
      <c r="L967" s="2">
        <v>45.3</v>
      </c>
      <c r="M967" s="2">
        <v>14813791</v>
      </c>
      <c r="N967" s="2">
        <v>8037045</v>
      </c>
      <c r="O967" s="2"/>
      <c r="P967" s="2"/>
      <c r="Q967">
        <f t="shared" si="30"/>
        <v>29768.156362505</v>
      </c>
      <c r="R967">
        <f t="shared" si="31"/>
        <v>45439.404071015793</v>
      </c>
    </row>
    <row r="968" spans="1:18" ht="16" x14ac:dyDescent="0.4">
      <c r="A968" s="2">
        <v>231712</v>
      </c>
      <c r="B968" s="2" t="s">
        <v>1008</v>
      </c>
      <c r="C968" s="2" t="s">
        <v>172</v>
      </c>
      <c r="D968" s="2">
        <v>4741</v>
      </c>
      <c r="E968" s="2">
        <v>55.2</v>
      </c>
      <c r="F968" s="2" t="s">
        <v>36</v>
      </c>
      <c r="G968" s="2" t="s">
        <v>37</v>
      </c>
      <c r="H968" s="2">
        <v>3</v>
      </c>
      <c r="I968" s="2">
        <v>38</v>
      </c>
      <c r="J968" s="2" t="s">
        <v>38</v>
      </c>
      <c r="K968" s="2">
        <v>633</v>
      </c>
      <c r="L968" s="2">
        <v>41.2</v>
      </c>
      <c r="M968" s="2">
        <v>1979810</v>
      </c>
      <c r="N968" s="2">
        <v>1559733</v>
      </c>
      <c r="O968" s="2"/>
      <c r="P968" s="2"/>
      <c r="Q968">
        <f t="shared" si="30"/>
        <v>5980.6630469792472</v>
      </c>
      <c r="R968">
        <f t="shared" si="31"/>
        <v>5319.1529376363505</v>
      </c>
    </row>
    <row r="969" spans="1:18" ht="16" x14ac:dyDescent="0.4">
      <c r="A969" s="2">
        <v>232025</v>
      </c>
      <c r="B969" s="2" t="s">
        <v>1009</v>
      </c>
      <c r="C969" s="2" t="s">
        <v>172</v>
      </c>
      <c r="D969" s="2">
        <v>985</v>
      </c>
      <c r="E969" s="2">
        <v>51.2</v>
      </c>
      <c r="F969" s="2" t="s">
        <v>47</v>
      </c>
      <c r="G969" s="2" t="s">
        <v>37</v>
      </c>
      <c r="H969" s="2">
        <v>3</v>
      </c>
      <c r="I969" s="2">
        <v>38</v>
      </c>
      <c r="J969" s="2" t="s">
        <v>38</v>
      </c>
      <c r="K969" s="2">
        <v>416</v>
      </c>
      <c r="L969" s="2">
        <v>39.700000000000003</v>
      </c>
      <c r="M969" s="2">
        <v>1249996</v>
      </c>
      <c r="N969" s="2">
        <v>746788</v>
      </c>
      <c r="O969" s="2"/>
      <c r="P969" s="2"/>
      <c r="Q969">
        <f t="shared" si="30"/>
        <v>4521.8223212555704</v>
      </c>
      <c r="R969">
        <f t="shared" si="31"/>
        <v>4983.0813879321349</v>
      </c>
    </row>
    <row r="970" spans="1:18" ht="16" x14ac:dyDescent="0.4">
      <c r="A970" s="2">
        <v>232043</v>
      </c>
      <c r="B970" s="2" t="s">
        <v>1010</v>
      </c>
      <c r="C970" s="2" t="s">
        <v>172</v>
      </c>
      <c r="D970" s="2">
        <v>828</v>
      </c>
      <c r="E970" s="2">
        <v>60.6</v>
      </c>
      <c r="F970" s="2" t="s">
        <v>47</v>
      </c>
      <c r="G970" s="2" t="s">
        <v>37</v>
      </c>
      <c r="H970" s="2">
        <v>3</v>
      </c>
      <c r="I970" s="2">
        <v>38</v>
      </c>
      <c r="J970" s="2" t="s">
        <v>41</v>
      </c>
      <c r="K970" s="2">
        <v>314</v>
      </c>
      <c r="L970" s="2">
        <v>48.1</v>
      </c>
      <c r="M970" s="2">
        <v>638593</v>
      </c>
      <c r="N970" s="2">
        <v>666273</v>
      </c>
      <c r="O970" s="2"/>
      <c r="P970" s="2"/>
      <c r="Q970">
        <f t="shared" si="30"/>
        <v>4411.4106757418849</v>
      </c>
      <c r="R970">
        <f t="shared" si="31"/>
        <v>3918.5658358185142</v>
      </c>
    </row>
    <row r="971" spans="1:18" ht="16" x14ac:dyDescent="0.4">
      <c r="A971" s="2">
        <v>232089</v>
      </c>
      <c r="B971" s="2" t="s">
        <v>1011</v>
      </c>
      <c r="C971" s="2" t="s">
        <v>172</v>
      </c>
      <c r="D971" s="2">
        <v>1030</v>
      </c>
      <c r="E971" s="2">
        <v>42.4</v>
      </c>
      <c r="F971" s="2" t="s">
        <v>47</v>
      </c>
      <c r="G971" s="2" t="s">
        <v>37</v>
      </c>
      <c r="H971" s="2">
        <v>3</v>
      </c>
      <c r="I971" s="2">
        <v>37</v>
      </c>
      <c r="J971" s="2" t="s">
        <v>38</v>
      </c>
      <c r="K971" s="2">
        <v>520</v>
      </c>
      <c r="L971" s="2">
        <v>31.2</v>
      </c>
      <c r="M971" s="2">
        <v>1401524</v>
      </c>
      <c r="N971" s="2">
        <v>847541</v>
      </c>
      <c r="O971" s="2"/>
      <c r="P971" s="2"/>
      <c r="Q971">
        <f t="shared" si="30"/>
        <v>5223.9953155818539</v>
      </c>
      <c r="R971">
        <f t="shared" si="31"/>
        <v>3917.497763864043</v>
      </c>
    </row>
    <row r="972" spans="1:18" ht="16" x14ac:dyDescent="0.4">
      <c r="A972" s="2">
        <v>232186</v>
      </c>
      <c r="B972" s="2" t="s">
        <v>1012</v>
      </c>
      <c r="C972" s="2" t="s">
        <v>172</v>
      </c>
      <c r="D972" s="2">
        <v>21433</v>
      </c>
      <c r="E972" s="2">
        <v>50</v>
      </c>
      <c r="F972" s="2" t="s">
        <v>36</v>
      </c>
      <c r="G972" s="2" t="s">
        <v>37</v>
      </c>
      <c r="H972" s="2">
        <v>1</v>
      </c>
      <c r="I972" s="2">
        <v>38</v>
      </c>
      <c r="J972" s="2" t="s">
        <v>41</v>
      </c>
      <c r="K972" s="2">
        <v>626</v>
      </c>
      <c r="L972" s="2">
        <v>51.4</v>
      </c>
      <c r="M972" s="2">
        <v>9328785</v>
      </c>
      <c r="N972" s="2">
        <v>7862652</v>
      </c>
      <c r="O972" s="2"/>
      <c r="P972" s="2"/>
      <c r="Q972">
        <f t="shared" si="30"/>
        <v>24436.083589214453</v>
      </c>
      <c r="R972">
        <f t="shared" si="31"/>
        <v>30662.988600954519</v>
      </c>
    </row>
    <row r="973" spans="1:18" ht="16" x14ac:dyDescent="0.4">
      <c r="A973" s="2">
        <v>232265</v>
      </c>
      <c r="B973" s="2" t="s">
        <v>1013</v>
      </c>
      <c r="C973" s="2" t="s">
        <v>172</v>
      </c>
      <c r="D973" s="2">
        <v>3488</v>
      </c>
      <c r="E973" s="2">
        <v>66.2</v>
      </c>
      <c r="F973" s="2" t="s">
        <v>47</v>
      </c>
      <c r="G973" s="2" t="s">
        <v>37</v>
      </c>
      <c r="H973" s="2">
        <v>1</v>
      </c>
      <c r="I973" s="2">
        <v>38</v>
      </c>
      <c r="J973" s="2" t="s">
        <v>38</v>
      </c>
      <c r="K973" s="2">
        <v>450</v>
      </c>
      <c r="L973" s="2">
        <v>38.9</v>
      </c>
      <c r="M973" s="2">
        <v>7166209</v>
      </c>
      <c r="N973" s="2">
        <v>4165262</v>
      </c>
      <c r="O973" s="2"/>
      <c r="P973" s="2"/>
      <c r="Q973">
        <f t="shared" si="30"/>
        <v>23794.69865752642</v>
      </c>
      <c r="R973">
        <f t="shared" si="31"/>
        <v>26063.680669212587</v>
      </c>
    </row>
    <row r="974" spans="1:18" ht="16" x14ac:dyDescent="0.4">
      <c r="A974" s="2">
        <v>232423</v>
      </c>
      <c r="B974" s="2" t="s">
        <v>1014</v>
      </c>
      <c r="C974" s="2" t="s">
        <v>172</v>
      </c>
      <c r="D974" s="2">
        <v>18772</v>
      </c>
      <c r="E974" s="2">
        <v>58.2</v>
      </c>
      <c r="F974" s="2" t="s">
        <v>36</v>
      </c>
      <c r="G974" s="2" t="s">
        <v>37</v>
      </c>
      <c r="H974" s="2">
        <v>1</v>
      </c>
      <c r="I974" s="2">
        <v>38</v>
      </c>
      <c r="J974" s="2" t="s">
        <v>38</v>
      </c>
      <c r="K974" s="2">
        <v>554</v>
      </c>
      <c r="L974" s="2">
        <v>61.6</v>
      </c>
      <c r="M974" s="2">
        <v>18693305</v>
      </c>
      <c r="N974" s="2">
        <v>12256429</v>
      </c>
      <c r="O974" s="2"/>
      <c r="P974" s="2"/>
      <c r="Q974">
        <f t="shared" si="30"/>
        <v>35914.802030099861</v>
      </c>
      <c r="R974">
        <f t="shared" si="31"/>
        <v>87870.905723525866</v>
      </c>
    </row>
    <row r="975" spans="1:18" ht="16" x14ac:dyDescent="0.4">
      <c r="A975" s="2">
        <v>232557</v>
      </c>
      <c r="B975" s="2" t="s">
        <v>1015</v>
      </c>
      <c r="C975" s="2" t="s">
        <v>172</v>
      </c>
      <c r="D975" s="2">
        <v>28434</v>
      </c>
      <c r="E975" s="2">
        <v>59.2</v>
      </c>
      <c r="F975" s="2" t="s">
        <v>47</v>
      </c>
      <c r="G975" s="2" t="s">
        <v>37</v>
      </c>
      <c r="H975" s="2">
        <v>1</v>
      </c>
      <c r="I975" s="2">
        <v>38</v>
      </c>
      <c r="J975" s="2" t="s">
        <v>38</v>
      </c>
      <c r="K975" s="2">
        <v>564</v>
      </c>
      <c r="L975" s="2">
        <v>51.4</v>
      </c>
      <c r="M975" s="2">
        <v>23789443</v>
      </c>
      <c r="N975" s="2">
        <v>11849053</v>
      </c>
      <c r="O975" s="2"/>
      <c r="P975" s="2"/>
      <c r="Q975">
        <f t="shared" si="30"/>
        <v>40873.461517233765</v>
      </c>
      <c r="R975">
        <f t="shared" si="31"/>
        <v>86789.842541517079</v>
      </c>
    </row>
    <row r="976" spans="1:18" ht="16" x14ac:dyDescent="0.4">
      <c r="A976" s="2">
        <v>232566</v>
      </c>
      <c r="B976" s="2" t="s">
        <v>1016</v>
      </c>
      <c r="C976" s="2" t="s">
        <v>172</v>
      </c>
      <c r="D976" s="2">
        <v>3433</v>
      </c>
      <c r="E976" s="2">
        <v>67.3</v>
      </c>
      <c r="F976" s="2" t="s">
        <v>36</v>
      </c>
      <c r="G976" s="2" t="s">
        <v>37</v>
      </c>
      <c r="H976" s="2">
        <v>1</v>
      </c>
      <c r="I976" s="2">
        <v>38</v>
      </c>
      <c r="J976" s="2" t="s">
        <v>41</v>
      </c>
      <c r="K976" s="2">
        <v>252</v>
      </c>
      <c r="L976" s="2">
        <v>56.7</v>
      </c>
      <c r="M976" s="2">
        <v>3706459</v>
      </c>
      <c r="N976" s="2">
        <v>4395616</v>
      </c>
      <c r="O976" s="2"/>
      <c r="P976" s="2"/>
      <c r="Q976">
        <f t="shared" si="30"/>
        <v>30763.528456650147</v>
      </c>
      <c r="R976">
        <f t="shared" si="31"/>
        <v>33968.061512518791</v>
      </c>
    </row>
    <row r="977" spans="1:18" ht="16" x14ac:dyDescent="0.4">
      <c r="A977" s="2">
        <v>232609</v>
      </c>
      <c r="B977" s="2" t="s">
        <v>1017</v>
      </c>
      <c r="C977" s="2" t="s">
        <v>172</v>
      </c>
      <c r="D977" s="2">
        <v>1814</v>
      </c>
      <c r="E977" s="2">
        <v>61</v>
      </c>
      <c r="F977" s="2" t="s">
        <v>47</v>
      </c>
      <c r="G977" s="2" t="s">
        <v>37</v>
      </c>
      <c r="H977" s="2">
        <v>3</v>
      </c>
      <c r="I977" s="2">
        <v>14</v>
      </c>
      <c r="J977" s="2" t="s">
        <v>41</v>
      </c>
      <c r="K977" s="2">
        <v>560</v>
      </c>
      <c r="L977" s="2">
        <v>45.9</v>
      </c>
      <c r="M977" s="2">
        <v>1346136</v>
      </c>
      <c r="N977" s="2">
        <v>1623418</v>
      </c>
      <c r="O977" s="2"/>
      <c r="P977" s="2"/>
      <c r="Q977">
        <f t="shared" si="30"/>
        <v>6315.8185496420783</v>
      </c>
      <c r="R977">
        <f t="shared" si="31"/>
        <v>4443.2796408766826</v>
      </c>
    </row>
    <row r="978" spans="1:18" ht="16" x14ac:dyDescent="0.4">
      <c r="A978" s="2">
        <v>232672</v>
      </c>
      <c r="B978" s="2" t="s">
        <v>1018</v>
      </c>
      <c r="C978" s="2" t="s">
        <v>172</v>
      </c>
      <c r="D978" s="2">
        <v>1035</v>
      </c>
      <c r="E978" s="2">
        <v>79.900000000000006</v>
      </c>
      <c r="F978" s="2" t="s">
        <v>47</v>
      </c>
      <c r="G978" s="2" t="s">
        <v>37</v>
      </c>
      <c r="H978" s="2">
        <v>3</v>
      </c>
      <c r="I978" s="2">
        <v>9</v>
      </c>
      <c r="J978" s="2" t="s">
        <v>41</v>
      </c>
      <c r="K978" s="2">
        <v>182</v>
      </c>
      <c r="L978" s="2">
        <v>67.599999999999994</v>
      </c>
      <c r="M978" s="2">
        <v>151814</v>
      </c>
      <c r="N978" s="2">
        <v>429013</v>
      </c>
      <c r="O978" s="2"/>
      <c r="P978" s="2"/>
      <c r="Q978">
        <f t="shared" si="30"/>
        <v>3487.0033812341508</v>
      </c>
      <c r="R978">
        <f t="shared" si="31"/>
        <v>2574.5149911816575</v>
      </c>
    </row>
    <row r="979" spans="1:18" ht="16" x14ac:dyDescent="0.4">
      <c r="A979" s="2">
        <v>232681</v>
      </c>
      <c r="B979" s="2" t="s">
        <v>1019</v>
      </c>
      <c r="C979" s="2" t="s">
        <v>172</v>
      </c>
      <c r="D979" s="2">
        <v>3687</v>
      </c>
      <c r="E979" s="2">
        <v>63.9</v>
      </c>
      <c r="F979" s="2" t="s">
        <v>36</v>
      </c>
      <c r="G979" s="2" t="s">
        <v>37</v>
      </c>
      <c r="H979" s="2">
        <v>3</v>
      </c>
      <c r="I979" s="2">
        <v>15</v>
      </c>
      <c r="J979" s="2" t="s">
        <v>41</v>
      </c>
      <c r="K979" s="2">
        <v>619</v>
      </c>
      <c r="L979" s="2">
        <v>48</v>
      </c>
      <c r="M979" s="2">
        <v>1140287</v>
      </c>
      <c r="N979" s="2">
        <v>1270425</v>
      </c>
      <c r="O979" s="2"/>
      <c r="P979" s="2"/>
      <c r="Q979">
        <f t="shared" si="30"/>
        <v>4275.7976575121165</v>
      </c>
      <c r="R979">
        <f t="shared" si="31"/>
        <v>3542.584192866907</v>
      </c>
    </row>
    <row r="980" spans="1:18" ht="16" x14ac:dyDescent="0.4">
      <c r="A980" s="2">
        <v>232706</v>
      </c>
      <c r="B980" s="2" t="s">
        <v>1020</v>
      </c>
      <c r="C980" s="2" t="s">
        <v>172</v>
      </c>
      <c r="D980" s="2">
        <v>1947</v>
      </c>
      <c r="E980" s="2">
        <v>65.7</v>
      </c>
      <c r="F980" s="2" t="s">
        <v>47</v>
      </c>
      <c r="G980" s="2" t="s">
        <v>37</v>
      </c>
      <c r="H980" s="2">
        <v>3</v>
      </c>
      <c r="I980" s="2">
        <v>9</v>
      </c>
      <c r="J980" s="2" t="s">
        <v>41</v>
      </c>
      <c r="K980" s="2">
        <v>275</v>
      </c>
      <c r="L980" s="2">
        <v>39.6</v>
      </c>
      <c r="M980" s="2">
        <v>1116402</v>
      </c>
      <c r="N980" s="2">
        <v>840898</v>
      </c>
      <c r="O980" s="2"/>
      <c r="P980" s="2"/>
      <c r="Q980">
        <f t="shared" si="30"/>
        <v>7721.744719926538</v>
      </c>
      <c r="R980">
        <f t="shared" si="31"/>
        <v>6721.2642986152923</v>
      </c>
    </row>
    <row r="981" spans="1:18" ht="16" x14ac:dyDescent="0.4">
      <c r="A981" s="2">
        <v>232937</v>
      </c>
      <c r="B981" s="2" t="s">
        <v>1021</v>
      </c>
      <c r="C981" s="2" t="s">
        <v>172</v>
      </c>
      <c r="D981" s="2">
        <v>4570</v>
      </c>
      <c r="E981" s="2">
        <v>65.7</v>
      </c>
      <c r="F981" s="2" t="s">
        <v>36</v>
      </c>
      <c r="G981" s="2" t="s">
        <v>37</v>
      </c>
      <c r="H981" s="2">
        <v>1</v>
      </c>
      <c r="I981" s="2">
        <v>11</v>
      </c>
      <c r="J981" s="2" t="s">
        <v>38</v>
      </c>
      <c r="K981" s="2">
        <v>359</v>
      </c>
      <c r="L981" s="2">
        <v>41.8</v>
      </c>
      <c r="M981" s="2">
        <v>6401776</v>
      </c>
      <c r="N981" s="2">
        <v>2915973</v>
      </c>
      <c r="O981" s="2"/>
      <c r="P981" s="2"/>
      <c r="Q981">
        <f t="shared" si="30"/>
        <v>19431.788194213063</v>
      </c>
      <c r="R981">
        <f t="shared" si="31"/>
        <v>30639.596435306164</v>
      </c>
    </row>
    <row r="982" spans="1:18" ht="16" x14ac:dyDescent="0.4">
      <c r="A982" s="2">
        <v>232982</v>
      </c>
      <c r="B982" s="2" t="s">
        <v>1022</v>
      </c>
      <c r="C982" s="2" t="s">
        <v>172</v>
      </c>
      <c r="D982" s="2">
        <v>14680</v>
      </c>
      <c r="E982" s="2">
        <v>55.1</v>
      </c>
      <c r="F982" s="2" t="s">
        <v>36</v>
      </c>
      <c r="G982" s="2" t="s">
        <v>37</v>
      </c>
      <c r="H982" s="2">
        <v>1</v>
      </c>
      <c r="I982" s="2">
        <v>38</v>
      </c>
      <c r="J982" s="2" t="s">
        <v>38</v>
      </c>
      <c r="K982" s="2">
        <v>481</v>
      </c>
      <c r="L982" s="2">
        <v>39.5</v>
      </c>
      <c r="M982" s="2">
        <v>20536779</v>
      </c>
      <c r="N982" s="2">
        <v>8273103</v>
      </c>
      <c r="O982" s="2"/>
      <c r="P982" s="2"/>
      <c r="Q982">
        <f t="shared" si="30"/>
        <v>43543.793257717305</v>
      </c>
      <c r="R982">
        <f t="shared" si="31"/>
        <v>70571.911135547503</v>
      </c>
    </row>
    <row r="983" spans="1:18" ht="16" x14ac:dyDescent="0.4">
      <c r="A983" s="2">
        <v>233277</v>
      </c>
      <c r="B983" s="2" t="s">
        <v>1023</v>
      </c>
      <c r="C983" s="2" t="s">
        <v>172</v>
      </c>
      <c r="D983" s="2">
        <v>7480</v>
      </c>
      <c r="E983" s="2">
        <v>60.8</v>
      </c>
      <c r="F983" s="2" t="s">
        <v>36</v>
      </c>
      <c r="G983" s="2" t="s">
        <v>37</v>
      </c>
      <c r="H983" s="2">
        <v>1</v>
      </c>
      <c r="I983" s="2">
        <v>38</v>
      </c>
      <c r="J983" s="2" t="s">
        <v>41</v>
      </c>
      <c r="K983" s="2">
        <v>309</v>
      </c>
      <c r="L983" s="2">
        <v>61.5</v>
      </c>
      <c r="M983" s="2">
        <v>4141453</v>
      </c>
      <c r="N983" s="2">
        <v>3920707</v>
      </c>
      <c r="O983" s="2"/>
      <c r="P983" s="2"/>
      <c r="Q983">
        <f t="shared" si="30"/>
        <v>20631.499460625673</v>
      </c>
      <c r="R983">
        <f t="shared" si="31"/>
        <v>34812.364981297018</v>
      </c>
    </row>
    <row r="984" spans="1:18" ht="16" x14ac:dyDescent="0.4">
      <c r="A984" s="2">
        <v>233295</v>
      </c>
      <c r="B984" s="2" t="s">
        <v>1024</v>
      </c>
      <c r="C984" s="2" t="s">
        <v>172</v>
      </c>
      <c r="D984" s="2">
        <v>1513</v>
      </c>
      <c r="E984" s="2">
        <v>52.8</v>
      </c>
      <c r="F984" s="2" t="s">
        <v>47</v>
      </c>
      <c r="G984" s="2" t="s">
        <v>37</v>
      </c>
      <c r="H984" s="2">
        <v>3</v>
      </c>
      <c r="I984" s="2">
        <v>38</v>
      </c>
      <c r="J984" s="2" t="s">
        <v>38</v>
      </c>
      <c r="K984" s="2">
        <v>521</v>
      </c>
      <c r="L984" s="2">
        <v>34.4</v>
      </c>
      <c r="M984" s="2">
        <v>1609189</v>
      </c>
      <c r="N984" s="2">
        <v>1102831</v>
      </c>
      <c r="O984" s="2"/>
      <c r="P984" s="2"/>
      <c r="Q984">
        <f t="shared" si="30"/>
        <v>6153.3667365977772</v>
      </c>
      <c r="R984">
        <f t="shared" si="31"/>
        <v>4708.3148026777781</v>
      </c>
    </row>
    <row r="985" spans="1:18" ht="16" x14ac:dyDescent="0.4">
      <c r="A985" s="2">
        <v>233301</v>
      </c>
      <c r="B985" s="2" t="s">
        <v>1025</v>
      </c>
      <c r="C985" s="2" t="s">
        <v>172</v>
      </c>
      <c r="D985" s="2">
        <v>542</v>
      </c>
      <c r="E985" s="2">
        <v>61.3</v>
      </c>
      <c r="F985" s="2" t="s">
        <v>47</v>
      </c>
      <c r="G985" s="2" t="s">
        <v>37</v>
      </c>
      <c r="H985" s="2">
        <v>3</v>
      </c>
      <c r="I985" s="2">
        <v>38</v>
      </c>
      <c r="J985" s="2" t="s">
        <v>41</v>
      </c>
      <c r="K985" s="2">
        <v>299</v>
      </c>
      <c r="L985" s="2">
        <v>52.5</v>
      </c>
      <c r="M985" s="2">
        <v>399542</v>
      </c>
      <c r="N985" s="2">
        <v>520463</v>
      </c>
      <c r="O985" s="2"/>
      <c r="P985" s="2"/>
      <c r="Q985">
        <f t="shared" si="30"/>
        <v>3315.5789138397836</v>
      </c>
      <c r="R985">
        <f t="shared" si="31"/>
        <v>2813.1807780320364</v>
      </c>
    </row>
    <row r="986" spans="1:18" ht="16" x14ac:dyDescent="0.4">
      <c r="A986" s="2">
        <v>233374</v>
      </c>
      <c r="B986" s="2" t="s">
        <v>1026</v>
      </c>
      <c r="C986" s="2" t="s">
        <v>172</v>
      </c>
      <c r="D986" s="2">
        <v>2937</v>
      </c>
      <c r="E986" s="2">
        <v>51.5</v>
      </c>
      <c r="F986" s="2" t="s">
        <v>47</v>
      </c>
      <c r="G986" s="2" t="s">
        <v>37</v>
      </c>
      <c r="H986" s="2">
        <v>1</v>
      </c>
      <c r="I986" s="2">
        <v>38</v>
      </c>
      <c r="J986" s="2" t="s">
        <v>38</v>
      </c>
      <c r="K986" s="2">
        <v>467</v>
      </c>
      <c r="L986" s="2">
        <v>52.9</v>
      </c>
      <c r="M986" s="2">
        <v>15451927</v>
      </c>
      <c r="N986" s="2">
        <v>9338927</v>
      </c>
      <c r="O986" s="2"/>
      <c r="P986" s="2"/>
      <c r="Q986">
        <f t="shared" si="30"/>
        <v>37802.839991418499</v>
      </c>
      <c r="R986">
        <f t="shared" si="31"/>
        <v>70249.762453570467</v>
      </c>
    </row>
    <row r="987" spans="1:18" ht="16" x14ac:dyDescent="0.4">
      <c r="A987" s="2">
        <v>233426</v>
      </c>
      <c r="B987" s="2" t="s">
        <v>1027</v>
      </c>
      <c r="C987" s="2" t="s">
        <v>172</v>
      </c>
      <c r="D987" s="2">
        <v>1928</v>
      </c>
      <c r="E987" s="2">
        <v>57.7</v>
      </c>
      <c r="F987" s="2" t="s">
        <v>47</v>
      </c>
      <c r="G987" s="2" t="s">
        <v>37</v>
      </c>
      <c r="H987" s="2">
        <v>3</v>
      </c>
      <c r="I987" s="2">
        <v>38</v>
      </c>
      <c r="J987" s="2" t="s">
        <v>41</v>
      </c>
      <c r="K987" s="2">
        <v>541</v>
      </c>
      <c r="L987" s="2">
        <v>49.2</v>
      </c>
      <c r="M987" s="2">
        <v>934931</v>
      </c>
      <c r="N987" s="2">
        <v>1018245</v>
      </c>
      <c r="O987" s="2"/>
      <c r="P987" s="2"/>
      <c r="Q987">
        <f t="shared" si="30"/>
        <v>3825.5150804742793</v>
      </c>
      <c r="R987">
        <f t="shared" si="31"/>
        <v>3401.8768102231211</v>
      </c>
    </row>
    <row r="988" spans="1:18" ht="16" x14ac:dyDescent="0.4">
      <c r="A988" s="2">
        <v>233541</v>
      </c>
      <c r="B988" s="2" t="s">
        <v>1028</v>
      </c>
      <c r="C988" s="2" t="s">
        <v>172</v>
      </c>
      <c r="D988" s="2">
        <v>1989</v>
      </c>
      <c r="E988" s="2">
        <v>59.7</v>
      </c>
      <c r="F988" s="2" t="s">
        <v>47</v>
      </c>
      <c r="G988" s="2" t="s">
        <v>37</v>
      </c>
      <c r="H988" s="2">
        <v>3</v>
      </c>
      <c r="I988" s="2">
        <v>38</v>
      </c>
      <c r="J988" s="2" t="s">
        <v>38</v>
      </c>
      <c r="K988" s="2">
        <v>572</v>
      </c>
      <c r="L988" s="2">
        <v>37.4</v>
      </c>
      <c r="M988" s="2">
        <v>1676316</v>
      </c>
      <c r="N988" s="2">
        <v>1120248</v>
      </c>
      <c r="O988" s="2"/>
      <c r="P988" s="2"/>
      <c r="Q988">
        <f t="shared" si="30"/>
        <v>5236.5655734639695</v>
      </c>
      <c r="R988">
        <f t="shared" si="31"/>
        <v>4681.5053955629037</v>
      </c>
    </row>
    <row r="989" spans="1:18" ht="16" x14ac:dyDescent="0.4">
      <c r="A989" s="2">
        <v>233611</v>
      </c>
      <c r="B989" s="2" t="s">
        <v>1029</v>
      </c>
      <c r="C989" s="2" t="s">
        <v>172</v>
      </c>
      <c r="D989" s="2">
        <v>1015</v>
      </c>
      <c r="E989" s="2">
        <v>52.3</v>
      </c>
      <c r="F989" s="2" t="s">
        <v>47</v>
      </c>
      <c r="G989" s="2" t="s">
        <v>37</v>
      </c>
      <c r="H989" s="2">
        <v>3</v>
      </c>
      <c r="I989" s="2">
        <v>14</v>
      </c>
      <c r="J989" s="2" t="s">
        <v>38</v>
      </c>
      <c r="K989" s="2">
        <v>498</v>
      </c>
      <c r="L989" s="2">
        <v>37.799999999999997</v>
      </c>
      <c r="M989" s="2">
        <v>1775779</v>
      </c>
      <c r="N989" s="2">
        <v>905038</v>
      </c>
      <c r="O989" s="2"/>
      <c r="P989" s="2"/>
      <c r="Q989">
        <f t="shared" si="30"/>
        <v>4807.7920146193237</v>
      </c>
      <c r="R989">
        <f t="shared" si="31"/>
        <v>5732.8316481359525</v>
      </c>
    </row>
    <row r="990" spans="1:18" ht="16" x14ac:dyDescent="0.4">
      <c r="A990" s="2">
        <v>233897</v>
      </c>
      <c r="B990" s="2" t="s">
        <v>1030</v>
      </c>
      <c r="C990" s="2" t="s">
        <v>172</v>
      </c>
      <c r="D990" s="2">
        <v>1085</v>
      </c>
      <c r="E990" s="2">
        <v>51.1</v>
      </c>
      <c r="F990" s="2" t="s">
        <v>36</v>
      </c>
      <c r="G990" s="2" t="s">
        <v>37</v>
      </c>
      <c r="H990" s="2">
        <v>2</v>
      </c>
      <c r="I990" s="2">
        <v>38</v>
      </c>
      <c r="J990" s="2" t="s">
        <v>38</v>
      </c>
      <c r="K990" s="2">
        <v>280</v>
      </c>
      <c r="L990" s="2">
        <v>31.1</v>
      </c>
      <c r="M990" s="2">
        <v>2157227</v>
      </c>
      <c r="N990" s="2">
        <v>1308801</v>
      </c>
      <c r="O990" s="2"/>
      <c r="P990" s="2"/>
      <c r="Q990">
        <f t="shared" si="30"/>
        <v>15029.869085898024</v>
      </c>
      <c r="R990">
        <f t="shared" si="31"/>
        <v>11181.97698527887</v>
      </c>
    </row>
    <row r="991" spans="1:18" ht="16" x14ac:dyDescent="0.4">
      <c r="A991" s="2">
        <v>233921</v>
      </c>
      <c r="B991" s="2" t="s">
        <v>1031</v>
      </c>
      <c r="C991" s="2" t="s">
        <v>172</v>
      </c>
      <c r="D991" s="2">
        <v>28539</v>
      </c>
      <c r="E991" s="2">
        <v>43</v>
      </c>
      <c r="F991" s="2" t="s">
        <v>36</v>
      </c>
      <c r="G991" s="2" t="s">
        <v>37</v>
      </c>
      <c r="H991" s="2">
        <v>1</v>
      </c>
      <c r="I991" s="2">
        <v>38</v>
      </c>
      <c r="J991" s="2" t="s">
        <v>38</v>
      </c>
      <c r="K991" s="2">
        <v>694</v>
      </c>
      <c r="L991" s="2">
        <v>43.5</v>
      </c>
      <c r="M991" s="2">
        <v>58927456</v>
      </c>
      <c r="N991" s="2">
        <v>20990440</v>
      </c>
      <c r="O991" s="2"/>
      <c r="P991" s="2"/>
      <c r="Q991">
        <f t="shared" si="30"/>
        <v>69530.09374275399</v>
      </c>
      <c r="R991">
        <f t="shared" si="31"/>
        <v>150282.97161510799</v>
      </c>
    </row>
    <row r="992" spans="1:18" ht="16" x14ac:dyDescent="0.4">
      <c r="A992" s="2">
        <v>234030</v>
      </c>
      <c r="B992" s="2" t="s">
        <v>1032</v>
      </c>
      <c r="C992" s="2" t="s">
        <v>172</v>
      </c>
      <c r="D992" s="2">
        <v>19734</v>
      </c>
      <c r="E992" s="2">
        <v>61.6</v>
      </c>
      <c r="F992" s="2" t="s">
        <v>36</v>
      </c>
      <c r="G992" s="2" t="s">
        <v>37</v>
      </c>
      <c r="H992" s="2">
        <v>1</v>
      </c>
      <c r="I992" s="2">
        <v>38</v>
      </c>
      <c r="J992" s="2" t="s">
        <v>41</v>
      </c>
      <c r="K992" s="2">
        <v>402</v>
      </c>
      <c r="L992" s="2">
        <v>54.2</v>
      </c>
      <c r="M992" s="2">
        <v>10824912</v>
      </c>
      <c r="N992" s="2">
        <v>8654277</v>
      </c>
      <c r="O992" s="2"/>
      <c r="P992" s="2"/>
      <c r="Q992">
        <f t="shared" si="30"/>
        <v>39719.653577132784</v>
      </c>
      <c r="R992">
        <f t="shared" si="31"/>
        <v>58793.977709704755</v>
      </c>
    </row>
    <row r="993" spans="1:18" ht="16" x14ac:dyDescent="0.4">
      <c r="A993" s="2">
        <v>234076</v>
      </c>
      <c r="B993" s="2" t="s">
        <v>1033</v>
      </c>
      <c r="C993" s="2" t="s">
        <v>172</v>
      </c>
      <c r="D993" s="2">
        <v>16174</v>
      </c>
      <c r="E993" s="2">
        <v>54.7</v>
      </c>
      <c r="F993" s="2" t="s">
        <v>36</v>
      </c>
      <c r="G993" s="2" t="s">
        <v>37</v>
      </c>
      <c r="H993" s="2">
        <v>1</v>
      </c>
      <c r="I993" s="2">
        <v>38</v>
      </c>
      <c r="J993" s="2" t="s">
        <v>38</v>
      </c>
      <c r="K993" s="2">
        <v>898</v>
      </c>
      <c r="L993" s="2">
        <v>46</v>
      </c>
      <c r="M993" s="2">
        <v>52363345</v>
      </c>
      <c r="N993" s="2">
        <v>19634482</v>
      </c>
      <c r="O993" s="2"/>
      <c r="P993" s="2"/>
      <c r="Q993">
        <f t="shared" si="30"/>
        <v>47531.911494141568</v>
      </c>
      <c r="R993">
        <f t="shared" si="31"/>
        <v>107983.47150045368</v>
      </c>
    </row>
    <row r="994" spans="1:18" ht="16" x14ac:dyDescent="0.4">
      <c r="A994" s="2">
        <v>234085</v>
      </c>
      <c r="B994" s="2" t="s">
        <v>1034</v>
      </c>
      <c r="C994" s="2" t="s">
        <v>172</v>
      </c>
      <c r="D994" s="2">
        <v>1698</v>
      </c>
      <c r="E994" s="2">
        <v>14.1</v>
      </c>
      <c r="F994" s="2" t="s">
        <v>36</v>
      </c>
      <c r="G994" s="2" t="s">
        <v>37</v>
      </c>
      <c r="H994" s="2">
        <v>1</v>
      </c>
      <c r="I994" s="2">
        <v>38</v>
      </c>
      <c r="J994" s="2" t="s">
        <v>38</v>
      </c>
      <c r="K994" s="2">
        <v>561</v>
      </c>
      <c r="L994" s="2">
        <v>24.4</v>
      </c>
      <c r="M994" s="2">
        <v>7817198</v>
      </c>
      <c r="N994" s="2">
        <v>1353578</v>
      </c>
      <c r="O994" s="2"/>
      <c r="P994" s="2"/>
      <c r="Q994">
        <f t="shared" si="30"/>
        <v>9888.5041348879349</v>
      </c>
      <c r="R994">
        <f t="shared" si="31"/>
        <v>18431.745088607833</v>
      </c>
    </row>
    <row r="995" spans="1:18" ht="16" x14ac:dyDescent="0.4">
      <c r="A995" s="2">
        <v>234155</v>
      </c>
      <c r="B995" s="2" t="s">
        <v>1035</v>
      </c>
      <c r="C995" s="2" t="s">
        <v>172</v>
      </c>
      <c r="D995" s="2">
        <v>3903</v>
      </c>
      <c r="E995" s="2">
        <v>58.5</v>
      </c>
      <c r="F995" s="2" t="s">
        <v>36</v>
      </c>
      <c r="G995" s="2" t="s">
        <v>37</v>
      </c>
      <c r="H995" s="2">
        <v>2</v>
      </c>
      <c r="I995" s="2">
        <v>38</v>
      </c>
      <c r="J995" s="2" t="s">
        <v>38</v>
      </c>
      <c r="K995" s="2">
        <v>358</v>
      </c>
      <c r="L995" s="2">
        <v>34.1</v>
      </c>
      <c r="M995" s="2">
        <v>2322740</v>
      </c>
      <c r="N995" s="2">
        <v>1290433</v>
      </c>
      <c r="O995" s="2"/>
      <c r="P995" s="2"/>
      <c r="Q995">
        <f t="shared" si="30"/>
        <v>10570.561444322482</v>
      </c>
      <c r="R995">
        <f t="shared" si="31"/>
        <v>9845.37262315511</v>
      </c>
    </row>
    <row r="996" spans="1:18" ht="16" x14ac:dyDescent="0.4">
      <c r="A996" s="2">
        <v>234164</v>
      </c>
      <c r="B996" s="2" t="s">
        <v>1036</v>
      </c>
      <c r="C996" s="2" t="s">
        <v>172</v>
      </c>
      <c r="D996" s="2">
        <v>1015</v>
      </c>
      <c r="E996" s="2">
        <v>50</v>
      </c>
      <c r="F996" s="2" t="s">
        <v>47</v>
      </c>
      <c r="G996" s="2" t="s">
        <v>37</v>
      </c>
      <c r="H996" s="2">
        <v>2</v>
      </c>
      <c r="I996" s="2">
        <v>38</v>
      </c>
      <c r="J996" s="2" t="s">
        <v>38</v>
      </c>
      <c r="K996" s="2">
        <v>277</v>
      </c>
      <c r="L996" s="2">
        <v>31.4</v>
      </c>
      <c r="M996" s="2">
        <v>2211326</v>
      </c>
      <c r="N996" s="2">
        <v>1137812</v>
      </c>
      <c r="O996" s="2"/>
      <c r="P996" s="2"/>
      <c r="Q996">
        <f t="shared" si="30"/>
        <v>13081.606843109752</v>
      </c>
      <c r="R996">
        <f t="shared" si="31"/>
        <v>11637.210428266202</v>
      </c>
    </row>
    <row r="997" spans="1:18" ht="16" x14ac:dyDescent="0.4">
      <c r="A997" s="2">
        <v>234173</v>
      </c>
      <c r="B997" s="2" t="s">
        <v>1037</v>
      </c>
      <c r="C997" s="2" t="s">
        <v>172</v>
      </c>
      <c r="D997" s="2">
        <v>1222</v>
      </c>
      <c r="E997" s="2">
        <v>57.9</v>
      </c>
      <c r="F997" s="2" t="s">
        <v>47</v>
      </c>
      <c r="G997" s="2" t="s">
        <v>37</v>
      </c>
      <c r="H997" s="2">
        <v>3</v>
      </c>
      <c r="I997" s="2">
        <v>38</v>
      </c>
      <c r="J997" s="2" t="s">
        <v>41</v>
      </c>
      <c r="K997" s="2">
        <v>457</v>
      </c>
      <c r="L997" s="2">
        <v>43.8</v>
      </c>
      <c r="M997" s="2">
        <v>923436</v>
      </c>
      <c r="N997" s="2">
        <v>984764</v>
      </c>
      <c r="O997" s="2"/>
      <c r="P997" s="2"/>
      <c r="Q997">
        <f t="shared" si="30"/>
        <v>4919.7366186065565</v>
      </c>
      <c r="R997">
        <f t="shared" si="31"/>
        <v>3595.4585452081888</v>
      </c>
    </row>
    <row r="998" spans="1:18" ht="16" x14ac:dyDescent="0.4">
      <c r="A998" s="2">
        <v>234207</v>
      </c>
      <c r="B998" s="2" t="s">
        <v>1038</v>
      </c>
      <c r="C998" s="2" t="s">
        <v>172</v>
      </c>
      <c r="D998" s="2">
        <v>1843</v>
      </c>
      <c r="E998" s="2">
        <v>50.4</v>
      </c>
      <c r="F998" s="2" t="s">
        <v>47</v>
      </c>
      <c r="G998" s="2" t="s">
        <v>37</v>
      </c>
      <c r="H998" s="2">
        <v>3</v>
      </c>
      <c r="I998" s="2">
        <v>15</v>
      </c>
      <c r="J998" s="2" t="s">
        <v>38</v>
      </c>
      <c r="K998" s="2">
        <v>666</v>
      </c>
      <c r="L998" s="2">
        <v>43.4</v>
      </c>
      <c r="M998" s="2">
        <v>2099535</v>
      </c>
      <c r="N998" s="2">
        <v>1526011</v>
      </c>
      <c r="O998" s="2"/>
      <c r="P998" s="2"/>
      <c r="Q998">
        <f t="shared" si="30"/>
        <v>5279.5110778981752</v>
      </c>
      <c r="R998">
        <f t="shared" si="31"/>
        <v>5569.7084009804857</v>
      </c>
    </row>
    <row r="999" spans="1:18" ht="16" x14ac:dyDescent="0.4">
      <c r="A999" s="2">
        <v>234827</v>
      </c>
      <c r="B999" s="2" t="s">
        <v>1039</v>
      </c>
      <c r="C999" s="2" t="s">
        <v>60</v>
      </c>
      <c r="D999" s="2">
        <v>9833</v>
      </c>
      <c r="E999" s="2">
        <v>52.1</v>
      </c>
      <c r="F999" s="2" t="s">
        <v>36</v>
      </c>
      <c r="G999" s="2" t="s">
        <v>37</v>
      </c>
      <c r="H999" s="2">
        <v>2</v>
      </c>
      <c r="I999" s="2">
        <v>38</v>
      </c>
      <c r="J999" s="2" t="s">
        <v>38</v>
      </c>
      <c r="K999" s="2">
        <v>550</v>
      </c>
      <c r="L999" s="2">
        <v>50.7</v>
      </c>
      <c r="M999" s="2">
        <v>2805754</v>
      </c>
      <c r="N999" s="2">
        <v>2198056</v>
      </c>
      <c r="O999" s="2"/>
      <c r="P999" s="2"/>
      <c r="Q999">
        <f t="shared" si="30"/>
        <v>7882.5748610363989</v>
      </c>
      <c r="R999">
        <f t="shared" si="31"/>
        <v>10347.608334869999</v>
      </c>
    </row>
    <row r="1000" spans="1:18" ht="16" x14ac:dyDescent="0.4">
      <c r="A1000" s="2">
        <v>235097</v>
      </c>
      <c r="B1000" s="2" t="s">
        <v>1040</v>
      </c>
      <c r="C1000" s="2" t="s">
        <v>60</v>
      </c>
      <c r="D1000" s="2">
        <v>8906</v>
      </c>
      <c r="E1000" s="2">
        <v>54.5</v>
      </c>
      <c r="F1000" s="2" t="s">
        <v>36</v>
      </c>
      <c r="G1000" s="2" t="s">
        <v>37</v>
      </c>
      <c r="H1000" s="2">
        <v>1</v>
      </c>
      <c r="I1000" s="2">
        <v>38</v>
      </c>
      <c r="J1000" s="2" t="s">
        <v>38</v>
      </c>
      <c r="K1000" s="2">
        <v>434</v>
      </c>
      <c r="L1000" s="2">
        <v>44.2</v>
      </c>
      <c r="M1000" s="2">
        <v>7737730</v>
      </c>
      <c r="N1000" s="2">
        <v>4677726</v>
      </c>
      <c r="O1000" s="2"/>
      <c r="P1000" s="2"/>
      <c r="Q1000">
        <f t="shared" si="30"/>
        <v>24385.001146860726</v>
      </c>
      <c r="R1000">
        <f t="shared" si="31"/>
        <v>31951.381662619959</v>
      </c>
    </row>
    <row r="1001" spans="1:18" ht="16" x14ac:dyDescent="0.4">
      <c r="A1001" s="2">
        <v>235316</v>
      </c>
      <c r="B1001" s="2" t="s">
        <v>1041</v>
      </c>
      <c r="C1001" s="2" t="s">
        <v>60</v>
      </c>
      <c r="D1001" s="2">
        <v>5065</v>
      </c>
      <c r="E1001" s="2">
        <v>52.9</v>
      </c>
      <c r="F1001" s="2" t="s">
        <v>47</v>
      </c>
      <c r="G1001" s="2" t="s">
        <v>37</v>
      </c>
      <c r="H1001" s="2">
        <v>1</v>
      </c>
      <c r="I1001" s="2">
        <v>38</v>
      </c>
      <c r="J1001" s="2" t="s">
        <v>41</v>
      </c>
      <c r="K1001" s="2">
        <v>420</v>
      </c>
      <c r="L1001" s="2">
        <v>51.7</v>
      </c>
      <c r="M1001" s="2">
        <v>15922011</v>
      </c>
      <c r="N1001" s="2">
        <v>11157257</v>
      </c>
      <c r="O1001" s="2"/>
      <c r="P1001" s="2"/>
      <c r="Q1001">
        <f t="shared" si="30"/>
        <v>51382.780694482819</v>
      </c>
      <c r="R1001">
        <f t="shared" si="31"/>
        <v>78487.681159420303</v>
      </c>
    </row>
    <row r="1002" spans="1:18" ht="16" x14ac:dyDescent="0.4">
      <c r="A1002" s="2">
        <v>236230</v>
      </c>
      <c r="B1002" s="2" t="s">
        <v>1042</v>
      </c>
      <c r="C1002" s="2" t="s">
        <v>60</v>
      </c>
      <c r="D1002" s="2">
        <v>2623</v>
      </c>
      <c r="E1002" s="2">
        <v>63.7</v>
      </c>
      <c r="F1002" s="2" t="s">
        <v>47</v>
      </c>
      <c r="G1002" s="2" t="s">
        <v>37</v>
      </c>
      <c r="H1002" s="2">
        <v>3</v>
      </c>
      <c r="I1002" s="2">
        <v>13</v>
      </c>
      <c r="J1002" s="2" t="s">
        <v>38</v>
      </c>
      <c r="K1002" s="2">
        <v>469</v>
      </c>
      <c r="L1002" s="2">
        <v>43.9</v>
      </c>
      <c r="M1002" s="2">
        <v>1485988</v>
      </c>
      <c r="N1002" s="2">
        <v>1124874</v>
      </c>
      <c r="O1002" s="2"/>
      <c r="P1002" s="2"/>
      <c r="Q1002">
        <f t="shared" si="30"/>
        <v>5463.4442496272304</v>
      </c>
      <c r="R1002">
        <f t="shared" si="31"/>
        <v>5647.8037619389679</v>
      </c>
    </row>
    <row r="1003" spans="1:18" ht="16" x14ac:dyDescent="0.4">
      <c r="A1003" s="2">
        <v>236328</v>
      </c>
      <c r="B1003" s="2" t="s">
        <v>1043</v>
      </c>
      <c r="C1003" s="2" t="s">
        <v>60</v>
      </c>
      <c r="D1003" s="2">
        <v>2271</v>
      </c>
      <c r="E1003" s="2">
        <v>59.4</v>
      </c>
      <c r="F1003" s="2" t="s">
        <v>47</v>
      </c>
      <c r="G1003" s="2" t="s">
        <v>37</v>
      </c>
      <c r="H1003" s="2">
        <v>3</v>
      </c>
      <c r="I1003" s="2">
        <v>38</v>
      </c>
      <c r="J1003" s="2" t="s">
        <v>38</v>
      </c>
      <c r="K1003" s="2">
        <v>525</v>
      </c>
      <c r="L1003" s="2">
        <v>45.1</v>
      </c>
      <c r="M1003" s="2">
        <v>1097339</v>
      </c>
      <c r="N1003" s="2">
        <v>958748</v>
      </c>
      <c r="O1003" s="2"/>
      <c r="P1003" s="2"/>
      <c r="Q1003">
        <f t="shared" si="30"/>
        <v>4049.1943828529193</v>
      </c>
      <c r="R1003">
        <f t="shared" si="31"/>
        <v>3807.2304623124292</v>
      </c>
    </row>
    <row r="1004" spans="1:18" ht="16" x14ac:dyDescent="0.4">
      <c r="A1004" s="2">
        <v>236452</v>
      </c>
      <c r="B1004" s="2" t="s">
        <v>1044</v>
      </c>
      <c r="C1004" s="2" t="s">
        <v>60</v>
      </c>
      <c r="D1004" s="2">
        <v>1251</v>
      </c>
      <c r="E1004" s="2">
        <v>52.2</v>
      </c>
      <c r="F1004" s="2" t="s">
        <v>47</v>
      </c>
      <c r="G1004" s="2" t="s">
        <v>37</v>
      </c>
      <c r="H1004" s="2">
        <v>2</v>
      </c>
      <c r="I1004" s="2">
        <v>10</v>
      </c>
      <c r="J1004" s="2" t="s">
        <v>41</v>
      </c>
      <c r="K1004" s="2">
        <v>272</v>
      </c>
      <c r="L1004" s="2">
        <v>45.2</v>
      </c>
      <c r="M1004" s="2">
        <v>1899895</v>
      </c>
      <c r="N1004" s="2">
        <v>2286214</v>
      </c>
      <c r="O1004" s="2"/>
      <c r="P1004" s="2"/>
      <c r="Q1004">
        <f t="shared" si="30"/>
        <v>18595.571967725144</v>
      </c>
      <c r="R1004">
        <f t="shared" si="31"/>
        <v>12746.182642765136</v>
      </c>
    </row>
    <row r="1005" spans="1:18" ht="16" x14ac:dyDescent="0.4">
      <c r="A1005" s="2">
        <v>236577</v>
      </c>
      <c r="B1005" s="2" t="s">
        <v>1045</v>
      </c>
      <c r="C1005" s="2" t="s">
        <v>60</v>
      </c>
      <c r="D1005" s="2">
        <v>2635</v>
      </c>
      <c r="E1005" s="2">
        <v>67.099999999999994</v>
      </c>
      <c r="F1005" s="2" t="s">
        <v>47</v>
      </c>
      <c r="G1005" s="2" t="s">
        <v>37</v>
      </c>
      <c r="H1005" s="2">
        <v>2</v>
      </c>
      <c r="I1005" s="2">
        <v>38</v>
      </c>
      <c r="J1005" s="2" t="s">
        <v>41</v>
      </c>
      <c r="K1005" s="2">
        <v>250</v>
      </c>
      <c r="L1005" s="2">
        <v>62.4</v>
      </c>
      <c r="M1005" s="2">
        <v>1940263</v>
      </c>
      <c r="N1005" s="2">
        <v>3494399</v>
      </c>
      <c r="O1005" s="2"/>
      <c r="P1005" s="2"/>
      <c r="Q1005">
        <f t="shared" si="30"/>
        <v>22399.99358974359</v>
      </c>
      <c r="R1005">
        <f t="shared" si="31"/>
        <v>20641.09574468085</v>
      </c>
    </row>
    <row r="1006" spans="1:18" ht="16" x14ac:dyDescent="0.4">
      <c r="A1006" s="2">
        <v>236595</v>
      </c>
      <c r="B1006" s="2" t="s">
        <v>1046</v>
      </c>
      <c r="C1006" s="2" t="s">
        <v>60</v>
      </c>
      <c r="D1006" s="2">
        <v>4409</v>
      </c>
      <c r="E1006" s="2">
        <v>60.8</v>
      </c>
      <c r="F1006" s="2" t="s">
        <v>47</v>
      </c>
      <c r="G1006" s="2" t="s">
        <v>37</v>
      </c>
      <c r="H1006" s="2">
        <v>1</v>
      </c>
      <c r="I1006" s="2">
        <v>38</v>
      </c>
      <c r="J1006" s="2" t="s">
        <v>41</v>
      </c>
      <c r="K1006" s="2">
        <v>444</v>
      </c>
      <c r="L1006" s="2">
        <v>55.9</v>
      </c>
      <c r="M1006" s="2">
        <v>6720340</v>
      </c>
      <c r="N1006" s="2">
        <v>7142168</v>
      </c>
      <c r="O1006" s="2"/>
      <c r="P1006" s="2"/>
      <c r="Q1006">
        <f t="shared" si="30"/>
        <v>28776.321939112633</v>
      </c>
      <c r="R1006">
        <f t="shared" si="31"/>
        <v>34321.770750342177</v>
      </c>
    </row>
    <row r="1007" spans="1:18" ht="16" x14ac:dyDescent="0.4">
      <c r="A1007" s="2">
        <v>236939</v>
      </c>
      <c r="B1007" s="2" t="s">
        <v>1047</v>
      </c>
      <c r="C1007" s="2" t="s">
        <v>60</v>
      </c>
      <c r="D1007" s="2">
        <v>22999</v>
      </c>
      <c r="E1007" s="2">
        <v>53.1</v>
      </c>
      <c r="F1007" s="2" t="s">
        <v>36</v>
      </c>
      <c r="G1007" s="2" t="s">
        <v>37</v>
      </c>
      <c r="H1007" s="2">
        <v>1</v>
      </c>
      <c r="I1007" s="2">
        <v>13</v>
      </c>
      <c r="J1007" s="2" t="s">
        <v>38</v>
      </c>
      <c r="K1007" s="2">
        <v>651</v>
      </c>
      <c r="L1007" s="2">
        <v>49.9</v>
      </c>
      <c r="M1007" s="2">
        <v>34115232</v>
      </c>
      <c r="N1007" s="2">
        <v>13526096</v>
      </c>
      <c r="O1007" s="2"/>
      <c r="P1007" s="2"/>
      <c r="Q1007">
        <f t="shared" si="30"/>
        <v>41638.102626143227</v>
      </c>
      <c r="R1007">
        <f t="shared" si="31"/>
        <v>104599.50145791366</v>
      </c>
    </row>
    <row r="1008" spans="1:18" ht="16" x14ac:dyDescent="0.4">
      <c r="A1008" s="2">
        <v>236948</v>
      </c>
      <c r="B1008" s="2" t="s">
        <v>1048</v>
      </c>
      <c r="C1008" s="2" t="s">
        <v>60</v>
      </c>
      <c r="D1008" s="2">
        <v>29077</v>
      </c>
      <c r="E1008" s="2">
        <v>54.5</v>
      </c>
      <c r="F1008" s="2" t="s">
        <v>36</v>
      </c>
      <c r="G1008" s="2" t="s">
        <v>37</v>
      </c>
      <c r="H1008" s="2">
        <v>1</v>
      </c>
      <c r="I1008" s="2">
        <v>38</v>
      </c>
      <c r="J1008" s="2" t="s">
        <v>38</v>
      </c>
      <c r="K1008" s="2">
        <v>720</v>
      </c>
      <c r="L1008" s="2">
        <v>48.8</v>
      </c>
      <c r="M1008" s="2">
        <v>59927324</v>
      </c>
      <c r="N1008" s="2">
        <v>20703856</v>
      </c>
      <c r="O1008" s="2"/>
      <c r="P1008" s="2"/>
      <c r="Q1008">
        <f t="shared" si="30"/>
        <v>58924.908925318756</v>
      </c>
      <c r="R1008">
        <f t="shared" si="31"/>
        <v>162563.27039930556</v>
      </c>
    </row>
    <row r="1009" spans="1:18" ht="16" x14ac:dyDescent="0.4">
      <c r="A1009" s="2">
        <v>237011</v>
      </c>
      <c r="B1009" s="2" t="s">
        <v>1049</v>
      </c>
      <c r="C1009" s="2" t="s">
        <v>60</v>
      </c>
      <c r="D1009" s="2">
        <v>13806</v>
      </c>
      <c r="E1009" s="2">
        <v>58.1</v>
      </c>
      <c r="F1009" s="2" t="s">
        <v>36</v>
      </c>
      <c r="G1009" s="2" t="s">
        <v>37</v>
      </c>
      <c r="H1009" s="2">
        <v>2</v>
      </c>
      <c r="I1009" s="2">
        <v>38</v>
      </c>
      <c r="J1009" s="2" t="s">
        <v>41</v>
      </c>
      <c r="K1009" s="2">
        <v>451</v>
      </c>
      <c r="L1009" s="2">
        <v>51.9</v>
      </c>
      <c r="M1009" s="2">
        <v>1813472</v>
      </c>
      <c r="N1009" s="2">
        <v>3399721</v>
      </c>
      <c r="O1009" s="2"/>
      <c r="P1009" s="2"/>
      <c r="Q1009">
        <f t="shared" si="30"/>
        <v>14524.439374714293</v>
      </c>
      <c r="R1009">
        <f t="shared" si="31"/>
        <v>8359.6719694280673</v>
      </c>
    </row>
    <row r="1010" spans="1:18" ht="16" x14ac:dyDescent="0.4">
      <c r="A1010" s="2">
        <v>237057</v>
      </c>
      <c r="B1010" s="2" t="s">
        <v>1050</v>
      </c>
      <c r="C1010" s="2" t="s">
        <v>60</v>
      </c>
      <c r="D1010" s="2">
        <v>1529</v>
      </c>
      <c r="E1010" s="2">
        <v>57.2</v>
      </c>
      <c r="F1010" s="2" t="s">
        <v>47</v>
      </c>
      <c r="G1010" s="2" t="s">
        <v>37</v>
      </c>
      <c r="H1010" s="2">
        <v>3</v>
      </c>
      <c r="I1010" s="2">
        <v>38</v>
      </c>
      <c r="J1010" s="2" t="s">
        <v>41</v>
      </c>
      <c r="K1010" s="2">
        <v>290</v>
      </c>
      <c r="L1010" s="2">
        <v>52.4</v>
      </c>
      <c r="M1010" s="2">
        <v>1251411</v>
      </c>
      <c r="N1010" s="2">
        <v>1385527</v>
      </c>
      <c r="O1010" s="2"/>
      <c r="P1010" s="2"/>
      <c r="Q1010">
        <f t="shared" si="30"/>
        <v>9117.7086075282969</v>
      </c>
      <c r="R1010">
        <f t="shared" si="31"/>
        <v>9065.5679513184568</v>
      </c>
    </row>
    <row r="1011" spans="1:18" ht="16" x14ac:dyDescent="0.4">
      <c r="A1011" s="2">
        <v>237066</v>
      </c>
      <c r="B1011" s="2" t="s">
        <v>1051</v>
      </c>
      <c r="C1011" s="2" t="s">
        <v>60</v>
      </c>
      <c r="D1011" s="2">
        <v>2353</v>
      </c>
      <c r="E1011" s="2">
        <v>58.5</v>
      </c>
      <c r="F1011" s="2" t="s">
        <v>47</v>
      </c>
      <c r="G1011" s="2" t="s">
        <v>37</v>
      </c>
      <c r="H1011" s="2">
        <v>3</v>
      </c>
      <c r="I1011" s="2">
        <v>38</v>
      </c>
      <c r="J1011" s="2" t="s">
        <v>38</v>
      </c>
      <c r="K1011" s="2">
        <v>523</v>
      </c>
      <c r="L1011" s="2">
        <v>36.700000000000003</v>
      </c>
      <c r="M1011" s="2">
        <v>2015295</v>
      </c>
      <c r="N1011" s="2">
        <v>1176264</v>
      </c>
      <c r="O1011" s="2"/>
      <c r="P1011" s="2"/>
      <c r="Q1011">
        <f t="shared" si="30"/>
        <v>6128.2581626645679</v>
      </c>
      <c r="R1011">
        <f t="shared" si="31"/>
        <v>6087.4194629960211</v>
      </c>
    </row>
    <row r="1012" spans="1:18" ht="16" x14ac:dyDescent="0.4">
      <c r="A1012" s="2">
        <v>237118</v>
      </c>
      <c r="B1012" s="2" t="s">
        <v>1052</v>
      </c>
      <c r="C1012" s="2" t="s">
        <v>172</v>
      </c>
      <c r="D1012" s="2">
        <v>790</v>
      </c>
      <c r="E1012" s="2">
        <v>41.4</v>
      </c>
      <c r="F1012" s="2" t="s">
        <v>47</v>
      </c>
      <c r="G1012" s="2" t="s">
        <v>37</v>
      </c>
      <c r="H1012" s="2">
        <v>2</v>
      </c>
      <c r="I1012" s="2">
        <v>38</v>
      </c>
      <c r="J1012" s="2" t="s">
        <v>38</v>
      </c>
      <c r="K1012" s="2">
        <v>515</v>
      </c>
      <c r="L1012" s="2">
        <v>32.200000000000003</v>
      </c>
      <c r="M1012" s="2">
        <v>3164106</v>
      </c>
      <c r="N1012" s="2">
        <v>1620499</v>
      </c>
      <c r="O1012" s="2"/>
      <c r="P1012" s="2"/>
      <c r="Q1012">
        <f t="shared" si="30"/>
        <v>9772.0496894409935</v>
      </c>
      <c r="R1012">
        <f t="shared" si="31"/>
        <v>9061.7922501933172</v>
      </c>
    </row>
    <row r="1013" spans="1:18" ht="16" x14ac:dyDescent="0.4">
      <c r="A1013" s="2">
        <v>237181</v>
      </c>
      <c r="B1013" s="2" t="s">
        <v>1053</v>
      </c>
      <c r="C1013" s="2" t="s">
        <v>172</v>
      </c>
      <c r="D1013" s="2">
        <v>501</v>
      </c>
      <c r="E1013" s="2">
        <v>44.5</v>
      </c>
      <c r="F1013" s="2" t="s">
        <v>47</v>
      </c>
      <c r="G1013" s="2" t="s">
        <v>37</v>
      </c>
      <c r="H1013" s="2">
        <v>3</v>
      </c>
      <c r="I1013" s="2">
        <v>37</v>
      </c>
      <c r="J1013" s="2" t="s">
        <v>38</v>
      </c>
      <c r="K1013" s="2">
        <v>345</v>
      </c>
      <c r="L1013" s="2">
        <v>35.1</v>
      </c>
      <c r="M1013" s="2">
        <v>1208027</v>
      </c>
      <c r="N1013" s="2">
        <v>645608</v>
      </c>
      <c r="O1013" s="2"/>
      <c r="P1013" s="2"/>
      <c r="Q1013">
        <f t="shared" si="30"/>
        <v>5331.4174821421193</v>
      </c>
      <c r="R1013">
        <f t="shared" si="31"/>
        <v>5395.2658493557537</v>
      </c>
    </row>
    <row r="1014" spans="1:18" ht="16" x14ac:dyDescent="0.4">
      <c r="A1014" s="2">
        <v>237215</v>
      </c>
      <c r="B1014" s="2" t="s">
        <v>1054</v>
      </c>
      <c r="C1014" s="2" t="s">
        <v>172</v>
      </c>
      <c r="D1014" s="2">
        <v>950</v>
      </c>
      <c r="E1014" s="2">
        <v>63.9</v>
      </c>
      <c r="F1014" s="2" t="s">
        <v>36</v>
      </c>
      <c r="G1014" s="2" t="s">
        <v>37</v>
      </c>
      <c r="H1014" s="2">
        <v>2</v>
      </c>
      <c r="I1014" s="2">
        <v>38</v>
      </c>
      <c r="J1014" s="2" t="s">
        <v>41</v>
      </c>
      <c r="K1014" s="2">
        <v>152</v>
      </c>
      <c r="L1014" s="2">
        <v>44.7</v>
      </c>
      <c r="M1014" s="2">
        <v>554145</v>
      </c>
      <c r="N1014" s="2">
        <v>454001</v>
      </c>
      <c r="O1014" s="2"/>
      <c r="P1014" s="2"/>
      <c r="Q1014">
        <f t="shared" si="30"/>
        <v>6681.9881078535245</v>
      </c>
      <c r="R1014">
        <f t="shared" si="31"/>
        <v>6592.5692395545839</v>
      </c>
    </row>
    <row r="1015" spans="1:18" ht="16" x14ac:dyDescent="0.4">
      <c r="A1015" s="2">
        <v>237312</v>
      </c>
      <c r="B1015" s="2" t="s">
        <v>1055</v>
      </c>
      <c r="C1015" s="2" t="s">
        <v>172</v>
      </c>
      <c r="D1015" s="2">
        <v>1172</v>
      </c>
      <c r="E1015" s="2">
        <v>56.7</v>
      </c>
      <c r="F1015" s="2" t="s">
        <v>47</v>
      </c>
      <c r="G1015" s="2" t="s">
        <v>37</v>
      </c>
      <c r="H1015" s="2">
        <v>2</v>
      </c>
      <c r="I1015" s="2">
        <v>38</v>
      </c>
      <c r="J1015" s="2" t="s">
        <v>38</v>
      </c>
      <c r="K1015" s="2">
        <v>684</v>
      </c>
      <c r="L1015" s="2">
        <v>34.5</v>
      </c>
      <c r="M1015" s="2">
        <v>4761294</v>
      </c>
      <c r="N1015" s="2">
        <v>2675810</v>
      </c>
      <c r="O1015" s="2"/>
      <c r="P1015" s="2"/>
      <c r="Q1015">
        <f t="shared" si="30"/>
        <v>11339.138910077125</v>
      </c>
      <c r="R1015">
        <f t="shared" si="31"/>
        <v>10627.413954734162</v>
      </c>
    </row>
    <row r="1016" spans="1:18" ht="16" x14ac:dyDescent="0.4">
      <c r="A1016" s="2">
        <v>237330</v>
      </c>
      <c r="B1016" s="2" t="s">
        <v>1056</v>
      </c>
      <c r="C1016" s="2" t="s">
        <v>172</v>
      </c>
      <c r="D1016" s="2">
        <v>1418</v>
      </c>
      <c r="E1016" s="2">
        <v>58.1</v>
      </c>
      <c r="F1016" s="2" t="s">
        <v>36</v>
      </c>
      <c r="G1016" s="2" t="s">
        <v>37</v>
      </c>
      <c r="H1016" s="2">
        <v>2</v>
      </c>
      <c r="I1016" s="2">
        <v>10</v>
      </c>
      <c r="J1016" s="2" t="s">
        <v>38</v>
      </c>
      <c r="K1016" s="2">
        <v>396</v>
      </c>
      <c r="L1016" s="2">
        <v>37.9</v>
      </c>
      <c r="M1016" s="2">
        <v>2409079</v>
      </c>
      <c r="N1016" s="2">
        <v>1399159</v>
      </c>
      <c r="O1016" s="2"/>
      <c r="P1016" s="2"/>
      <c r="Q1016">
        <f t="shared" si="30"/>
        <v>9322.5060632712339</v>
      </c>
      <c r="R1016">
        <f t="shared" si="31"/>
        <v>9796.34915987573</v>
      </c>
    </row>
    <row r="1017" spans="1:18" ht="16" x14ac:dyDescent="0.4">
      <c r="A1017" s="2">
        <v>237358</v>
      </c>
      <c r="B1017" s="2" t="s">
        <v>1057</v>
      </c>
      <c r="C1017" s="2" t="s">
        <v>172</v>
      </c>
      <c r="D1017" s="2">
        <v>751</v>
      </c>
      <c r="E1017" s="2">
        <v>58.5</v>
      </c>
      <c r="F1017" s="2" t="s">
        <v>47</v>
      </c>
      <c r="G1017" s="2" t="s">
        <v>37</v>
      </c>
      <c r="H1017" s="2">
        <v>2</v>
      </c>
      <c r="I1017" s="2">
        <v>38</v>
      </c>
      <c r="J1017" s="2" t="s">
        <v>41</v>
      </c>
      <c r="K1017" s="2">
        <v>480</v>
      </c>
      <c r="L1017" s="2">
        <v>49.4</v>
      </c>
      <c r="M1017" s="2">
        <v>2047818</v>
      </c>
      <c r="N1017" s="2">
        <v>1976445</v>
      </c>
      <c r="O1017" s="2"/>
      <c r="P1017" s="2"/>
      <c r="Q1017">
        <f t="shared" si="30"/>
        <v>8335.2100202429156</v>
      </c>
      <c r="R1017">
        <f t="shared" si="31"/>
        <v>8431.398221343874</v>
      </c>
    </row>
    <row r="1018" spans="1:18" ht="16" x14ac:dyDescent="0.4">
      <c r="A1018" s="2">
        <v>237367</v>
      </c>
      <c r="B1018" s="2" t="s">
        <v>1058</v>
      </c>
      <c r="C1018" s="2" t="s">
        <v>172</v>
      </c>
      <c r="D1018" s="2">
        <v>2951</v>
      </c>
      <c r="E1018" s="2">
        <v>56.9</v>
      </c>
      <c r="F1018" s="2" t="s">
        <v>36</v>
      </c>
      <c r="G1018" s="2" t="s">
        <v>37</v>
      </c>
      <c r="H1018" s="2">
        <v>2</v>
      </c>
      <c r="I1018" s="2">
        <v>12</v>
      </c>
      <c r="J1018" s="2" t="s">
        <v>38</v>
      </c>
      <c r="K1018" s="2">
        <v>339</v>
      </c>
      <c r="L1018" s="2">
        <v>44.2</v>
      </c>
      <c r="M1018" s="2">
        <v>2274150</v>
      </c>
      <c r="N1018" s="2">
        <v>1568854</v>
      </c>
      <c r="O1018" s="2"/>
      <c r="P1018" s="2"/>
      <c r="Q1018">
        <f t="shared" si="30"/>
        <v>10470.334628064975</v>
      </c>
      <c r="R1018">
        <f t="shared" si="31"/>
        <v>12022.234909759889</v>
      </c>
    </row>
    <row r="1019" spans="1:18" ht="16" x14ac:dyDescent="0.4">
      <c r="A1019" s="2">
        <v>237385</v>
      </c>
      <c r="B1019" s="2" t="s">
        <v>1059</v>
      </c>
      <c r="C1019" s="2" t="s">
        <v>172</v>
      </c>
      <c r="D1019" s="2">
        <v>987</v>
      </c>
      <c r="E1019" s="2">
        <v>44</v>
      </c>
      <c r="F1019" s="2" t="s">
        <v>36</v>
      </c>
      <c r="G1019" s="2" t="s">
        <v>37</v>
      </c>
      <c r="H1019" s="2">
        <v>2</v>
      </c>
      <c r="I1019" s="2">
        <v>38</v>
      </c>
      <c r="J1019" s="2" t="s">
        <v>38</v>
      </c>
      <c r="K1019" s="2">
        <v>420</v>
      </c>
      <c r="L1019" s="2">
        <v>40.5</v>
      </c>
      <c r="M1019" s="2">
        <v>1817246</v>
      </c>
      <c r="N1019" s="2">
        <v>1316122</v>
      </c>
      <c r="O1019" s="2"/>
      <c r="P1019" s="2"/>
      <c r="Q1019">
        <f t="shared" si="30"/>
        <v>7737.3427395649605</v>
      </c>
      <c r="R1019">
        <f t="shared" si="31"/>
        <v>7271.8927571028416</v>
      </c>
    </row>
    <row r="1020" spans="1:18" ht="16" x14ac:dyDescent="0.4">
      <c r="A1020" s="2">
        <v>237525</v>
      </c>
      <c r="B1020" s="2" t="s">
        <v>1060</v>
      </c>
      <c r="C1020" s="2" t="s">
        <v>172</v>
      </c>
      <c r="D1020" s="2">
        <v>7029</v>
      </c>
      <c r="E1020" s="2">
        <v>56.9</v>
      </c>
      <c r="F1020" s="2" t="s">
        <v>36</v>
      </c>
      <c r="G1020" s="2" t="s">
        <v>37</v>
      </c>
      <c r="H1020" s="2">
        <v>1</v>
      </c>
      <c r="I1020" s="2">
        <v>38</v>
      </c>
      <c r="J1020" s="2" t="s">
        <v>38</v>
      </c>
      <c r="K1020" s="2">
        <v>452</v>
      </c>
      <c r="L1020" s="2">
        <v>47.8</v>
      </c>
      <c r="M1020" s="2">
        <v>15676165</v>
      </c>
      <c r="N1020" s="2">
        <v>6643838</v>
      </c>
      <c r="O1020" s="2"/>
      <c r="P1020" s="2"/>
      <c r="Q1020">
        <f t="shared" si="30"/>
        <v>30750.536897841303</v>
      </c>
      <c r="R1020">
        <f t="shared" si="31"/>
        <v>66440.193435730514</v>
      </c>
    </row>
    <row r="1021" spans="1:18" ht="16" x14ac:dyDescent="0.4">
      <c r="A1021" s="2">
        <v>237640</v>
      </c>
      <c r="B1021" s="2" t="s">
        <v>1061</v>
      </c>
      <c r="C1021" s="2" t="s">
        <v>172</v>
      </c>
      <c r="D1021" s="2">
        <v>271</v>
      </c>
      <c r="E1021" s="2">
        <v>44.3</v>
      </c>
      <c r="F1021" s="2" t="s">
        <v>47</v>
      </c>
      <c r="G1021" s="2" t="s">
        <v>37</v>
      </c>
      <c r="H1021" s="2">
        <v>2</v>
      </c>
      <c r="I1021" s="2">
        <v>38</v>
      </c>
      <c r="J1021" s="2" t="s">
        <v>41</v>
      </c>
      <c r="K1021" s="2">
        <v>210</v>
      </c>
      <c r="L1021" s="2">
        <v>33.299999999999997</v>
      </c>
      <c r="M1021" s="2">
        <v>1521616</v>
      </c>
      <c r="N1021" s="2">
        <v>829319</v>
      </c>
      <c r="O1021" s="2"/>
      <c r="P1021" s="2"/>
      <c r="Q1021">
        <f t="shared" si="30"/>
        <v>11859.273559273561</v>
      </c>
      <c r="R1021">
        <f t="shared" si="31"/>
        <v>10863.254087242092</v>
      </c>
    </row>
    <row r="1022" spans="1:18" ht="16" x14ac:dyDescent="0.4">
      <c r="A1022" s="2">
        <v>237783</v>
      </c>
      <c r="B1022" s="2" t="s">
        <v>1062</v>
      </c>
      <c r="C1022" s="2" t="s">
        <v>172</v>
      </c>
      <c r="D1022" s="2">
        <v>628</v>
      </c>
      <c r="E1022" s="2">
        <v>50.6</v>
      </c>
      <c r="F1022" s="2" t="s">
        <v>47</v>
      </c>
      <c r="G1022" s="2" t="s">
        <v>37</v>
      </c>
      <c r="H1022" s="2">
        <v>2</v>
      </c>
      <c r="I1022" s="2">
        <v>38</v>
      </c>
      <c r="J1022" s="2" t="s">
        <v>41</v>
      </c>
      <c r="K1022" s="2">
        <v>333</v>
      </c>
      <c r="L1022" s="2">
        <v>39.9</v>
      </c>
      <c r="M1022" s="2">
        <v>1775212</v>
      </c>
      <c r="N1022" s="2">
        <v>1627862</v>
      </c>
      <c r="O1022" s="2"/>
      <c r="P1022" s="2"/>
      <c r="Q1022">
        <f t="shared" si="30"/>
        <v>12251.815725499935</v>
      </c>
      <c r="R1022">
        <f t="shared" si="31"/>
        <v>8870.1613427071006</v>
      </c>
    </row>
    <row r="1023" spans="1:18" ht="16" x14ac:dyDescent="0.4">
      <c r="A1023" s="2">
        <v>237792</v>
      </c>
      <c r="B1023" s="2" t="s">
        <v>1063</v>
      </c>
      <c r="C1023" s="2" t="s">
        <v>172</v>
      </c>
      <c r="D1023" s="2">
        <v>2354</v>
      </c>
      <c r="E1023" s="2">
        <v>58.2</v>
      </c>
      <c r="F1023" s="2" t="s">
        <v>36</v>
      </c>
      <c r="G1023" s="2" t="s">
        <v>37</v>
      </c>
      <c r="H1023" s="2">
        <v>2</v>
      </c>
      <c r="I1023" s="2">
        <v>38</v>
      </c>
      <c r="J1023" s="2" t="s">
        <v>38</v>
      </c>
      <c r="K1023" s="2">
        <v>301</v>
      </c>
      <c r="L1023" s="2">
        <v>34.9</v>
      </c>
      <c r="M1023" s="2">
        <v>1981275</v>
      </c>
      <c r="N1023" s="2">
        <v>982345</v>
      </c>
      <c r="O1023" s="2"/>
      <c r="P1023" s="2"/>
      <c r="Q1023">
        <f t="shared" si="30"/>
        <v>9351.3027253948167</v>
      </c>
      <c r="R1023">
        <f t="shared" si="31"/>
        <v>10111.073686789046</v>
      </c>
    </row>
    <row r="1024" spans="1:18" ht="16" x14ac:dyDescent="0.4">
      <c r="A1024" s="2">
        <v>237899</v>
      </c>
      <c r="B1024" s="2" t="s">
        <v>1064</v>
      </c>
      <c r="C1024" s="2" t="s">
        <v>172</v>
      </c>
      <c r="D1024" s="2">
        <v>1466</v>
      </c>
      <c r="E1024" s="2">
        <v>56.2</v>
      </c>
      <c r="F1024" s="2" t="s">
        <v>36</v>
      </c>
      <c r="G1024" s="2" t="s">
        <v>37</v>
      </c>
      <c r="H1024" s="2">
        <v>2</v>
      </c>
      <c r="I1024" s="2">
        <v>9</v>
      </c>
      <c r="J1024" s="2" t="s">
        <v>38</v>
      </c>
      <c r="K1024" s="2">
        <v>276</v>
      </c>
      <c r="L1024" s="2">
        <v>37.299999999999997</v>
      </c>
      <c r="M1024" s="2">
        <v>2242389</v>
      </c>
      <c r="N1024" s="2">
        <v>1284524</v>
      </c>
      <c r="O1024" s="2"/>
      <c r="P1024" s="2"/>
      <c r="Q1024">
        <f t="shared" si="30"/>
        <v>12477.406069083421</v>
      </c>
      <c r="R1024">
        <f t="shared" si="31"/>
        <v>12957.891269676167</v>
      </c>
    </row>
    <row r="1025" spans="1:18" ht="16" x14ac:dyDescent="0.4">
      <c r="A1025" s="2">
        <v>237932</v>
      </c>
      <c r="B1025" s="2" t="s">
        <v>1065</v>
      </c>
      <c r="C1025" s="2" t="s">
        <v>172</v>
      </c>
      <c r="D1025" s="2">
        <v>1834</v>
      </c>
      <c r="E1025" s="2">
        <v>62.8</v>
      </c>
      <c r="F1025" s="2" t="s">
        <v>36</v>
      </c>
      <c r="G1025" s="2" t="s">
        <v>37</v>
      </c>
      <c r="H1025" s="2">
        <v>2</v>
      </c>
      <c r="I1025" s="2">
        <v>38</v>
      </c>
      <c r="J1025" s="2" t="s">
        <v>38</v>
      </c>
      <c r="K1025" s="2">
        <v>541</v>
      </c>
      <c r="L1025" s="2">
        <v>40.299999999999997</v>
      </c>
      <c r="M1025" s="2">
        <v>2749469</v>
      </c>
      <c r="N1025" s="2">
        <v>1484988</v>
      </c>
      <c r="O1025" s="2"/>
      <c r="P1025" s="2"/>
      <c r="Q1025">
        <f t="shared" si="30"/>
        <v>6811.152951752797</v>
      </c>
      <c r="R1025">
        <f t="shared" si="31"/>
        <v>8512.8941070107157</v>
      </c>
    </row>
    <row r="1026" spans="1:18" ht="16" x14ac:dyDescent="0.4">
      <c r="A1026" s="2">
        <v>237969</v>
      </c>
      <c r="B1026" s="2" t="s">
        <v>1066</v>
      </c>
      <c r="C1026" s="2" t="s">
        <v>172</v>
      </c>
      <c r="D1026" s="2">
        <v>1116</v>
      </c>
      <c r="E1026" s="2">
        <v>55.3</v>
      </c>
      <c r="F1026" s="2" t="s">
        <v>47</v>
      </c>
      <c r="G1026" s="2" t="s">
        <v>37</v>
      </c>
      <c r="H1026" s="2">
        <v>2</v>
      </c>
      <c r="I1026" s="2">
        <v>35</v>
      </c>
      <c r="J1026" s="2" t="s">
        <v>38</v>
      </c>
      <c r="K1026" s="2">
        <v>615</v>
      </c>
      <c r="L1026" s="2">
        <v>47.2</v>
      </c>
      <c r="M1026" s="2">
        <v>2421173</v>
      </c>
      <c r="N1026" s="2">
        <v>1960391</v>
      </c>
      <c r="O1026" s="2"/>
      <c r="P1026" s="2"/>
      <c r="Q1026">
        <f t="shared" si="30"/>
        <v>6753.4483946534374</v>
      </c>
      <c r="R1026">
        <f t="shared" si="31"/>
        <v>7456.1868686868684</v>
      </c>
    </row>
    <row r="1027" spans="1:18" ht="16" x14ac:dyDescent="0.4">
      <c r="A1027" s="2">
        <v>238032</v>
      </c>
      <c r="B1027" s="2" t="s">
        <v>1067</v>
      </c>
      <c r="C1027" s="2" t="s">
        <v>172</v>
      </c>
      <c r="D1027" s="2">
        <v>19366</v>
      </c>
      <c r="E1027" s="2">
        <v>49.3</v>
      </c>
      <c r="F1027" s="2" t="s">
        <v>36</v>
      </c>
      <c r="G1027" s="2" t="s">
        <v>37</v>
      </c>
      <c r="H1027" s="2">
        <v>1</v>
      </c>
      <c r="I1027" s="2">
        <v>38</v>
      </c>
      <c r="J1027" s="2" t="s">
        <v>38</v>
      </c>
      <c r="K1027" s="2">
        <v>589</v>
      </c>
      <c r="L1027" s="2">
        <v>49.4</v>
      </c>
      <c r="M1027" s="2">
        <v>38542326</v>
      </c>
      <c r="N1027" s="2">
        <v>12571861</v>
      </c>
      <c r="O1027" s="2"/>
      <c r="P1027" s="2"/>
      <c r="Q1027">
        <f t="shared" ref="Q1027:Q1072" si="32">N1027/(K1027*(0.01*L1027))</f>
        <v>43207.319755572818</v>
      </c>
      <c r="R1027">
        <f t="shared" ref="R1027:R1072" si="33">M1027/(K1027*(0.01*(100-L1027)))</f>
        <v>129321.90958078609</v>
      </c>
    </row>
    <row r="1028" spans="1:18" ht="16" x14ac:dyDescent="0.4">
      <c r="A1028" s="2">
        <v>238078</v>
      </c>
      <c r="B1028" s="2" t="s">
        <v>1068</v>
      </c>
      <c r="C1028" s="2" t="s">
        <v>172</v>
      </c>
      <c r="D1028" s="2">
        <v>421</v>
      </c>
      <c r="E1028" s="2">
        <v>46.6</v>
      </c>
      <c r="F1028" s="2" t="s">
        <v>47</v>
      </c>
      <c r="G1028" s="2" t="s">
        <v>37</v>
      </c>
      <c r="H1028" s="2">
        <v>2</v>
      </c>
      <c r="I1028" s="2">
        <v>9</v>
      </c>
      <c r="J1028" s="2" t="s">
        <v>38</v>
      </c>
      <c r="K1028" s="2">
        <v>278</v>
      </c>
      <c r="L1028" s="2">
        <v>33.1</v>
      </c>
      <c r="M1028" s="2">
        <v>2469674</v>
      </c>
      <c r="N1028" s="2">
        <v>1272900</v>
      </c>
      <c r="O1028" s="2"/>
      <c r="P1028" s="2"/>
      <c r="Q1028">
        <f t="shared" si="32"/>
        <v>13833.163076789324</v>
      </c>
      <c r="R1028">
        <f t="shared" si="33"/>
        <v>13279.102278715145</v>
      </c>
    </row>
    <row r="1029" spans="1:18" ht="16" x14ac:dyDescent="0.4">
      <c r="A1029" s="2">
        <v>238333</v>
      </c>
      <c r="B1029" s="2" t="s">
        <v>1069</v>
      </c>
      <c r="C1029" s="2" t="s">
        <v>243</v>
      </c>
      <c r="D1029" s="2">
        <v>1063</v>
      </c>
      <c r="E1029" s="2">
        <v>53.8</v>
      </c>
      <c r="F1029" s="2" t="s">
        <v>47</v>
      </c>
      <c r="G1029" s="2" t="s">
        <v>37</v>
      </c>
      <c r="H1029" s="2">
        <v>3</v>
      </c>
      <c r="I1029" s="2">
        <v>38</v>
      </c>
      <c r="J1029" s="2" t="s">
        <v>38</v>
      </c>
      <c r="K1029" s="2">
        <v>368</v>
      </c>
      <c r="L1029" s="2">
        <v>38.9</v>
      </c>
      <c r="M1029" s="2">
        <v>880033</v>
      </c>
      <c r="N1029" s="2">
        <v>603047</v>
      </c>
      <c r="O1029" s="2"/>
      <c r="P1029" s="2"/>
      <c r="Q1029">
        <f t="shared" si="32"/>
        <v>4212.634123169777</v>
      </c>
      <c r="R1029">
        <f t="shared" si="33"/>
        <v>3913.9018359069241</v>
      </c>
    </row>
    <row r="1030" spans="1:18" ht="16" x14ac:dyDescent="0.4">
      <c r="A1030" s="2">
        <v>238458</v>
      </c>
      <c r="B1030" s="2" t="s">
        <v>1070</v>
      </c>
      <c r="C1030" s="2" t="s">
        <v>243</v>
      </c>
      <c r="D1030" s="2">
        <v>2752</v>
      </c>
      <c r="E1030" s="2">
        <v>67.900000000000006</v>
      </c>
      <c r="F1030" s="2" t="s">
        <v>47</v>
      </c>
      <c r="G1030" s="2" t="s">
        <v>37</v>
      </c>
      <c r="H1030" s="2">
        <v>3</v>
      </c>
      <c r="I1030" s="2">
        <v>38</v>
      </c>
      <c r="J1030" s="2" t="s">
        <v>38</v>
      </c>
      <c r="K1030" s="2">
        <v>630</v>
      </c>
      <c r="L1030" s="2">
        <v>44.6</v>
      </c>
      <c r="M1030" s="2">
        <v>1170359</v>
      </c>
      <c r="N1030" s="2">
        <v>806187</v>
      </c>
      <c r="O1030" s="2"/>
      <c r="P1030" s="2"/>
      <c r="Q1030">
        <f t="shared" si="32"/>
        <v>2869.1970958787101</v>
      </c>
      <c r="R1030">
        <f t="shared" si="33"/>
        <v>3353.2720187954842</v>
      </c>
    </row>
    <row r="1031" spans="1:18" ht="16" x14ac:dyDescent="0.4">
      <c r="A1031" s="2">
        <v>238476</v>
      </c>
      <c r="B1031" s="2" t="s">
        <v>1071</v>
      </c>
      <c r="C1031" s="2" t="s">
        <v>243</v>
      </c>
      <c r="D1031" s="2">
        <v>2546</v>
      </c>
      <c r="E1031" s="2">
        <v>57.8</v>
      </c>
      <c r="F1031" s="2" t="s">
        <v>47</v>
      </c>
      <c r="G1031" s="2" t="s">
        <v>37</v>
      </c>
      <c r="H1031" s="2">
        <v>3</v>
      </c>
      <c r="I1031" s="2">
        <v>34</v>
      </c>
      <c r="J1031" s="2" t="s">
        <v>38</v>
      </c>
      <c r="K1031" s="2">
        <v>906</v>
      </c>
      <c r="L1031" s="2">
        <v>32.299999999999997</v>
      </c>
      <c r="M1031" s="2">
        <v>1964083</v>
      </c>
      <c r="N1031" s="2">
        <v>1172533</v>
      </c>
      <c r="O1031" s="2"/>
      <c r="P1031" s="2"/>
      <c r="Q1031">
        <f t="shared" si="32"/>
        <v>4006.7694557781288</v>
      </c>
      <c r="R1031">
        <f t="shared" si="33"/>
        <v>3202.1595729764799</v>
      </c>
    </row>
    <row r="1032" spans="1:18" ht="16" x14ac:dyDescent="0.4">
      <c r="A1032" s="2">
        <v>238616</v>
      </c>
      <c r="B1032" s="2" t="s">
        <v>1072</v>
      </c>
      <c r="C1032" s="2" t="s">
        <v>243</v>
      </c>
      <c r="D1032" s="2">
        <v>2310</v>
      </c>
      <c r="E1032" s="2">
        <v>60.9</v>
      </c>
      <c r="F1032" s="2" t="s">
        <v>47</v>
      </c>
      <c r="G1032" s="2" t="s">
        <v>37</v>
      </c>
      <c r="H1032" s="2">
        <v>3</v>
      </c>
      <c r="I1032" s="2">
        <v>38</v>
      </c>
      <c r="J1032" s="2" t="s">
        <v>38</v>
      </c>
      <c r="K1032" s="2">
        <v>684</v>
      </c>
      <c r="L1032" s="2">
        <v>38.299999999999997</v>
      </c>
      <c r="M1032" s="2">
        <v>1740256</v>
      </c>
      <c r="N1032" s="2">
        <v>1437417</v>
      </c>
      <c r="O1032" s="2"/>
      <c r="P1032" s="2"/>
      <c r="Q1032">
        <f t="shared" si="32"/>
        <v>5486.9108148962487</v>
      </c>
      <c r="R1032">
        <f t="shared" si="33"/>
        <v>4123.5557830286143</v>
      </c>
    </row>
    <row r="1033" spans="1:18" ht="16" x14ac:dyDescent="0.4">
      <c r="A1033" s="2">
        <v>238661</v>
      </c>
      <c r="B1033" s="2" t="s">
        <v>1073</v>
      </c>
      <c r="C1033" s="2" t="s">
        <v>243</v>
      </c>
      <c r="D1033" s="2">
        <v>1177</v>
      </c>
      <c r="E1033" s="2">
        <v>73.900000000000006</v>
      </c>
      <c r="F1033" s="2" t="s">
        <v>47</v>
      </c>
      <c r="G1033" s="2" t="s">
        <v>37</v>
      </c>
      <c r="H1033" s="2">
        <v>3</v>
      </c>
      <c r="I1033" s="2">
        <v>38</v>
      </c>
      <c r="J1033" s="2" t="s">
        <v>41</v>
      </c>
      <c r="K1033" s="2">
        <v>239</v>
      </c>
      <c r="L1033" s="2">
        <v>54.4</v>
      </c>
      <c r="M1033" s="2">
        <v>495823</v>
      </c>
      <c r="N1033" s="2">
        <v>628852</v>
      </c>
      <c r="O1033" s="2"/>
      <c r="P1033" s="2"/>
      <c r="Q1033">
        <f t="shared" si="32"/>
        <v>4836.7277873492485</v>
      </c>
      <c r="R1033">
        <f t="shared" si="33"/>
        <v>4549.5026792923727</v>
      </c>
    </row>
    <row r="1034" spans="1:18" ht="16" x14ac:dyDescent="0.4">
      <c r="A1034" s="2">
        <v>238980</v>
      </c>
      <c r="B1034" s="2" t="s">
        <v>1074</v>
      </c>
      <c r="C1034" s="2" t="s">
        <v>243</v>
      </c>
      <c r="D1034" s="2">
        <v>794</v>
      </c>
      <c r="E1034" s="2">
        <v>49</v>
      </c>
      <c r="F1034" s="2" t="s">
        <v>47</v>
      </c>
      <c r="G1034" s="2" t="s">
        <v>37</v>
      </c>
      <c r="H1034" s="2">
        <v>3</v>
      </c>
      <c r="I1034" s="2">
        <v>38</v>
      </c>
      <c r="J1034" s="2" t="s">
        <v>38</v>
      </c>
      <c r="K1034" s="2">
        <v>386</v>
      </c>
      <c r="L1034" s="2">
        <v>38.9</v>
      </c>
      <c r="M1034" s="2">
        <v>1241106</v>
      </c>
      <c r="N1034" s="2">
        <v>837427</v>
      </c>
      <c r="O1034" s="2"/>
      <c r="P1034" s="2"/>
      <c r="Q1034">
        <f t="shared" si="32"/>
        <v>5577.1208226221079</v>
      </c>
      <c r="R1034">
        <f t="shared" si="33"/>
        <v>5262.3576401550163</v>
      </c>
    </row>
    <row r="1035" spans="1:18" ht="16" x14ac:dyDescent="0.4">
      <c r="A1035" s="2">
        <v>239017</v>
      </c>
      <c r="B1035" s="2" t="s">
        <v>1075</v>
      </c>
      <c r="C1035" s="2" t="s">
        <v>243</v>
      </c>
      <c r="D1035" s="2">
        <v>1397</v>
      </c>
      <c r="E1035" s="2">
        <v>54</v>
      </c>
      <c r="F1035" s="2" t="s">
        <v>47</v>
      </c>
      <c r="G1035" s="2" t="s">
        <v>37</v>
      </c>
      <c r="H1035" s="2">
        <v>3</v>
      </c>
      <c r="I1035" s="2">
        <v>38</v>
      </c>
      <c r="J1035" s="2" t="s">
        <v>38</v>
      </c>
      <c r="K1035" s="2">
        <v>364</v>
      </c>
      <c r="L1035" s="2">
        <v>37.9</v>
      </c>
      <c r="M1035" s="2">
        <v>1212159</v>
      </c>
      <c r="N1035" s="2">
        <v>648008</v>
      </c>
      <c r="O1035" s="2"/>
      <c r="P1035" s="2"/>
      <c r="Q1035">
        <f t="shared" si="32"/>
        <v>4697.2078053872256</v>
      </c>
      <c r="R1035">
        <f t="shared" si="33"/>
        <v>5362.4913733609383</v>
      </c>
    </row>
    <row r="1036" spans="1:18" ht="16" x14ac:dyDescent="0.4">
      <c r="A1036" s="2">
        <v>239071</v>
      </c>
      <c r="B1036" s="2" t="s">
        <v>1076</v>
      </c>
      <c r="C1036" s="2" t="s">
        <v>243</v>
      </c>
      <c r="D1036" s="2">
        <v>499</v>
      </c>
      <c r="E1036" s="2">
        <v>56.5</v>
      </c>
      <c r="F1036" s="2" t="s">
        <v>47</v>
      </c>
      <c r="G1036" s="2" t="s">
        <v>37</v>
      </c>
      <c r="H1036" s="2">
        <v>3</v>
      </c>
      <c r="I1036" s="2">
        <v>6</v>
      </c>
      <c r="J1036" s="2" t="s">
        <v>41</v>
      </c>
      <c r="K1036" s="2">
        <v>140</v>
      </c>
      <c r="L1036" s="2">
        <v>47.9</v>
      </c>
      <c r="M1036" s="2">
        <v>108944</v>
      </c>
      <c r="N1036" s="2">
        <v>114474</v>
      </c>
      <c r="O1036" s="2"/>
      <c r="P1036" s="2"/>
      <c r="Q1036">
        <f t="shared" si="32"/>
        <v>1707.0384730092453</v>
      </c>
      <c r="R1036">
        <f t="shared" si="33"/>
        <v>1493.6111872772142</v>
      </c>
    </row>
    <row r="1037" spans="1:18" ht="16" x14ac:dyDescent="0.4">
      <c r="A1037" s="2">
        <v>239080</v>
      </c>
      <c r="B1037" s="2" t="s">
        <v>1077</v>
      </c>
      <c r="C1037" s="2" t="s">
        <v>243</v>
      </c>
      <c r="D1037" s="2">
        <v>1171</v>
      </c>
      <c r="E1037" s="2">
        <v>67.599999999999994</v>
      </c>
      <c r="F1037" s="2" t="s">
        <v>47</v>
      </c>
      <c r="G1037" s="2" t="s">
        <v>37</v>
      </c>
      <c r="H1037" s="2">
        <v>3</v>
      </c>
      <c r="I1037" s="2">
        <v>38</v>
      </c>
      <c r="J1037" s="2" t="s">
        <v>41</v>
      </c>
      <c r="K1037" s="2">
        <v>393</v>
      </c>
      <c r="L1037" s="2">
        <v>47.1</v>
      </c>
      <c r="M1037" s="2">
        <v>671317</v>
      </c>
      <c r="N1037" s="2">
        <v>670166</v>
      </c>
      <c r="O1037" s="2"/>
      <c r="P1037" s="2"/>
      <c r="Q1037">
        <f t="shared" si="32"/>
        <v>3620.5031793109779</v>
      </c>
      <c r="R1037">
        <f t="shared" si="33"/>
        <v>3229.0845947752969</v>
      </c>
    </row>
    <row r="1038" spans="1:18" ht="16" x14ac:dyDescent="0.4">
      <c r="A1038" s="2">
        <v>239105</v>
      </c>
      <c r="B1038" s="2" t="s">
        <v>1078</v>
      </c>
      <c r="C1038" s="2" t="s">
        <v>243</v>
      </c>
      <c r="D1038" s="2">
        <v>8127</v>
      </c>
      <c r="E1038" s="2">
        <v>54.4</v>
      </c>
      <c r="F1038" s="2" t="s">
        <v>47</v>
      </c>
      <c r="G1038" s="2" t="s">
        <v>37</v>
      </c>
      <c r="H1038" s="2">
        <v>1</v>
      </c>
      <c r="I1038" s="2">
        <v>38</v>
      </c>
      <c r="J1038" s="2" t="s">
        <v>41</v>
      </c>
      <c r="K1038" s="2">
        <v>479</v>
      </c>
      <c r="L1038" s="2">
        <v>50.5</v>
      </c>
      <c r="M1038" s="2">
        <v>19493516</v>
      </c>
      <c r="N1038" s="2">
        <v>9997864</v>
      </c>
      <c r="O1038" s="2"/>
      <c r="P1038" s="2"/>
      <c r="Q1038">
        <f t="shared" si="32"/>
        <v>41331.420657723393</v>
      </c>
      <c r="R1038">
        <f t="shared" si="33"/>
        <v>82214.698129520679</v>
      </c>
    </row>
    <row r="1039" spans="1:18" ht="16" x14ac:dyDescent="0.4">
      <c r="A1039" s="2">
        <v>239318</v>
      </c>
      <c r="B1039" s="2" t="s">
        <v>1079</v>
      </c>
      <c r="C1039" s="2" t="s">
        <v>243</v>
      </c>
      <c r="D1039" s="2">
        <v>2478</v>
      </c>
      <c r="E1039" s="2">
        <v>26.6</v>
      </c>
      <c r="F1039" s="2" t="s">
        <v>47</v>
      </c>
      <c r="G1039" s="2" t="s">
        <v>37</v>
      </c>
      <c r="H1039" s="2">
        <v>3</v>
      </c>
      <c r="I1039" s="2">
        <v>38</v>
      </c>
      <c r="J1039" s="2" t="s">
        <v>41</v>
      </c>
      <c r="K1039" s="2">
        <v>451</v>
      </c>
      <c r="L1039" s="2">
        <v>31.9</v>
      </c>
      <c r="M1039" s="2">
        <v>883660</v>
      </c>
      <c r="N1039" s="2">
        <v>442012</v>
      </c>
      <c r="O1039" s="2"/>
      <c r="P1039" s="2"/>
      <c r="Q1039">
        <f t="shared" si="32"/>
        <v>3072.3227380464173</v>
      </c>
      <c r="R1039">
        <f t="shared" si="33"/>
        <v>2877.1436292656881</v>
      </c>
    </row>
    <row r="1040" spans="1:18" ht="16" x14ac:dyDescent="0.4">
      <c r="A1040" s="2">
        <v>239512</v>
      </c>
      <c r="B1040" s="2" t="s">
        <v>1080</v>
      </c>
      <c r="C1040" s="2" t="s">
        <v>243</v>
      </c>
      <c r="D1040" s="2">
        <v>576</v>
      </c>
      <c r="E1040" s="2">
        <v>52.4</v>
      </c>
      <c r="F1040" s="2" t="s">
        <v>47</v>
      </c>
      <c r="G1040" s="2" t="s">
        <v>37</v>
      </c>
      <c r="H1040" s="2">
        <v>3</v>
      </c>
      <c r="I1040" s="2">
        <v>38</v>
      </c>
      <c r="J1040" s="2" t="s">
        <v>41</v>
      </c>
      <c r="K1040" s="2">
        <v>243</v>
      </c>
      <c r="L1040" s="2">
        <v>46.5</v>
      </c>
      <c r="M1040" s="2">
        <v>718238</v>
      </c>
      <c r="N1040" s="2">
        <v>642528</v>
      </c>
      <c r="O1040" s="2"/>
      <c r="P1040" s="2"/>
      <c r="Q1040">
        <f t="shared" si="32"/>
        <v>5686.340103544404</v>
      </c>
      <c r="R1040">
        <f t="shared" si="33"/>
        <v>5524.6952040306141</v>
      </c>
    </row>
    <row r="1041" spans="1:18" ht="16" x14ac:dyDescent="0.4">
      <c r="A1041" s="2">
        <v>239628</v>
      </c>
      <c r="B1041" s="2" t="s">
        <v>1081</v>
      </c>
      <c r="C1041" s="2" t="s">
        <v>243</v>
      </c>
      <c r="D1041" s="2">
        <v>765</v>
      </c>
      <c r="E1041" s="2">
        <v>54.2</v>
      </c>
      <c r="F1041" s="2" t="s">
        <v>47</v>
      </c>
      <c r="G1041" s="2" t="s">
        <v>37</v>
      </c>
      <c r="H1041" s="2">
        <v>3</v>
      </c>
      <c r="I1041" s="2">
        <v>37</v>
      </c>
      <c r="J1041" s="2" t="s">
        <v>38</v>
      </c>
      <c r="K1041" s="2">
        <v>314</v>
      </c>
      <c r="L1041" s="2">
        <v>44.9</v>
      </c>
      <c r="M1041" s="2">
        <v>603319</v>
      </c>
      <c r="N1041" s="2">
        <v>480730</v>
      </c>
      <c r="O1041" s="2"/>
      <c r="P1041" s="2"/>
      <c r="Q1041">
        <f t="shared" si="32"/>
        <v>3409.7711829543359</v>
      </c>
      <c r="R1041">
        <f t="shared" si="33"/>
        <v>3487.1108696406068</v>
      </c>
    </row>
    <row r="1042" spans="1:18" ht="16" x14ac:dyDescent="0.4">
      <c r="A1042" s="2">
        <v>239716</v>
      </c>
      <c r="B1042" s="2" t="s">
        <v>1082</v>
      </c>
      <c r="C1042" s="2" t="s">
        <v>243</v>
      </c>
      <c r="D1042" s="2">
        <v>1956</v>
      </c>
      <c r="E1042" s="2">
        <v>58.1</v>
      </c>
      <c r="F1042" s="2" t="s">
        <v>47</v>
      </c>
      <c r="G1042" s="2" t="s">
        <v>37</v>
      </c>
      <c r="H1042" s="2">
        <v>3</v>
      </c>
      <c r="I1042" s="2">
        <v>38</v>
      </c>
      <c r="J1042" s="2" t="s">
        <v>38</v>
      </c>
      <c r="K1042" s="2">
        <v>667</v>
      </c>
      <c r="L1042" s="2">
        <v>41.2</v>
      </c>
      <c r="M1042" s="2">
        <v>2177944</v>
      </c>
      <c r="N1042" s="2">
        <v>926841</v>
      </c>
      <c r="O1042" s="2"/>
      <c r="P1042" s="2"/>
      <c r="Q1042">
        <f t="shared" si="32"/>
        <v>3372.7347491302889</v>
      </c>
      <c r="R1042">
        <f t="shared" si="33"/>
        <v>5553.2029903415641</v>
      </c>
    </row>
    <row r="1043" spans="1:18" ht="16" x14ac:dyDescent="0.4">
      <c r="A1043" s="2">
        <v>240189</v>
      </c>
      <c r="B1043" s="2" t="s">
        <v>1083</v>
      </c>
      <c r="C1043" s="2" t="s">
        <v>243</v>
      </c>
      <c r="D1043" s="2">
        <v>9488</v>
      </c>
      <c r="E1043" s="2">
        <v>48.1</v>
      </c>
      <c r="F1043" s="2" t="s">
        <v>36</v>
      </c>
      <c r="G1043" s="2" t="s">
        <v>37</v>
      </c>
      <c r="H1043" s="2">
        <v>3</v>
      </c>
      <c r="I1043" s="2">
        <v>38</v>
      </c>
      <c r="J1043" s="2" t="s">
        <v>38</v>
      </c>
      <c r="K1043" s="2">
        <v>685</v>
      </c>
      <c r="L1043" s="2">
        <v>45.7</v>
      </c>
      <c r="M1043" s="2">
        <v>1796481</v>
      </c>
      <c r="N1043" s="2">
        <v>1302207</v>
      </c>
      <c r="O1043" s="2"/>
      <c r="P1043" s="2"/>
      <c r="Q1043">
        <f t="shared" si="32"/>
        <v>4159.8076953792588</v>
      </c>
      <c r="R1043">
        <f t="shared" si="33"/>
        <v>4829.8342541436459</v>
      </c>
    </row>
    <row r="1044" spans="1:18" ht="16" x14ac:dyDescent="0.4">
      <c r="A1044" s="2">
        <v>240268</v>
      </c>
      <c r="B1044" s="2" t="s">
        <v>1084</v>
      </c>
      <c r="C1044" s="2" t="s">
        <v>243</v>
      </c>
      <c r="D1044" s="2">
        <v>9743</v>
      </c>
      <c r="E1044" s="2">
        <v>61.9</v>
      </c>
      <c r="F1044" s="2" t="s">
        <v>36</v>
      </c>
      <c r="G1044" s="2" t="s">
        <v>37</v>
      </c>
      <c r="H1044" s="2">
        <v>3</v>
      </c>
      <c r="I1044" s="2">
        <v>16</v>
      </c>
      <c r="J1044" s="2" t="s">
        <v>38</v>
      </c>
      <c r="K1044" s="2">
        <v>737</v>
      </c>
      <c r="L1044" s="2">
        <v>48.7</v>
      </c>
      <c r="M1044" s="2">
        <v>1566494</v>
      </c>
      <c r="N1044" s="2">
        <v>1257909</v>
      </c>
      <c r="O1044" s="2"/>
      <c r="P1044" s="2"/>
      <c r="Q1044">
        <f t="shared" si="32"/>
        <v>3504.7155486335355</v>
      </c>
      <c r="R1044">
        <f t="shared" si="33"/>
        <v>4143.2761762691061</v>
      </c>
    </row>
    <row r="1045" spans="1:18" ht="16" x14ac:dyDescent="0.4">
      <c r="A1045" s="2">
        <v>240277</v>
      </c>
      <c r="B1045" s="2" t="s">
        <v>1085</v>
      </c>
      <c r="C1045" s="2" t="s">
        <v>243</v>
      </c>
      <c r="D1045" s="2">
        <v>4865</v>
      </c>
      <c r="E1045" s="2">
        <v>61.8</v>
      </c>
      <c r="F1045" s="2" t="s">
        <v>36</v>
      </c>
      <c r="G1045" s="2" t="s">
        <v>37</v>
      </c>
      <c r="H1045" s="2">
        <v>1</v>
      </c>
      <c r="I1045" s="2">
        <v>38</v>
      </c>
      <c r="J1045" s="2" t="s">
        <v>41</v>
      </c>
      <c r="K1045" s="2">
        <v>243</v>
      </c>
      <c r="L1045" s="2">
        <v>60.1</v>
      </c>
      <c r="M1045" s="2">
        <v>3079400</v>
      </c>
      <c r="N1045" s="2">
        <v>3887318</v>
      </c>
      <c r="O1045" s="2"/>
      <c r="P1045" s="2"/>
      <c r="Q1045">
        <f t="shared" si="32"/>
        <v>26617.626315537203</v>
      </c>
      <c r="R1045">
        <f t="shared" si="33"/>
        <v>31760.471136689459</v>
      </c>
    </row>
    <row r="1046" spans="1:18" ht="16" x14ac:dyDescent="0.4">
      <c r="A1046" s="2">
        <v>240329</v>
      </c>
      <c r="B1046" s="2" t="s">
        <v>1086</v>
      </c>
      <c r="C1046" s="2" t="s">
        <v>243</v>
      </c>
      <c r="D1046" s="2">
        <v>9055</v>
      </c>
      <c r="E1046" s="2">
        <v>56.8</v>
      </c>
      <c r="F1046" s="2" t="s">
        <v>36</v>
      </c>
      <c r="G1046" s="2" t="s">
        <v>37</v>
      </c>
      <c r="H1046" s="2">
        <v>3</v>
      </c>
      <c r="I1046" s="2">
        <v>14</v>
      </c>
      <c r="J1046" s="2" t="s">
        <v>38</v>
      </c>
      <c r="K1046" s="2">
        <v>593</v>
      </c>
      <c r="L1046" s="2">
        <v>46.9</v>
      </c>
      <c r="M1046" s="2">
        <v>1523080</v>
      </c>
      <c r="N1046" s="2">
        <v>1474028</v>
      </c>
      <c r="O1046" s="2"/>
      <c r="P1046" s="2"/>
      <c r="Q1046">
        <f t="shared" si="32"/>
        <v>5300.0284053114347</v>
      </c>
      <c r="R1046">
        <f t="shared" si="33"/>
        <v>4836.9711924746643</v>
      </c>
    </row>
    <row r="1047" spans="1:18" ht="16" x14ac:dyDescent="0.4">
      <c r="A1047" s="2">
        <v>240338</v>
      </c>
      <c r="B1047" s="2" t="s">
        <v>1087</v>
      </c>
      <c r="C1047" s="2" t="s">
        <v>243</v>
      </c>
      <c r="D1047" s="2">
        <v>915</v>
      </c>
      <c r="E1047" s="2">
        <v>55.5</v>
      </c>
      <c r="F1047" s="2" t="s">
        <v>47</v>
      </c>
      <c r="G1047" s="2" t="s">
        <v>37</v>
      </c>
      <c r="H1047" s="2">
        <v>3</v>
      </c>
      <c r="I1047" s="2">
        <v>11</v>
      </c>
      <c r="J1047" s="2" t="s">
        <v>38</v>
      </c>
      <c r="K1047" s="2">
        <v>408</v>
      </c>
      <c r="L1047" s="2">
        <v>39.5</v>
      </c>
      <c r="M1047" s="2">
        <v>1055133</v>
      </c>
      <c r="N1047" s="2">
        <v>648690</v>
      </c>
      <c r="O1047" s="2"/>
      <c r="P1047" s="2"/>
      <c r="Q1047">
        <f t="shared" si="32"/>
        <v>4025.1303052866715</v>
      </c>
      <c r="R1047">
        <f t="shared" si="33"/>
        <v>4274.5624696159457</v>
      </c>
    </row>
    <row r="1048" spans="1:18" ht="16" x14ac:dyDescent="0.4">
      <c r="A1048" s="2">
        <v>240365</v>
      </c>
      <c r="B1048" s="2" t="s">
        <v>1088</v>
      </c>
      <c r="C1048" s="2" t="s">
        <v>243</v>
      </c>
      <c r="D1048" s="2">
        <v>8438</v>
      </c>
      <c r="E1048" s="2">
        <v>59.2</v>
      </c>
      <c r="F1048" s="2" t="s">
        <v>36</v>
      </c>
      <c r="G1048" s="2" t="s">
        <v>37</v>
      </c>
      <c r="H1048" s="2">
        <v>3</v>
      </c>
      <c r="I1048" s="2">
        <v>38</v>
      </c>
      <c r="J1048" s="2" t="s">
        <v>38</v>
      </c>
      <c r="K1048" s="2">
        <v>516</v>
      </c>
      <c r="L1048" s="2">
        <v>42.6</v>
      </c>
      <c r="M1048" s="2">
        <v>1546487</v>
      </c>
      <c r="N1048" s="2">
        <v>1511227</v>
      </c>
      <c r="O1048" s="2"/>
      <c r="P1048" s="2"/>
      <c r="Q1048">
        <f t="shared" si="32"/>
        <v>6874.9636059249542</v>
      </c>
      <c r="R1048">
        <f t="shared" si="33"/>
        <v>5221.3725251870464</v>
      </c>
    </row>
    <row r="1049" spans="1:18" ht="16" x14ac:dyDescent="0.4">
      <c r="A1049" s="2">
        <v>240374</v>
      </c>
      <c r="B1049" s="2" t="s">
        <v>1089</v>
      </c>
      <c r="C1049" s="2" t="s">
        <v>243</v>
      </c>
      <c r="D1049" s="2">
        <v>3140</v>
      </c>
      <c r="E1049" s="2">
        <v>55</v>
      </c>
      <c r="F1049" s="2" t="s">
        <v>36</v>
      </c>
      <c r="G1049" s="2" t="s">
        <v>37</v>
      </c>
      <c r="H1049" s="2">
        <v>2</v>
      </c>
      <c r="I1049" s="2">
        <v>11</v>
      </c>
      <c r="J1049" s="2" t="s">
        <v>41</v>
      </c>
      <c r="K1049" s="2">
        <v>292</v>
      </c>
      <c r="L1049" s="2">
        <v>41.8</v>
      </c>
      <c r="M1049" s="2">
        <v>1764422</v>
      </c>
      <c r="N1049" s="2">
        <v>1580413</v>
      </c>
      <c r="O1049" s="2"/>
      <c r="P1049" s="2"/>
      <c r="Q1049">
        <f t="shared" si="32"/>
        <v>12948.261453758931</v>
      </c>
      <c r="R1049">
        <f t="shared" si="33"/>
        <v>10382.373016993832</v>
      </c>
    </row>
    <row r="1050" spans="1:18" ht="16" x14ac:dyDescent="0.4">
      <c r="A1050" s="2">
        <v>240426</v>
      </c>
      <c r="B1050" s="2" t="s">
        <v>1090</v>
      </c>
      <c r="C1050" s="2" t="s">
        <v>243</v>
      </c>
      <c r="D1050" s="2">
        <v>1710</v>
      </c>
      <c r="E1050" s="2">
        <v>59.8</v>
      </c>
      <c r="F1050" s="2" t="s">
        <v>36</v>
      </c>
      <c r="G1050" s="2" t="s">
        <v>37</v>
      </c>
      <c r="H1050" s="2">
        <v>3</v>
      </c>
      <c r="I1050" s="2">
        <v>38</v>
      </c>
      <c r="J1050" s="2" t="s">
        <v>41</v>
      </c>
      <c r="K1050" s="2">
        <v>388</v>
      </c>
      <c r="L1050" s="2">
        <v>45.9</v>
      </c>
      <c r="M1050" s="2">
        <v>730742</v>
      </c>
      <c r="N1050" s="2">
        <v>654531</v>
      </c>
      <c r="O1050" s="2"/>
      <c r="P1050" s="2"/>
      <c r="Q1050">
        <f t="shared" si="32"/>
        <v>3675.2408867326999</v>
      </c>
      <c r="R1050">
        <f t="shared" si="33"/>
        <v>3481.2489281018347</v>
      </c>
    </row>
    <row r="1051" spans="1:18" ht="16" x14ac:dyDescent="0.4">
      <c r="A1051" s="2">
        <v>240444</v>
      </c>
      <c r="B1051" s="2" t="s">
        <v>1091</v>
      </c>
      <c r="C1051" s="2" t="s">
        <v>243</v>
      </c>
      <c r="D1051" s="2">
        <v>29750</v>
      </c>
      <c r="E1051" s="2">
        <v>52.4</v>
      </c>
      <c r="F1051" s="2" t="s">
        <v>36</v>
      </c>
      <c r="G1051" s="2" t="s">
        <v>37</v>
      </c>
      <c r="H1051" s="2">
        <v>1</v>
      </c>
      <c r="I1051" s="2">
        <v>38</v>
      </c>
      <c r="J1051" s="2" t="s">
        <v>38</v>
      </c>
      <c r="K1051" s="2">
        <v>918</v>
      </c>
      <c r="L1051" s="2">
        <v>50.7</v>
      </c>
      <c r="M1051" s="2">
        <v>55619142</v>
      </c>
      <c r="N1051" s="2">
        <v>27026797</v>
      </c>
      <c r="O1051" s="2"/>
      <c r="P1051" s="2"/>
      <c r="Q1051">
        <f t="shared" si="32"/>
        <v>58068.945439232019</v>
      </c>
      <c r="R1051">
        <f t="shared" si="33"/>
        <v>122895.13317159182</v>
      </c>
    </row>
    <row r="1052" spans="1:18" ht="16" x14ac:dyDescent="0.4">
      <c r="A1052" s="2">
        <v>240453</v>
      </c>
      <c r="B1052" s="2" t="s">
        <v>1092</v>
      </c>
      <c r="C1052" s="2" t="s">
        <v>243</v>
      </c>
      <c r="D1052" s="2">
        <v>17236</v>
      </c>
      <c r="E1052" s="2">
        <v>52.7</v>
      </c>
      <c r="F1052" s="2" t="s">
        <v>36</v>
      </c>
      <c r="G1052" s="2" t="s">
        <v>37</v>
      </c>
      <c r="H1052" s="2">
        <v>1</v>
      </c>
      <c r="I1052" s="2">
        <v>38</v>
      </c>
      <c r="J1052" s="2" t="s">
        <v>41</v>
      </c>
      <c r="K1052" s="2">
        <v>450</v>
      </c>
      <c r="L1052" s="2">
        <v>48.2</v>
      </c>
      <c r="M1052" s="2">
        <v>5030306</v>
      </c>
      <c r="N1052" s="2">
        <v>4426683</v>
      </c>
      <c r="O1052" s="2"/>
      <c r="P1052" s="2"/>
      <c r="Q1052">
        <f t="shared" si="32"/>
        <v>20408.865836791148</v>
      </c>
      <c r="R1052">
        <f t="shared" si="33"/>
        <v>21580.03432003432</v>
      </c>
    </row>
    <row r="1053" spans="1:18" ht="16" x14ac:dyDescent="0.4">
      <c r="A1053" s="2">
        <v>240462</v>
      </c>
      <c r="B1053" s="2" t="s">
        <v>1093</v>
      </c>
      <c r="C1053" s="2" t="s">
        <v>243</v>
      </c>
      <c r="D1053" s="2">
        <v>6457</v>
      </c>
      <c r="E1053" s="2">
        <v>35.5</v>
      </c>
      <c r="F1053" s="2" t="s">
        <v>36</v>
      </c>
      <c r="G1053" s="2" t="s">
        <v>37</v>
      </c>
      <c r="H1053" s="2">
        <v>3</v>
      </c>
      <c r="I1053" s="2">
        <v>12</v>
      </c>
      <c r="J1053" s="2" t="s">
        <v>38</v>
      </c>
      <c r="K1053" s="2">
        <v>494</v>
      </c>
      <c r="L1053" s="2">
        <v>31</v>
      </c>
      <c r="M1053" s="2">
        <v>1190749</v>
      </c>
      <c r="N1053" s="2">
        <v>575937</v>
      </c>
      <c r="O1053" s="2"/>
      <c r="P1053" s="2"/>
      <c r="Q1053">
        <f t="shared" si="32"/>
        <v>3760.8528144181796</v>
      </c>
      <c r="R1053">
        <f t="shared" si="33"/>
        <v>3493.3667781493868</v>
      </c>
    </row>
    <row r="1054" spans="1:18" ht="16" x14ac:dyDescent="0.4">
      <c r="A1054" s="2">
        <v>240471</v>
      </c>
      <c r="B1054" s="2" t="s">
        <v>1094</v>
      </c>
      <c r="C1054" s="2" t="s">
        <v>243</v>
      </c>
      <c r="D1054" s="2">
        <v>4991</v>
      </c>
      <c r="E1054" s="2">
        <v>64.7</v>
      </c>
      <c r="F1054" s="2" t="s">
        <v>36</v>
      </c>
      <c r="G1054" s="2" t="s">
        <v>37</v>
      </c>
      <c r="H1054" s="2">
        <v>3</v>
      </c>
      <c r="I1054" s="2">
        <v>38</v>
      </c>
      <c r="J1054" s="2" t="s">
        <v>38</v>
      </c>
      <c r="K1054" s="2">
        <v>387</v>
      </c>
      <c r="L1054" s="2">
        <v>50.6</v>
      </c>
      <c r="M1054" s="2">
        <v>836880</v>
      </c>
      <c r="N1054" s="2">
        <v>849342</v>
      </c>
      <c r="O1054" s="2"/>
      <c r="P1054" s="2"/>
      <c r="Q1054">
        <f t="shared" si="32"/>
        <v>4337.3165425743791</v>
      </c>
      <c r="R1054">
        <f t="shared" si="33"/>
        <v>4377.4911339170822</v>
      </c>
    </row>
    <row r="1055" spans="1:18" ht="16" x14ac:dyDescent="0.4">
      <c r="A1055" s="2">
        <v>240480</v>
      </c>
      <c r="B1055" s="2" t="s">
        <v>1095</v>
      </c>
      <c r="C1055" s="2" t="s">
        <v>243</v>
      </c>
      <c r="D1055" s="2">
        <v>6657</v>
      </c>
      <c r="E1055" s="2">
        <v>53.3</v>
      </c>
      <c r="F1055" s="2" t="s">
        <v>36</v>
      </c>
      <c r="G1055" s="2" t="s">
        <v>37</v>
      </c>
      <c r="H1055" s="2">
        <v>3</v>
      </c>
      <c r="I1055" s="2">
        <v>13</v>
      </c>
      <c r="J1055" s="2" t="s">
        <v>38</v>
      </c>
      <c r="K1055" s="2">
        <v>560</v>
      </c>
      <c r="L1055" s="2">
        <v>40.700000000000003</v>
      </c>
      <c r="M1055" s="2">
        <v>1358095</v>
      </c>
      <c r="N1055" s="2">
        <v>1092151</v>
      </c>
      <c r="O1055" s="2"/>
      <c r="P1055" s="2"/>
      <c r="Q1055">
        <f t="shared" si="32"/>
        <v>4791.8173043173038</v>
      </c>
      <c r="R1055">
        <f t="shared" si="33"/>
        <v>4089.6621296073235</v>
      </c>
    </row>
    <row r="1056" spans="1:18" ht="16" x14ac:dyDescent="0.4">
      <c r="A1056" s="2">
        <v>240727</v>
      </c>
      <c r="B1056" s="2" t="s">
        <v>1096</v>
      </c>
      <c r="C1056" s="2" t="s">
        <v>63</v>
      </c>
      <c r="D1056" s="2">
        <v>8328</v>
      </c>
      <c r="E1056" s="2">
        <v>50.1</v>
      </c>
      <c r="F1056" s="2" t="s">
        <v>36</v>
      </c>
      <c r="G1056" s="2" t="s">
        <v>37</v>
      </c>
      <c r="H1056" s="2">
        <v>1</v>
      </c>
      <c r="I1056" s="2">
        <v>37</v>
      </c>
      <c r="J1056" s="2" t="s">
        <v>38</v>
      </c>
      <c r="K1056" s="2">
        <v>525</v>
      </c>
      <c r="L1056" s="2">
        <v>47</v>
      </c>
      <c r="M1056" s="2">
        <v>18856552</v>
      </c>
      <c r="N1056" s="2">
        <v>6938071</v>
      </c>
      <c r="O1056" s="2"/>
      <c r="P1056" s="2"/>
      <c r="Q1056">
        <f t="shared" si="32"/>
        <v>28117.815602836876</v>
      </c>
      <c r="R1056">
        <f t="shared" si="33"/>
        <v>67768.380952380947</v>
      </c>
    </row>
    <row r="1057" spans="1:18" ht="16" x14ac:dyDescent="0.4">
      <c r="A1057" s="2">
        <v>243133</v>
      </c>
      <c r="B1057" s="2" t="s">
        <v>1097</v>
      </c>
      <c r="C1057" s="2" t="s">
        <v>172</v>
      </c>
      <c r="D1057" s="2">
        <v>3444</v>
      </c>
      <c r="E1057" s="2">
        <v>50.4</v>
      </c>
      <c r="F1057" s="2" t="s">
        <v>36</v>
      </c>
      <c r="G1057" s="2" t="s">
        <v>37</v>
      </c>
      <c r="H1057" s="2">
        <v>2</v>
      </c>
      <c r="I1057" s="2">
        <v>38</v>
      </c>
      <c r="J1057" s="2" t="s">
        <v>41</v>
      </c>
      <c r="K1057" s="2">
        <v>186</v>
      </c>
      <c r="L1057" s="2">
        <v>44.6</v>
      </c>
      <c r="M1057" s="2">
        <v>208473</v>
      </c>
      <c r="N1057" s="2">
        <v>227933</v>
      </c>
      <c r="O1057" s="2"/>
      <c r="P1057" s="2"/>
      <c r="Q1057">
        <f t="shared" si="32"/>
        <v>2747.6373017021069</v>
      </c>
      <c r="R1057">
        <f t="shared" si="33"/>
        <v>2023.1454524280887</v>
      </c>
    </row>
    <row r="1058" spans="1:18" ht="16" x14ac:dyDescent="0.4">
      <c r="A1058" s="2">
        <v>243197</v>
      </c>
      <c r="B1058" s="2" t="s">
        <v>1098</v>
      </c>
      <c r="C1058" s="2" t="s">
        <v>172</v>
      </c>
      <c r="D1058" s="2">
        <v>11141</v>
      </c>
      <c r="E1058" s="2">
        <v>46.4</v>
      </c>
      <c r="F1058" s="2" t="s">
        <v>36</v>
      </c>
      <c r="G1058" s="2" t="s">
        <v>37</v>
      </c>
      <c r="H1058" s="2">
        <v>2</v>
      </c>
      <c r="I1058" s="2">
        <v>36</v>
      </c>
      <c r="J1058" s="2" t="s">
        <v>41</v>
      </c>
      <c r="K1058" s="2">
        <v>192</v>
      </c>
      <c r="L1058" s="2">
        <v>36.5</v>
      </c>
      <c r="M1058" s="2">
        <v>392971</v>
      </c>
      <c r="N1058" s="2">
        <v>307639</v>
      </c>
      <c r="O1058" s="2"/>
      <c r="P1058" s="2"/>
      <c r="Q1058">
        <f t="shared" si="32"/>
        <v>4389.8259132420089</v>
      </c>
      <c r="R1058">
        <f t="shared" si="33"/>
        <v>3223.1873359580054</v>
      </c>
    </row>
    <row r="1059" spans="1:18" ht="16" x14ac:dyDescent="0.4">
      <c r="A1059" s="2">
        <v>243221</v>
      </c>
      <c r="B1059" s="2" t="s">
        <v>1099</v>
      </c>
      <c r="C1059" s="2" t="s">
        <v>172</v>
      </c>
      <c r="D1059" s="2">
        <v>9882</v>
      </c>
      <c r="E1059" s="2">
        <v>63.3</v>
      </c>
      <c r="F1059" s="2" t="s">
        <v>36</v>
      </c>
      <c r="G1059" s="2" t="s">
        <v>37</v>
      </c>
      <c r="H1059" s="2">
        <v>2</v>
      </c>
      <c r="I1059" s="2">
        <v>38</v>
      </c>
      <c r="J1059" s="2" t="s">
        <v>41</v>
      </c>
      <c r="K1059" s="2">
        <v>292</v>
      </c>
      <c r="L1059" s="2">
        <v>46.2</v>
      </c>
      <c r="M1059" s="2">
        <v>576267</v>
      </c>
      <c r="N1059" s="2">
        <v>540598</v>
      </c>
      <c r="O1059" s="2"/>
      <c r="P1059" s="2"/>
      <c r="Q1059">
        <f t="shared" si="32"/>
        <v>4007.2792504299355</v>
      </c>
      <c r="R1059">
        <f t="shared" si="33"/>
        <v>3668.2474410551508</v>
      </c>
    </row>
    <row r="1060" spans="1:18" ht="16" x14ac:dyDescent="0.4">
      <c r="A1060" s="2">
        <v>243744</v>
      </c>
      <c r="B1060" s="2" t="s">
        <v>1100</v>
      </c>
      <c r="C1060" s="2" t="s">
        <v>60</v>
      </c>
      <c r="D1060" s="2">
        <v>6994</v>
      </c>
      <c r="E1060" s="2">
        <v>50.4</v>
      </c>
      <c r="F1060" s="2" t="s">
        <v>47</v>
      </c>
      <c r="G1060" s="2" t="s">
        <v>37</v>
      </c>
      <c r="H1060" s="2">
        <v>1</v>
      </c>
      <c r="I1060" s="2">
        <v>37</v>
      </c>
      <c r="J1060" s="2" t="s">
        <v>38</v>
      </c>
      <c r="K1060" s="2">
        <v>862</v>
      </c>
      <c r="L1060" s="2">
        <v>49.1</v>
      </c>
      <c r="M1060" s="2">
        <v>47709002</v>
      </c>
      <c r="N1060" s="2">
        <v>27318225</v>
      </c>
      <c r="O1060" s="2"/>
      <c r="P1060" s="2"/>
      <c r="Q1060">
        <f t="shared" si="32"/>
        <v>64545.165649911869</v>
      </c>
      <c r="R1060">
        <f t="shared" si="33"/>
        <v>108736.48343733903</v>
      </c>
    </row>
    <row r="1061" spans="1:18" ht="16" x14ac:dyDescent="0.4">
      <c r="A1061" s="2">
        <v>243780</v>
      </c>
      <c r="B1061" s="2" t="s">
        <v>1101</v>
      </c>
      <c r="C1061" s="2" t="s">
        <v>243</v>
      </c>
      <c r="D1061" s="2">
        <v>32603</v>
      </c>
      <c r="E1061" s="2">
        <v>42.5</v>
      </c>
      <c r="F1061" s="2" t="s">
        <v>36</v>
      </c>
      <c r="G1061" s="2" t="s">
        <v>37</v>
      </c>
      <c r="H1061" s="2">
        <v>1</v>
      </c>
      <c r="I1061" s="2">
        <v>12</v>
      </c>
      <c r="J1061" s="2" t="s">
        <v>38</v>
      </c>
      <c r="K1061" s="2">
        <v>608</v>
      </c>
      <c r="L1061" s="2">
        <v>43.3</v>
      </c>
      <c r="M1061" s="2">
        <v>39004209</v>
      </c>
      <c r="N1061" s="2">
        <v>13730849</v>
      </c>
      <c r="O1061" s="2"/>
      <c r="P1061" s="2"/>
      <c r="Q1061">
        <f t="shared" si="32"/>
        <v>52156.19682144159</v>
      </c>
      <c r="R1061">
        <f t="shared" si="33"/>
        <v>113142.25668337509</v>
      </c>
    </row>
    <row r="1062" spans="1:18" ht="16" x14ac:dyDescent="0.4">
      <c r="A1062" s="2">
        <v>366252</v>
      </c>
      <c r="B1062" s="2" t="s">
        <v>1102</v>
      </c>
      <c r="C1062" s="2" t="s">
        <v>537</v>
      </c>
      <c r="D1062" s="2">
        <v>4101</v>
      </c>
      <c r="E1062" s="2">
        <v>30.8</v>
      </c>
      <c r="F1062" s="2" t="s">
        <v>36</v>
      </c>
      <c r="G1062" s="2" t="s">
        <v>37</v>
      </c>
      <c r="H1062" s="2">
        <v>3</v>
      </c>
      <c r="I1062" s="2">
        <v>38</v>
      </c>
      <c r="J1062" s="2" t="s">
        <v>41</v>
      </c>
      <c r="K1062" s="2">
        <v>245</v>
      </c>
      <c r="L1062" s="2">
        <v>37.6</v>
      </c>
      <c r="M1062" s="2">
        <v>475273</v>
      </c>
      <c r="N1062" s="2">
        <v>358091</v>
      </c>
      <c r="O1062" s="2"/>
      <c r="P1062" s="2"/>
      <c r="Q1062">
        <f t="shared" si="32"/>
        <v>3887.223187147199</v>
      </c>
      <c r="R1062">
        <f t="shared" si="33"/>
        <v>3108.7977498691785</v>
      </c>
    </row>
    <row r="1063" spans="1:18" ht="16" x14ac:dyDescent="0.4">
      <c r="A1063" s="2">
        <v>366711</v>
      </c>
      <c r="B1063" s="2" t="s">
        <v>1103</v>
      </c>
      <c r="C1063" s="2" t="s">
        <v>60</v>
      </c>
      <c r="D1063" s="2">
        <v>12123</v>
      </c>
      <c r="E1063" s="2">
        <v>62</v>
      </c>
      <c r="F1063" s="2" t="s">
        <v>36</v>
      </c>
      <c r="G1063" s="2" t="s">
        <v>37</v>
      </c>
      <c r="H1063" s="2">
        <v>2</v>
      </c>
      <c r="I1063" s="2">
        <v>38</v>
      </c>
      <c r="J1063" s="2" t="s">
        <v>41</v>
      </c>
      <c r="K1063" s="2">
        <v>362</v>
      </c>
      <c r="L1063" s="2">
        <v>62.2</v>
      </c>
      <c r="M1063" s="2">
        <v>1639733</v>
      </c>
      <c r="N1063" s="2">
        <v>2116740</v>
      </c>
      <c r="O1063" s="2"/>
      <c r="P1063" s="2"/>
      <c r="Q1063">
        <f t="shared" si="32"/>
        <v>9400.8811355278831</v>
      </c>
      <c r="R1063">
        <f t="shared" si="33"/>
        <v>11983.19886579555</v>
      </c>
    </row>
    <row r="1064" spans="1:18" ht="16" x14ac:dyDescent="0.4">
      <c r="A1064" s="2">
        <v>409698</v>
      </c>
      <c r="B1064" s="2" t="s">
        <v>1104</v>
      </c>
      <c r="C1064" s="2" t="s">
        <v>60</v>
      </c>
      <c r="D1064" s="2">
        <v>5954</v>
      </c>
      <c r="E1064" s="2">
        <v>63.1</v>
      </c>
      <c r="F1064" s="2" t="s">
        <v>36</v>
      </c>
      <c r="G1064" s="2" t="s">
        <v>37</v>
      </c>
      <c r="H1064" s="2">
        <v>2</v>
      </c>
      <c r="I1064" s="2">
        <v>38</v>
      </c>
      <c r="J1064" s="2" t="s">
        <v>41</v>
      </c>
      <c r="K1064" s="2">
        <v>279</v>
      </c>
      <c r="L1064" s="2">
        <v>58.4</v>
      </c>
      <c r="M1064" s="2">
        <v>1544313</v>
      </c>
      <c r="N1064" s="2">
        <v>1970060</v>
      </c>
      <c r="O1064" s="2"/>
      <c r="P1064" s="2"/>
      <c r="Q1064">
        <f t="shared" si="32"/>
        <v>12091.005057200375</v>
      </c>
      <c r="R1064">
        <f t="shared" si="33"/>
        <v>13305.702026468154</v>
      </c>
    </row>
    <row r="1065" spans="1:18" ht="16" x14ac:dyDescent="0.4">
      <c r="A1065" s="2">
        <v>433660</v>
      </c>
      <c r="B1065" s="2" t="s">
        <v>1105</v>
      </c>
      <c r="C1065" s="2" t="s">
        <v>172</v>
      </c>
      <c r="D1065" s="2">
        <v>11028</v>
      </c>
      <c r="E1065" s="2">
        <v>56.5</v>
      </c>
      <c r="F1065" s="2" t="s">
        <v>36</v>
      </c>
      <c r="G1065" s="2" t="s">
        <v>37</v>
      </c>
      <c r="H1065" s="2">
        <v>1</v>
      </c>
      <c r="I1065" s="2">
        <v>38</v>
      </c>
      <c r="J1065" s="2" t="s">
        <v>41</v>
      </c>
      <c r="K1065" s="2">
        <v>262</v>
      </c>
      <c r="L1065" s="2">
        <v>57.6</v>
      </c>
      <c r="M1065" s="2">
        <v>3993984</v>
      </c>
      <c r="N1065" s="2">
        <v>5677924</v>
      </c>
      <c r="O1065" s="2"/>
      <c r="P1065" s="2"/>
      <c r="Q1065">
        <f t="shared" si="32"/>
        <v>37624.07230703986</v>
      </c>
      <c r="R1065">
        <f t="shared" si="33"/>
        <v>35953.334293533058</v>
      </c>
    </row>
    <row r="1066" spans="1:18" ht="16" x14ac:dyDescent="0.4">
      <c r="A1066" s="2">
        <v>439288</v>
      </c>
      <c r="B1066" s="2" t="s">
        <v>1106</v>
      </c>
      <c r="C1066" s="2" t="s">
        <v>63</v>
      </c>
      <c r="D1066" s="2">
        <v>856</v>
      </c>
      <c r="E1066" s="2">
        <v>61.6</v>
      </c>
      <c r="F1066" s="2" t="s">
        <v>47</v>
      </c>
      <c r="G1066" s="2" t="s">
        <v>37</v>
      </c>
      <c r="H1066" s="2">
        <v>3</v>
      </c>
      <c r="I1066" s="2">
        <v>38</v>
      </c>
      <c r="J1066" s="2" t="s">
        <v>41</v>
      </c>
      <c r="K1066" s="2">
        <v>160</v>
      </c>
      <c r="L1066" s="2">
        <v>46.9</v>
      </c>
      <c r="M1066" s="2">
        <v>511540</v>
      </c>
      <c r="N1066" s="2">
        <v>633174</v>
      </c>
      <c r="O1066" s="2"/>
      <c r="P1066" s="2"/>
      <c r="Q1066">
        <f t="shared" si="32"/>
        <v>8437.8198294243084</v>
      </c>
      <c r="R1066">
        <f t="shared" si="33"/>
        <v>6020.9510357815434</v>
      </c>
    </row>
    <row r="1067" spans="1:18" ht="16" x14ac:dyDescent="0.4">
      <c r="A1067" s="2">
        <v>482149</v>
      </c>
      <c r="B1067" s="2" t="s">
        <v>1107</v>
      </c>
      <c r="C1067" s="2" t="s">
        <v>172</v>
      </c>
      <c r="D1067" s="2">
        <v>4504</v>
      </c>
      <c r="E1067" s="2">
        <v>65.8</v>
      </c>
      <c r="F1067" s="2" t="s">
        <v>36</v>
      </c>
      <c r="G1067" s="2" t="s">
        <v>37</v>
      </c>
      <c r="H1067" s="2">
        <v>2</v>
      </c>
      <c r="I1067" s="2">
        <v>38</v>
      </c>
      <c r="J1067" s="2" t="s">
        <v>41</v>
      </c>
      <c r="K1067" s="2">
        <v>227</v>
      </c>
      <c r="L1067" s="2">
        <v>44.5</v>
      </c>
      <c r="M1067" s="2">
        <v>1676152</v>
      </c>
      <c r="N1067" s="2">
        <v>1831623</v>
      </c>
      <c r="O1067" s="2"/>
      <c r="P1067" s="2"/>
      <c r="Q1067">
        <f t="shared" si="32"/>
        <v>18132.18828886799</v>
      </c>
      <c r="R1067">
        <f t="shared" si="33"/>
        <v>13304.377505258561</v>
      </c>
    </row>
    <row r="1068" spans="1:18" ht="16" x14ac:dyDescent="0.4">
      <c r="A1068" s="2">
        <v>482680</v>
      </c>
      <c r="B1068" s="2" t="s">
        <v>1108</v>
      </c>
      <c r="C1068" s="2" t="s">
        <v>172</v>
      </c>
      <c r="D1068" s="2">
        <v>12804</v>
      </c>
      <c r="E1068" s="2">
        <v>56</v>
      </c>
      <c r="F1068" s="2" t="s">
        <v>36</v>
      </c>
      <c r="G1068" s="2" t="s">
        <v>37</v>
      </c>
      <c r="H1068" s="2">
        <v>2</v>
      </c>
      <c r="I1068" s="2">
        <v>9</v>
      </c>
      <c r="J1068" s="2" t="s">
        <v>41</v>
      </c>
      <c r="K1068" s="2">
        <v>240</v>
      </c>
      <c r="L1068" s="2">
        <v>57.1</v>
      </c>
      <c r="M1068" s="2">
        <v>1918397</v>
      </c>
      <c r="N1068" s="2">
        <v>1940018</v>
      </c>
      <c r="O1068" s="2"/>
      <c r="P1068" s="2"/>
      <c r="Q1068">
        <f t="shared" si="32"/>
        <v>14156.582019848218</v>
      </c>
      <c r="R1068">
        <f t="shared" si="33"/>
        <v>18632.449494949495</v>
      </c>
    </row>
    <row r="1069" spans="1:18" ht="16" x14ac:dyDescent="0.4">
      <c r="A1069" s="2">
        <v>486840</v>
      </c>
      <c r="B1069" s="2" t="s">
        <v>1109</v>
      </c>
      <c r="C1069" s="2" t="s">
        <v>172</v>
      </c>
      <c r="D1069" s="2">
        <v>25285</v>
      </c>
      <c r="E1069" s="2">
        <v>48.7</v>
      </c>
      <c r="F1069" s="2" t="s">
        <v>36</v>
      </c>
      <c r="G1069" s="2" t="s">
        <v>37</v>
      </c>
      <c r="H1069" s="2">
        <v>1</v>
      </c>
      <c r="I1069" s="2">
        <v>38</v>
      </c>
      <c r="J1069" s="2" t="s">
        <v>38</v>
      </c>
      <c r="K1069" s="2">
        <v>511</v>
      </c>
      <c r="L1069" s="2">
        <v>48.3</v>
      </c>
      <c r="M1069" s="2">
        <v>8601384</v>
      </c>
      <c r="N1069" s="2">
        <v>5484829</v>
      </c>
      <c r="O1069" s="2"/>
      <c r="P1069" s="2"/>
      <c r="Q1069">
        <f t="shared" si="32"/>
        <v>22222.609830114299</v>
      </c>
      <c r="R1069">
        <f t="shared" si="33"/>
        <v>32557.938127159927</v>
      </c>
    </row>
    <row r="1070" spans="1:18" ht="16" x14ac:dyDescent="0.4">
      <c r="A1070" s="2">
        <v>487524</v>
      </c>
      <c r="B1070" s="2" t="s">
        <v>1110</v>
      </c>
      <c r="C1070" s="2" t="s">
        <v>152</v>
      </c>
      <c r="D1070" s="2">
        <v>2404</v>
      </c>
      <c r="E1070" s="2">
        <v>55.4</v>
      </c>
      <c r="F1070" s="2" t="s">
        <v>47</v>
      </c>
      <c r="G1070" s="2" t="s">
        <v>37</v>
      </c>
      <c r="H1070" s="2">
        <v>3</v>
      </c>
      <c r="I1070" s="2">
        <v>38</v>
      </c>
      <c r="J1070" s="2" t="s">
        <v>38</v>
      </c>
      <c r="K1070" s="2">
        <v>567</v>
      </c>
      <c r="L1070" s="2">
        <v>41.3</v>
      </c>
      <c r="M1070" s="2">
        <v>1050015</v>
      </c>
      <c r="N1070" s="2">
        <v>732593</v>
      </c>
      <c r="O1070" s="2"/>
      <c r="P1070" s="2"/>
      <c r="Q1070">
        <f t="shared" si="32"/>
        <v>3128.4531389454714</v>
      </c>
      <c r="R1070">
        <f t="shared" si="33"/>
        <v>3154.8182399971151</v>
      </c>
    </row>
    <row r="1071" spans="1:18" ht="16" x14ac:dyDescent="0.4">
      <c r="A1071" s="2">
        <v>490805</v>
      </c>
      <c r="B1071" s="2" t="s">
        <v>1111</v>
      </c>
      <c r="C1071" s="2" t="s">
        <v>243</v>
      </c>
      <c r="D1071" s="2">
        <v>5451</v>
      </c>
      <c r="E1071" s="2">
        <v>51.3</v>
      </c>
      <c r="F1071" s="2" t="s">
        <v>36</v>
      </c>
      <c r="G1071" s="2" t="s">
        <v>37</v>
      </c>
      <c r="H1071" s="2">
        <v>2</v>
      </c>
      <c r="I1071" s="2">
        <v>38</v>
      </c>
      <c r="J1071" s="2" t="s">
        <v>41</v>
      </c>
      <c r="K1071" s="2">
        <v>220</v>
      </c>
      <c r="L1071" s="2">
        <v>44.5</v>
      </c>
      <c r="M1071" s="2">
        <v>1206489</v>
      </c>
      <c r="N1071" s="2">
        <v>1349750</v>
      </c>
      <c r="O1071" s="2"/>
      <c r="P1071" s="2"/>
      <c r="Q1071">
        <f t="shared" si="32"/>
        <v>13787.02757916241</v>
      </c>
      <c r="R1071">
        <f t="shared" si="33"/>
        <v>9881.1547911547896</v>
      </c>
    </row>
    <row r="1072" spans="1:18" ht="16" x14ac:dyDescent="0.4">
      <c r="A1072" s="2">
        <v>800001</v>
      </c>
      <c r="B1072" s="2" t="s">
        <v>1112</v>
      </c>
      <c r="C1072" s="2" t="s">
        <v>60</v>
      </c>
      <c r="D1072" s="2">
        <v>12321</v>
      </c>
      <c r="E1072" s="2">
        <v>53.9</v>
      </c>
      <c r="F1072" s="2" t="s">
        <v>36</v>
      </c>
      <c r="G1072" s="2" t="s">
        <v>37</v>
      </c>
      <c r="H1072" s="2">
        <v>2</v>
      </c>
      <c r="I1072" s="2">
        <v>9</v>
      </c>
      <c r="J1072" s="2" t="s">
        <v>38</v>
      </c>
      <c r="K1072" s="2">
        <v>471</v>
      </c>
      <c r="L1072" s="2">
        <v>39.9</v>
      </c>
      <c r="M1072" s="2">
        <v>3567682</v>
      </c>
      <c r="N1072" s="2">
        <v>2769859</v>
      </c>
      <c r="O1072" s="2"/>
      <c r="P1072" s="2"/>
      <c r="Q1072">
        <f t="shared" si="32"/>
        <v>14738.858824343235</v>
      </c>
      <c r="R1072">
        <f t="shared" si="33"/>
        <v>12603.48817081227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3"/>
  <sheetViews>
    <sheetView workbookViewId="0">
      <selection activeCell="B2" sqref="B2"/>
    </sheetView>
  </sheetViews>
  <sheetFormatPr defaultColWidth="8.81640625" defaultRowHeight="15" customHeight="1" x14ac:dyDescent="0.35"/>
  <cols>
    <col min="1" max="1" width="7.81640625" customWidth="1"/>
    <col min="5" max="5" width="15.453125" bestFit="1" customWidth="1"/>
    <col min="6" max="6" width="14.453125" bestFit="1" customWidth="1"/>
    <col min="7" max="7" width="14.453125" customWidth="1"/>
    <col min="8" max="8" width="18.81640625" customWidth="1"/>
    <col min="9" max="11" width="14.453125" customWidth="1"/>
    <col min="12" max="12" width="13.453125" bestFit="1" customWidth="1"/>
    <col min="13" max="13" width="14.453125" bestFit="1" customWidth="1"/>
    <col min="18" max="18" width="8.453125" style="3"/>
    <col min="16384" max="16384" width="8.453125" bestFit="1" customWidth="1"/>
  </cols>
  <sheetData>
    <row r="1" spans="1:13" ht="15" customHeight="1" x14ac:dyDescent="0.35">
      <c r="A1" t="s">
        <v>4</v>
      </c>
      <c r="B1" t="s">
        <v>8</v>
      </c>
      <c r="C1" t="s">
        <v>10</v>
      </c>
      <c r="D1" t="s">
        <v>28</v>
      </c>
      <c r="E1" t="s">
        <v>15</v>
      </c>
      <c r="F1" t="s">
        <v>17</v>
      </c>
      <c r="G1" s="3" t="s">
        <v>1113</v>
      </c>
      <c r="I1" s="3"/>
      <c r="J1" s="3"/>
    </row>
    <row r="2" spans="1:13" ht="15" customHeight="1" x14ac:dyDescent="0.35">
      <c r="A2" t="s">
        <v>47</v>
      </c>
      <c r="B2">
        <v>2</v>
      </c>
      <c r="C2">
        <v>1</v>
      </c>
      <c r="D2">
        <v>299</v>
      </c>
      <c r="E2" s="3">
        <v>0.54200000000000004</v>
      </c>
      <c r="F2" s="7">
        <v>5713327</v>
      </c>
      <c r="G2" s="3">
        <v>0.54392475697610165</v>
      </c>
      <c r="H2" s="7"/>
      <c r="I2" s="13"/>
      <c r="J2" s="13"/>
      <c r="K2" s="13"/>
      <c r="L2" s="13"/>
      <c r="M2" s="13"/>
    </row>
    <row r="3" spans="1:13" ht="15" customHeight="1" x14ac:dyDescent="0.35">
      <c r="A3" t="s">
        <v>47</v>
      </c>
      <c r="B3">
        <v>1</v>
      </c>
      <c r="C3">
        <v>1</v>
      </c>
      <c r="D3">
        <v>320</v>
      </c>
      <c r="E3" s="3">
        <v>0.6</v>
      </c>
      <c r="F3" s="7">
        <v>10627020</v>
      </c>
      <c r="G3" s="3">
        <v>0.5755838419425201</v>
      </c>
      <c r="H3" s="7"/>
    </row>
    <row r="4" spans="1:13" ht="15" customHeight="1" x14ac:dyDescent="0.35">
      <c r="A4" t="s">
        <v>36</v>
      </c>
      <c r="B4">
        <v>2</v>
      </c>
      <c r="C4">
        <v>1</v>
      </c>
      <c r="D4">
        <v>201</v>
      </c>
      <c r="E4" s="3">
        <v>0.46299999999999997</v>
      </c>
      <c r="F4" s="7">
        <v>3589042</v>
      </c>
      <c r="G4" s="3">
        <v>0.54803203751864704</v>
      </c>
      <c r="H4" s="7"/>
    </row>
    <row r="5" spans="1:13" ht="15" customHeight="1" x14ac:dyDescent="0.35">
      <c r="A5" t="s">
        <v>36</v>
      </c>
      <c r="B5">
        <v>1</v>
      </c>
      <c r="C5">
        <v>1</v>
      </c>
      <c r="D5">
        <v>731</v>
      </c>
      <c r="E5" s="3">
        <v>0.47500000000000003</v>
      </c>
      <c r="F5" s="7">
        <v>29093061</v>
      </c>
      <c r="G5" s="3">
        <v>0.28834284573905783</v>
      </c>
      <c r="H5" s="7"/>
    </row>
    <row r="6" spans="1:13" ht="15" customHeight="1" x14ac:dyDescent="0.35">
      <c r="A6" t="s">
        <v>36</v>
      </c>
      <c r="B6">
        <v>1</v>
      </c>
      <c r="C6">
        <v>1</v>
      </c>
      <c r="D6">
        <v>611</v>
      </c>
      <c r="E6" s="3">
        <v>0.498</v>
      </c>
      <c r="F6" s="7">
        <v>17346909</v>
      </c>
      <c r="G6" s="3">
        <v>0.4039700675203865</v>
      </c>
      <c r="H6" s="7"/>
    </row>
    <row r="7" spans="1:13" ht="15" customHeight="1" x14ac:dyDescent="0.35">
      <c r="A7" t="s">
        <v>47</v>
      </c>
      <c r="B7">
        <v>3</v>
      </c>
      <c r="C7">
        <v>1</v>
      </c>
      <c r="D7">
        <v>186</v>
      </c>
      <c r="E7" s="3">
        <v>0.40299999999999997</v>
      </c>
      <c r="F7" s="7">
        <v>690448</v>
      </c>
      <c r="G7" s="3">
        <v>0.40293258869603504</v>
      </c>
      <c r="H7" s="7"/>
      <c r="I7" s="3"/>
      <c r="J7" s="3"/>
      <c r="K7" s="7"/>
    </row>
    <row r="8" spans="1:13" ht="15" customHeight="1" x14ac:dyDescent="0.35">
      <c r="A8" t="s">
        <v>36</v>
      </c>
      <c r="B8">
        <v>1</v>
      </c>
      <c r="C8">
        <v>1</v>
      </c>
      <c r="D8">
        <v>583</v>
      </c>
      <c r="E8" s="3">
        <v>0.42</v>
      </c>
      <c r="F8" s="7">
        <v>17876804</v>
      </c>
      <c r="G8" s="3">
        <v>0.31285010452651379</v>
      </c>
      <c r="H8" s="7"/>
      <c r="I8" s="3"/>
      <c r="J8" s="3"/>
      <c r="K8" s="7"/>
    </row>
    <row r="9" spans="1:13" ht="15" customHeight="1" x14ac:dyDescent="0.35">
      <c r="A9" t="s">
        <v>47</v>
      </c>
      <c r="B9">
        <v>3</v>
      </c>
      <c r="C9">
        <v>1</v>
      </c>
      <c r="D9">
        <v>608</v>
      </c>
      <c r="E9" s="3">
        <v>0.32100000000000001</v>
      </c>
      <c r="F9" s="7">
        <v>2960787</v>
      </c>
      <c r="G9" s="3">
        <v>0.31673335501675737</v>
      </c>
      <c r="H9" s="7"/>
      <c r="I9" s="3"/>
      <c r="J9" s="3"/>
      <c r="K9" s="7"/>
    </row>
    <row r="10" spans="1:13" ht="15" customHeight="1" x14ac:dyDescent="0.35">
      <c r="A10" t="s">
        <v>47</v>
      </c>
      <c r="B10">
        <v>2</v>
      </c>
      <c r="C10">
        <v>1</v>
      </c>
      <c r="D10">
        <v>730</v>
      </c>
      <c r="E10" s="3">
        <v>0.34500000000000003</v>
      </c>
      <c r="F10" s="7">
        <v>7007753</v>
      </c>
      <c r="G10" s="3">
        <v>0.35031314602555197</v>
      </c>
      <c r="H10" s="7"/>
      <c r="I10" s="3"/>
      <c r="J10" s="3"/>
      <c r="K10" s="7"/>
    </row>
    <row r="11" spans="1:13" ht="15" customHeight="1" x14ac:dyDescent="0.35">
      <c r="A11" t="s">
        <v>36</v>
      </c>
      <c r="B11">
        <v>1</v>
      </c>
      <c r="C11">
        <v>1</v>
      </c>
      <c r="D11">
        <v>363</v>
      </c>
      <c r="E11" s="3">
        <v>0.35299999999999998</v>
      </c>
      <c r="F11" s="7">
        <v>7454057</v>
      </c>
      <c r="G11" s="3">
        <v>0.32327898753658579</v>
      </c>
      <c r="H11" s="7"/>
      <c r="I11" s="3"/>
      <c r="J11" s="3"/>
      <c r="K11" s="7"/>
    </row>
    <row r="12" spans="1:13" ht="15" customHeight="1" x14ac:dyDescent="0.35">
      <c r="A12" t="s">
        <v>47</v>
      </c>
      <c r="B12">
        <v>3</v>
      </c>
      <c r="C12">
        <v>1</v>
      </c>
      <c r="D12">
        <v>213</v>
      </c>
      <c r="E12" s="3">
        <v>0.54900000000000004</v>
      </c>
      <c r="F12" s="7">
        <v>516439</v>
      </c>
      <c r="G12" s="3">
        <v>0.56119502980990976</v>
      </c>
      <c r="H12" s="7"/>
      <c r="I12" s="3"/>
      <c r="J12" s="3"/>
      <c r="K12" s="7"/>
    </row>
    <row r="13" spans="1:13" ht="15" customHeight="1" x14ac:dyDescent="0.35">
      <c r="A13" t="s">
        <v>36</v>
      </c>
      <c r="B13">
        <v>1</v>
      </c>
      <c r="C13">
        <v>1</v>
      </c>
      <c r="D13">
        <v>579</v>
      </c>
      <c r="E13" s="3">
        <v>0.435</v>
      </c>
      <c r="F13" s="7">
        <v>12304601</v>
      </c>
      <c r="G13" s="3">
        <v>0.36915638304728449</v>
      </c>
      <c r="H13" s="7"/>
      <c r="I13" s="3"/>
      <c r="J13" s="3"/>
      <c r="K13" s="7"/>
    </row>
    <row r="14" spans="1:13" ht="15" customHeight="1" x14ac:dyDescent="0.35">
      <c r="A14" t="s">
        <v>47</v>
      </c>
      <c r="B14">
        <v>3</v>
      </c>
      <c r="C14">
        <v>1</v>
      </c>
      <c r="D14">
        <v>194</v>
      </c>
      <c r="E14" s="3">
        <v>0.45900000000000002</v>
      </c>
      <c r="F14" s="7">
        <v>476923</v>
      </c>
      <c r="G14" s="3">
        <v>0.51914669663656399</v>
      </c>
      <c r="H14" s="7"/>
      <c r="I14" s="3"/>
      <c r="J14" s="3"/>
      <c r="K14" s="7"/>
    </row>
    <row r="15" spans="1:13" ht="15" customHeight="1" x14ac:dyDescent="0.35">
      <c r="A15" t="s">
        <v>36</v>
      </c>
      <c r="B15">
        <v>1</v>
      </c>
      <c r="C15">
        <v>1</v>
      </c>
      <c r="D15">
        <v>414</v>
      </c>
      <c r="E15" s="3">
        <v>0.45900000000000002</v>
      </c>
      <c r="F15" s="7">
        <v>11004696</v>
      </c>
      <c r="G15" s="3">
        <v>0.49496387723931673</v>
      </c>
      <c r="H15" s="7"/>
      <c r="I15" s="3"/>
      <c r="J15" s="3"/>
      <c r="K15" s="7"/>
    </row>
    <row r="16" spans="1:13" ht="15" customHeight="1" x14ac:dyDescent="0.35">
      <c r="A16" t="s">
        <v>47</v>
      </c>
      <c r="B16">
        <v>3</v>
      </c>
      <c r="C16">
        <v>1</v>
      </c>
      <c r="D16">
        <v>206</v>
      </c>
      <c r="E16" s="3">
        <v>0.56299999999999994</v>
      </c>
      <c r="F16" s="7">
        <v>372331</v>
      </c>
      <c r="G16" s="3">
        <v>0.49685897763011944</v>
      </c>
      <c r="H16" s="7"/>
      <c r="I16" s="3"/>
      <c r="J16" s="3"/>
      <c r="K16" s="7"/>
    </row>
    <row r="17" spans="1:11" ht="15" customHeight="1" x14ac:dyDescent="0.35">
      <c r="A17" t="s">
        <v>47</v>
      </c>
      <c r="B17">
        <v>3</v>
      </c>
      <c r="C17">
        <v>1</v>
      </c>
      <c r="D17">
        <v>649</v>
      </c>
      <c r="E17" s="3">
        <v>0.378</v>
      </c>
      <c r="F17" s="7">
        <v>2762782</v>
      </c>
      <c r="G17" s="3">
        <v>0.42188163959371389</v>
      </c>
      <c r="H17" s="7"/>
      <c r="I17" s="3"/>
      <c r="J17" s="3"/>
      <c r="K17" s="7"/>
    </row>
    <row r="18" spans="1:11" ht="15" customHeight="1" x14ac:dyDescent="0.35">
      <c r="A18" t="s">
        <v>47</v>
      </c>
      <c r="B18">
        <v>3</v>
      </c>
      <c r="C18">
        <v>1</v>
      </c>
      <c r="D18">
        <v>237</v>
      </c>
      <c r="E18" s="3">
        <v>0.44700000000000006</v>
      </c>
      <c r="F18" s="7">
        <v>1141701</v>
      </c>
      <c r="G18" s="3">
        <v>0.48259132645062058</v>
      </c>
      <c r="H18" s="7"/>
      <c r="I18" s="3"/>
      <c r="J18" s="3"/>
      <c r="K18" s="7"/>
    </row>
    <row r="19" spans="1:11" ht="15" customHeight="1" x14ac:dyDescent="0.35">
      <c r="A19" t="s">
        <v>47</v>
      </c>
      <c r="B19">
        <v>3</v>
      </c>
      <c r="C19">
        <v>1</v>
      </c>
      <c r="D19">
        <v>520</v>
      </c>
      <c r="E19" s="3">
        <v>0.312</v>
      </c>
      <c r="F19" s="7">
        <v>2249065</v>
      </c>
      <c r="G19" s="3">
        <v>0.37684148746256779</v>
      </c>
      <c r="H19" s="7"/>
      <c r="I19" s="3"/>
      <c r="J19" s="3"/>
      <c r="K19" s="7"/>
    </row>
    <row r="20" spans="1:11" ht="15" customHeight="1" x14ac:dyDescent="0.35">
      <c r="A20" t="s">
        <v>47</v>
      </c>
      <c r="B20">
        <v>3</v>
      </c>
      <c r="C20">
        <v>1</v>
      </c>
      <c r="D20">
        <v>749</v>
      </c>
      <c r="E20" s="3">
        <v>0.434</v>
      </c>
      <c r="F20" s="7">
        <v>4380868</v>
      </c>
      <c r="G20" s="3">
        <v>0.4391490453490039</v>
      </c>
      <c r="H20" s="7"/>
      <c r="I20" s="3"/>
      <c r="J20" s="3"/>
      <c r="K20" s="7"/>
    </row>
    <row r="21" spans="1:11" ht="15" customHeight="1" x14ac:dyDescent="0.35">
      <c r="A21" t="s">
        <v>47</v>
      </c>
      <c r="B21">
        <v>3</v>
      </c>
      <c r="C21">
        <v>1</v>
      </c>
      <c r="D21">
        <v>224</v>
      </c>
      <c r="E21" s="3">
        <v>0.53100000000000003</v>
      </c>
      <c r="F21" s="7">
        <v>574568</v>
      </c>
      <c r="G21" s="3">
        <v>0.47653541443310454</v>
      </c>
      <c r="H21" s="7"/>
      <c r="I21" s="3"/>
      <c r="J21" s="3"/>
      <c r="K21" s="7"/>
    </row>
    <row r="22" spans="1:11" ht="15" customHeight="1" x14ac:dyDescent="0.35">
      <c r="A22" t="s">
        <v>36</v>
      </c>
      <c r="B22">
        <v>3</v>
      </c>
      <c r="C22">
        <v>1</v>
      </c>
      <c r="D22">
        <v>560</v>
      </c>
      <c r="E22" s="3">
        <v>0.40700000000000003</v>
      </c>
      <c r="F22" s="7">
        <v>2450246</v>
      </c>
      <c r="G22" s="3">
        <v>0.4457311633199279</v>
      </c>
      <c r="H22" s="7"/>
      <c r="I22" s="3"/>
      <c r="J22" s="3"/>
      <c r="K22" s="7"/>
    </row>
    <row r="23" spans="1:11" ht="14.5" x14ac:dyDescent="0.35">
      <c r="A23" t="s">
        <v>36</v>
      </c>
      <c r="B23">
        <v>2</v>
      </c>
      <c r="C23">
        <v>1</v>
      </c>
      <c r="D23">
        <v>594</v>
      </c>
      <c r="E23" s="3">
        <v>0.40200000000000002</v>
      </c>
      <c r="F23" s="7">
        <v>6308712</v>
      </c>
      <c r="G23" s="3">
        <v>0.52485879843619432</v>
      </c>
      <c r="H23" s="7"/>
      <c r="I23" s="3"/>
      <c r="J23" s="3"/>
      <c r="K23" s="7"/>
    </row>
    <row r="24" spans="1:11" ht="14.5" x14ac:dyDescent="0.35">
      <c r="A24" t="s">
        <v>36</v>
      </c>
      <c r="B24">
        <v>1</v>
      </c>
      <c r="C24">
        <v>1</v>
      </c>
      <c r="D24">
        <v>898</v>
      </c>
      <c r="E24" s="3">
        <v>0.46</v>
      </c>
      <c r="F24" s="7">
        <v>71997827</v>
      </c>
      <c r="G24" s="3">
        <v>0.27270936940916285</v>
      </c>
      <c r="H24" s="7"/>
      <c r="I24" s="3"/>
      <c r="J24" s="3"/>
      <c r="K24" s="7"/>
    </row>
    <row r="25" spans="1:11" ht="14.5" x14ac:dyDescent="0.35">
      <c r="A25" t="s">
        <v>47</v>
      </c>
      <c r="B25">
        <v>3</v>
      </c>
      <c r="C25">
        <v>1</v>
      </c>
      <c r="D25">
        <v>755</v>
      </c>
      <c r="E25" s="3">
        <v>0.39200000000000002</v>
      </c>
      <c r="F25" s="7">
        <v>4089296</v>
      </c>
      <c r="G25" s="3">
        <v>0.38296445158286413</v>
      </c>
      <c r="H25" s="7"/>
      <c r="I25" s="3"/>
      <c r="J25" s="3"/>
      <c r="K25" s="7"/>
    </row>
    <row r="26" spans="1:11" ht="14.5" x14ac:dyDescent="0.35">
      <c r="A26" t="s">
        <v>47</v>
      </c>
      <c r="B26">
        <v>3</v>
      </c>
      <c r="C26">
        <v>1</v>
      </c>
      <c r="D26">
        <v>354</v>
      </c>
      <c r="E26" s="3">
        <v>0.503</v>
      </c>
      <c r="F26" s="7">
        <v>1188745</v>
      </c>
      <c r="G26" s="3">
        <v>0.53611581962489852</v>
      </c>
      <c r="H26" s="7"/>
      <c r="I26" s="3"/>
      <c r="J26" s="3"/>
      <c r="K26" s="7"/>
    </row>
    <row r="27" spans="1:11" ht="14.5" x14ac:dyDescent="0.35">
      <c r="A27" t="s">
        <v>36</v>
      </c>
      <c r="B27">
        <v>2</v>
      </c>
      <c r="C27">
        <v>1</v>
      </c>
      <c r="D27">
        <v>330</v>
      </c>
      <c r="E27" s="3">
        <v>0.33</v>
      </c>
      <c r="F27" s="7">
        <v>2659044</v>
      </c>
      <c r="G27" s="3">
        <v>0.36495447235923889</v>
      </c>
      <c r="H27" s="7"/>
      <c r="I27" s="3"/>
      <c r="J27" s="3"/>
      <c r="K27" s="7"/>
    </row>
    <row r="28" spans="1:11" ht="14.5" x14ac:dyDescent="0.35">
      <c r="A28" t="s">
        <v>36</v>
      </c>
      <c r="B28">
        <v>1</v>
      </c>
      <c r="C28">
        <v>1</v>
      </c>
      <c r="D28">
        <v>482</v>
      </c>
      <c r="E28" s="3">
        <v>0.46899999999999997</v>
      </c>
      <c r="F28" s="7">
        <v>14353706</v>
      </c>
      <c r="G28" s="3">
        <v>0.35471041416063559</v>
      </c>
      <c r="H28" s="7"/>
      <c r="I28" s="3"/>
      <c r="J28" s="3"/>
      <c r="K28" s="7"/>
    </row>
    <row r="29" spans="1:11" ht="14.5" x14ac:dyDescent="0.35">
      <c r="A29" t="s">
        <v>47</v>
      </c>
      <c r="B29">
        <v>2</v>
      </c>
      <c r="C29">
        <v>1</v>
      </c>
      <c r="D29">
        <v>496</v>
      </c>
      <c r="E29" s="3">
        <v>0.44400000000000001</v>
      </c>
      <c r="F29" s="7">
        <v>5113232</v>
      </c>
      <c r="G29" s="3">
        <v>0.49486880313664627</v>
      </c>
      <c r="H29" s="7"/>
      <c r="I29" s="3"/>
      <c r="J29" s="3"/>
      <c r="K29" s="7"/>
    </row>
    <row r="30" spans="1:11" ht="14.5" x14ac:dyDescent="0.35">
      <c r="A30" t="s">
        <v>47</v>
      </c>
      <c r="B30">
        <v>2</v>
      </c>
      <c r="C30">
        <v>1</v>
      </c>
      <c r="D30">
        <v>276</v>
      </c>
      <c r="E30" s="3">
        <v>0.5</v>
      </c>
      <c r="F30" s="7">
        <v>5975133</v>
      </c>
      <c r="G30" s="3">
        <v>0.59432735639524681</v>
      </c>
      <c r="H30" s="7"/>
      <c r="I30" s="3"/>
      <c r="J30" s="3"/>
      <c r="K30" s="7"/>
    </row>
    <row r="31" spans="1:11" ht="14.5" x14ac:dyDescent="0.35">
      <c r="A31" t="s">
        <v>47</v>
      </c>
      <c r="B31">
        <v>1</v>
      </c>
      <c r="C31">
        <v>1</v>
      </c>
      <c r="D31">
        <v>475</v>
      </c>
      <c r="E31" s="3">
        <v>0.52200000000000002</v>
      </c>
      <c r="F31" s="7">
        <v>19767665</v>
      </c>
      <c r="G31" s="3">
        <v>0.40922263706917333</v>
      </c>
      <c r="H31" s="7"/>
      <c r="I31" s="3"/>
      <c r="J31" s="3"/>
      <c r="K31" s="7"/>
    </row>
    <row r="32" spans="1:11" ht="14.5" x14ac:dyDescent="0.35">
      <c r="A32" t="s">
        <v>36</v>
      </c>
      <c r="B32">
        <v>3</v>
      </c>
      <c r="C32">
        <v>1</v>
      </c>
      <c r="D32">
        <v>381</v>
      </c>
      <c r="E32" s="3">
        <v>0.50700000000000001</v>
      </c>
      <c r="F32" s="7">
        <v>1581178</v>
      </c>
      <c r="G32" s="3">
        <v>0.53256116642149076</v>
      </c>
      <c r="H32" s="7"/>
      <c r="I32" s="3"/>
      <c r="J32" s="3"/>
      <c r="K32" s="7"/>
    </row>
    <row r="33" spans="1:11" ht="14.5" x14ac:dyDescent="0.35">
      <c r="A33" t="s">
        <v>36</v>
      </c>
      <c r="B33">
        <v>2</v>
      </c>
      <c r="C33">
        <v>1</v>
      </c>
      <c r="D33">
        <v>341</v>
      </c>
      <c r="E33" s="3">
        <v>0.59200000000000008</v>
      </c>
      <c r="F33" s="7">
        <v>4416654</v>
      </c>
      <c r="G33" s="3">
        <v>0.55166286514633023</v>
      </c>
      <c r="H33" s="7"/>
      <c r="I33" s="3"/>
      <c r="J33" s="3"/>
      <c r="K33" s="7"/>
    </row>
    <row r="34" spans="1:11" ht="14.5" x14ac:dyDescent="0.35">
      <c r="A34" t="s">
        <v>47</v>
      </c>
      <c r="B34">
        <v>1</v>
      </c>
      <c r="C34">
        <v>1</v>
      </c>
      <c r="D34">
        <v>479</v>
      </c>
      <c r="E34" s="3">
        <v>0.52</v>
      </c>
      <c r="F34" s="7">
        <v>13894714</v>
      </c>
      <c r="G34" s="3">
        <v>0.4997208290865145</v>
      </c>
      <c r="H34" s="7"/>
      <c r="I34" s="3"/>
      <c r="J34" s="3"/>
      <c r="K34" s="7"/>
    </row>
    <row r="35" spans="1:11" ht="14.5" x14ac:dyDescent="0.35">
      <c r="A35" t="s">
        <v>36</v>
      </c>
      <c r="B35">
        <v>1</v>
      </c>
      <c r="C35">
        <v>1</v>
      </c>
      <c r="D35">
        <v>415</v>
      </c>
      <c r="E35" s="3">
        <v>0.47000000000000003</v>
      </c>
      <c r="F35" s="7">
        <v>43152829</v>
      </c>
      <c r="G35" s="3">
        <v>0.24496433362456954</v>
      </c>
      <c r="H35" s="7"/>
      <c r="I35" s="3"/>
      <c r="J35" s="3"/>
      <c r="K35" s="7"/>
    </row>
    <row r="36" spans="1:11" ht="14.5" x14ac:dyDescent="0.35">
      <c r="A36" t="s">
        <v>36</v>
      </c>
      <c r="B36">
        <v>2</v>
      </c>
      <c r="C36">
        <v>1</v>
      </c>
      <c r="D36">
        <v>472</v>
      </c>
      <c r="E36" s="3">
        <v>0.33299999999999996</v>
      </c>
      <c r="F36" s="7">
        <v>4285223</v>
      </c>
      <c r="G36" s="3">
        <v>0.3082572365545504</v>
      </c>
      <c r="H36" s="7"/>
      <c r="I36" s="3"/>
      <c r="J36" s="3"/>
      <c r="K36" s="7"/>
    </row>
    <row r="37" spans="1:11" ht="14.5" x14ac:dyDescent="0.35">
      <c r="A37" t="s">
        <v>47</v>
      </c>
      <c r="B37">
        <v>3</v>
      </c>
      <c r="C37">
        <v>1</v>
      </c>
      <c r="D37">
        <v>386</v>
      </c>
      <c r="E37" s="3">
        <v>0.376</v>
      </c>
      <c r="F37" s="7">
        <v>1291292</v>
      </c>
      <c r="G37" s="3">
        <v>0.40398995734504667</v>
      </c>
      <c r="H37" s="7"/>
      <c r="I37" s="3"/>
      <c r="J37" s="3"/>
      <c r="K37" s="7"/>
    </row>
    <row r="38" spans="1:11" ht="14.5" x14ac:dyDescent="0.35">
      <c r="A38" t="s">
        <v>36</v>
      </c>
      <c r="B38">
        <v>1</v>
      </c>
      <c r="C38">
        <v>1</v>
      </c>
      <c r="D38">
        <v>416</v>
      </c>
      <c r="E38" s="3">
        <v>0.38900000000000001</v>
      </c>
      <c r="F38" s="7">
        <v>8786653</v>
      </c>
      <c r="G38" s="3">
        <v>0.34715255057870159</v>
      </c>
      <c r="H38" s="7"/>
      <c r="I38" s="3"/>
      <c r="J38" s="3"/>
      <c r="K38" s="7"/>
    </row>
    <row r="39" spans="1:11" ht="14.5" x14ac:dyDescent="0.35">
      <c r="A39" t="s">
        <v>36</v>
      </c>
      <c r="B39">
        <v>1</v>
      </c>
      <c r="C39">
        <v>1</v>
      </c>
      <c r="D39">
        <v>452</v>
      </c>
      <c r="E39" s="3">
        <v>0.41600000000000004</v>
      </c>
      <c r="F39" s="7">
        <v>12765375</v>
      </c>
      <c r="G39" s="3">
        <v>0.39738950089597835</v>
      </c>
      <c r="H39" s="7"/>
      <c r="I39" s="3"/>
      <c r="J39" s="3"/>
      <c r="K39" s="7"/>
    </row>
    <row r="40" spans="1:11" ht="14.5" x14ac:dyDescent="0.35">
      <c r="A40" t="s">
        <v>36</v>
      </c>
      <c r="B40">
        <v>1</v>
      </c>
      <c r="C40">
        <v>1</v>
      </c>
      <c r="D40">
        <v>525</v>
      </c>
      <c r="E40" s="3">
        <v>0.47000000000000003</v>
      </c>
      <c r="F40" s="7">
        <v>25794623</v>
      </c>
      <c r="G40" s="3">
        <v>0.26897353762448861</v>
      </c>
      <c r="H40" s="7"/>
      <c r="I40" s="3"/>
      <c r="J40" s="3"/>
      <c r="K40" s="7"/>
    </row>
    <row r="41" spans="1:11" ht="14.5" x14ac:dyDescent="0.35">
      <c r="A41" t="s">
        <v>47</v>
      </c>
      <c r="B41">
        <v>3</v>
      </c>
      <c r="C41">
        <v>1</v>
      </c>
      <c r="D41">
        <v>259</v>
      </c>
      <c r="E41" s="3">
        <v>0.43200000000000005</v>
      </c>
      <c r="F41" s="7">
        <v>1423732</v>
      </c>
      <c r="G41" s="3">
        <v>0.4716168492384803</v>
      </c>
      <c r="H41" s="7"/>
      <c r="I41" s="3"/>
      <c r="J41" s="3"/>
      <c r="K41" s="7"/>
    </row>
    <row r="42" spans="1:11" ht="14.5" x14ac:dyDescent="0.35">
      <c r="A42" t="s">
        <v>36</v>
      </c>
      <c r="B42">
        <v>1</v>
      </c>
      <c r="C42">
        <v>1</v>
      </c>
      <c r="D42">
        <v>752</v>
      </c>
      <c r="E42" s="3">
        <v>0.45600000000000002</v>
      </c>
      <c r="F42" s="7">
        <v>72761856</v>
      </c>
      <c r="G42" s="3">
        <v>0.29261778314176046</v>
      </c>
      <c r="H42" s="7"/>
      <c r="I42" s="3"/>
      <c r="J42" s="3"/>
      <c r="K42" s="7"/>
    </row>
    <row r="43" spans="1:11" ht="14.5" x14ac:dyDescent="0.35">
      <c r="A43" t="s">
        <v>47</v>
      </c>
      <c r="B43">
        <v>3</v>
      </c>
      <c r="C43">
        <v>1</v>
      </c>
      <c r="D43">
        <v>457</v>
      </c>
      <c r="E43" s="3">
        <v>0.438</v>
      </c>
      <c r="F43" s="7">
        <v>1908200</v>
      </c>
      <c r="G43" s="3">
        <v>0.51606959438214028</v>
      </c>
      <c r="H43" s="7"/>
      <c r="I43" s="3"/>
      <c r="J43" s="3"/>
      <c r="K43" s="7"/>
    </row>
    <row r="44" spans="1:11" ht="14.5" x14ac:dyDescent="0.35">
      <c r="A44" t="s">
        <v>47</v>
      </c>
      <c r="B44">
        <v>2</v>
      </c>
      <c r="C44">
        <v>1</v>
      </c>
      <c r="D44">
        <v>554</v>
      </c>
      <c r="E44" s="3">
        <v>0.28199999999999997</v>
      </c>
      <c r="F44" s="7">
        <v>6918234</v>
      </c>
      <c r="G44" s="3">
        <v>0.31469707442679734</v>
      </c>
      <c r="H44" s="7"/>
      <c r="I44" s="3"/>
      <c r="J44" s="3"/>
      <c r="K44" s="7"/>
    </row>
    <row r="45" spans="1:11" ht="14.5" x14ac:dyDescent="0.35">
      <c r="A45" t="s">
        <v>47</v>
      </c>
      <c r="B45">
        <v>2</v>
      </c>
      <c r="C45">
        <v>1</v>
      </c>
      <c r="D45">
        <v>272</v>
      </c>
      <c r="E45" s="3">
        <v>0.45200000000000001</v>
      </c>
      <c r="F45" s="7">
        <v>4186109</v>
      </c>
      <c r="G45" s="3">
        <v>0.54614296952133834</v>
      </c>
      <c r="H45" s="7"/>
      <c r="I45" s="3"/>
      <c r="J45" s="3"/>
      <c r="K45" s="7"/>
    </row>
    <row r="46" spans="1:11" ht="14.5" x14ac:dyDescent="0.35">
      <c r="A46" t="s">
        <v>47</v>
      </c>
      <c r="B46">
        <v>3</v>
      </c>
      <c r="C46">
        <v>1</v>
      </c>
      <c r="D46">
        <v>337</v>
      </c>
      <c r="E46" s="3">
        <v>0.48399999999999999</v>
      </c>
      <c r="F46" s="7">
        <v>614250</v>
      </c>
      <c r="G46" s="3">
        <v>0.53813105413105411</v>
      </c>
      <c r="H46" s="7"/>
      <c r="I46" s="3"/>
      <c r="J46" s="3"/>
      <c r="K46" s="7"/>
    </row>
    <row r="47" spans="1:11" ht="14.5" x14ac:dyDescent="0.35">
      <c r="A47" t="s">
        <v>36</v>
      </c>
      <c r="B47">
        <v>2</v>
      </c>
      <c r="C47">
        <v>1</v>
      </c>
      <c r="D47">
        <v>203</v>
      </c>
      <c r="E47" s="3">
        <v>0.49299999999999999</v>
      </c>
      <c r="F47" s="7">
        <v>3418783</v>
      </c>
      <c r="G47" s="3">
        <v>0.50446460041482599</v>
      </c>
      <c r="H47" s="7"/>
      <c r="I47" s="3"/>
      <c r="J47" s="3"/>
      <c r="K47" s="7"/>
    </row>
    <row r="48" spans="1:11" ht="14.5" x14ac:dyDescent="0.35">
      <c r="A48" t="s">
        <v>47</v>
      </c>
      <c r="B48">
        <v>2</v>
      </c>
      <c r="C48">
        <v>1</v>
      </c>
      <c r="D48">
        <v>215</v>
      </c>
      <c r="E48" s="3">
        <v>0.53</v>
      </c>
      <c r="F48" s="7">
        <v>4642905</v>
      </c>
      <c r="G48" s="3">
        <v>0.58409810237340631</v>
      </c>
      <c r="H48" s="7"/>
      <c r="I48" s="3"/>
      <c r="J48" s="3"/>
      <c r="K48" s="7"/>
    </row>
    <row r="49" spans="1:11" ht="14.5" x14ac:dyDescent="0.35">
      <c r="A49" t="s">
        <v>47</v>
      </c>
      <c r="B49">
        <v>2</v>
      </c>
      <c r="C49">
        <v>1</v>
      </c>
      <c r="D49">
        <v>421</v>
      </c>
      <c r="E49" s="3">
        <v>0.45799999999999996</v>
      </c>
      <c r="F49" s="7">
        <v>4151886</v>
      </c>
      <c r="G49" s="3">
        <v>0.51520826920585006</v>
      </c>
      <c r="H49" s="7"/>
      <c r="I49" s="3"/>
      <c r="J49" s="3"/>
      <c r="K49" s="7"/>
    </row>
    <row r="50" spans="1:11" ht="14.5" x14ac:dyDescent="0.35">
      <c r="A50" t="s">
        <v>36</v>
      </c>
      <c r="B50">
        <v>3</v>
      </c>
      <c r="C50">
        <v>1</v>
      </c>
      <c r="D50">
        <v>795</v>
      </c>
      <c r="E50" s="3">
        <v>0.39900000000000002</v>
      </c>
      <c r="F50" s="7">
        <v>3510734</v>
      </c>
      <c r="G50" s="3">
        <v>0.40470511294789069</v>
      </c>
      <c r="H50" s="7"/>
      <c r="I50" s="3"/>
      <c r="J50" s="3"/>
      <c r="K50" s="7"/>
    </row>
    <row r="51" spans="1:11" ht="14.5" x14ac:dyDescent="0.35">
      <c r="A51" t="s">
        <v>47</v>
      </c>
      <c r="B51">
        <v>3</v>
      </c>
      <c r="C51">
        <v>1</v>
      </c>
      <c r="D51">
        <v>501</v>
      </c>
      <c r="E51" s="3">
        <v>0.47500000000000003</v>
      </c>
      <c r="F51" s="7">
        <v>1335767</v>
      </c>
      <c r="G51" s="3">
        <v>0.49659858343558422</v>
      </c>
      <c r="H51" s="7"/>
      <c r="I51" s="3"/>
      <c r="J51" s="3"/>
      <c r="K51" s="7"/>
    </row>
    <row r="52" spans="1:11" ht="14.5" x14ac:dyDescent="0.35">
      <c r="A52" t="s">
        <v>36</v>
      </c>
      <c r="B52">
        <v>1</v>
      </c>
      <c r="C52">
        <v>1</v>
      </c>
      <c r="D52">
        <v>720</v>
      </c>
      <c r="E52" s="3">
        <v>0.48799999999999999</v>
      </c>
      <c r="F52" s="7">
        <v>80631180</v>
      </c>
      <c r="G52" s="3">
        <v>0.25677233050539505</v>
      </c>
      <c r="H52" s="7"/>
      <c r="I52" s="3"/>
      <c r="J52" s="3"/>
      <c r="K52" s="7"/>
    </row>
    <row r="53" spans="1:11" ht="14.5" x14ac:dyDescent="0.35">
      <c r="A53" t="s">
        <v>36</v>
      </c>
      <c r="B53">
        <v>1</v>
      </c>
      <c r="C53">
        <v>1</v>
      </c>
      <c r="D53">
        <v>321</v>
      </c>
      <c r="E53" s="3">
        <v>0.53900000000000003</v>
      </c>
      <c r="F53" s="7">
        <v>8542548</v>
      </c>
      <c r="G53" s="3">
        <v>0.51713551975359107</v>
      </c>
      <c r="H53" s="7"/>
      <c r="I53" s="3"/>
      <c r="J53" s="3"/>
      <c r="K53" s="7"/>
    </row>
    <row r="54" spans="1:11" ht="14.5" x14ac:dyDescent="0.35">
      <c r="A54" t="s">
        <v>47</v>
      </c>
      <c r="B54">
        <v>1</v>
      </c>
      <c r="C54">
        <v>1</v>
      </c>
      <c r="D54">
        <v>464</v>
      </c>
      <c r="E54" s="3">
        <v>0.46100000000000002</v>
      </c>
      <c r="F54" s="7">
        <v>12386814</v>
      </c>
      <c r="G54" s="3">
        <v>0.50755949027732228</v>
      </c>
      <c r="H54" s="7"/>
      <c r="I54" s="3"/>
      <c r="J54" s="3"/>
      <c r="K54" s="7"/>
    </row>
    <row r="55" spans="1:11" ht="14.5" x14ac:dyDescent="0.35">
      <c r="A55" t="s">
        <v>36</v>
      </c>
      <c r="B55">
        <v>2</v>
      </c>
      <c r="C55">
        <v>1</v>
      </c>
      <c r="D55">
        <v>292</v>
      </c>
      <c r="E55" s="3">
        <v>0.46200000000000002</v>
      </c>
      <c r="F55" s="7">
        <v>1116865</v>
      </c>
      <c r="G55" s="3">
        <v>0.48403164214117195</v>
      </c>
      <c r="H55" s="7"/>
      <c r="I55" s="3"/>
      <c r="J55" s="3"/>
      <c r="K55" s="7"/>
    </row>
    <row r="56" spans="1:11" ht="14.5" x14ac:dyDescent="0.35">
      <c r="A56" t="s">
        <v>36</v>
      </c>
      <c r="B56">
        <v>1</v>
      </c>
      <c r="C56">
        <v>1</v>
      </c>
      <c r="D56">
        <v>608</v>
      </c>
      <c r="E56" s="3">
        <v>0.433</v>
      </c>
      <c r="F56" s="7">
        <v>52735058</v>
      </c>
      <c r="G56" s="3">
        <v>0.26037420874743328</v>
      </c>
      <c r="H56" s="7"/>
      <c r="I56" s="3"/>
      <c r="J56" s="3"/>
      <c r="K56" s="7"/>
    </row>
    <row r="57" spans="1:11" ht="14.5" x14ac:dyDescent="0.35">
      <c r="A57" t="s">
        <v>36</v>
      </c>
      <c r="B57">
        <v>1</v>
      </c>
      <c r="C57">
        <v>1</v>
      </c>
      <c r="D57">
        <v>606</v>
      </c>
      <c r="E57" s="3">
        <v>0.502</v>
      </c>
      <c r="F57" s="7">
        <v>51713559</v>
      </c>
      <c r="G57" s="3">
        <v>0.22690381839702814</v>
      </c>
      <c r="H57" s="7"/>
      <c r="I57" s="3"/>
      <c r="J57" s="3"/>
      <c r="K57" s="7"/>
    </row>
    <row r="58" spans="1:11" ht="14.5" x14ac:dyDescent="0.35">
      <c r="A58" t="s">
        <v>47</v>
      </c>
      <c r="B58">
        <v>2</v>
      </c>
      <c r="C58">
        <v>1</v>
      </c>
      <c r="D58">
        <v>454</v>
      </c>
      <c r="E58" s="3">
        <v>0.42100000000000004</v>
      </c>
      <c r="F58" s="7">
        <v>6549507</v>
      </c>
      <c r="G58" s="3">
        <v>0.47711346823509004</v>
      </c>
      <c r="H58" s="7"/>
      <c r="I58" s="3"/>
      <c r="J58" s="3"/>
      <c r="K58" s="7"/>
    </row>
    <row r="59" spans="1:11" ht="14.5" x14ac:dyDescent="0.35">
      <c r="A59" t="s">
        <v>36</v>
      </c>
      <c r="B59">
        <v>2</v>
      </c>
      <c r="C59">
        <v>1</v>
      </c>
      <c r="D59">
        <v>240</v>
      </c>
      <c r="E59" s="3">
        <v>0.57100000000000006</v>
      </c>
      <c r="F59" s="7">
        <v>3858415</v>
      </c>
      <c r="G59" s="3">
        <v>0.502801798147685</v>
      </c>
      <c r="H59" s="7"/>
      <c r="I59" s="3"/>
      <c r="J59" s="3"/>
      <c r="K59" s="7"/>
    </row>
    <row r="60" spans="1:11" ht="14.5" x14ac:dyDescent="0.35">
      <c r="A60" t="s">
        <v>47</v>
      </c>
      <c r="B60">
        <v>2</v>
      </c>
      <c r="C60">
        <v>1</v>
      </c>
      <c r="D60">
        <v>559</v>
      </c>
      <c r="E60" s="3">
        <v>0.36499999999999999</v>
      </c>
      <c r="F60" s="7">
        <v>5739417</v>
      </c>
      <c r="G60" s="3">
        <v>0.38441796440300469</v>
      </c>
      <c r="H60" s="7"/>
      <c r="I60" s="3"/>
      <c r="J60" s="3"/>
      <c r="K60" s="7"/>
    </row>
    <row r="61" spans="1:11" ht="14.5" x14ac:dyDescent="0.35">
      <c r="A61" t="s">
        <v>36</v>
      </c>
      <c r="B61">
        <v>1</v>
      </c>
      <c r="C61">
        <v>1</v>
      </c>
      <c r="D61">
        <v>480</v>
      </c>
      <c r="E61" s="3">
        <v>0.5</v>
      </c>
      <c r="F61" s="7">
        <v>11882284</v>
      </c>
      <c r="G61" s="3">
        <v>0.38218342534145794</v>
      </c>
      <c r="H61" s="7"/>
      <c r="I61" s="3"/>
      <c r="J61" s="3"/>
      <c r="K61" s="7"/>
    </row>
    <row r="62" spans="1:11" ht="14.5" x14ac:dyDescent="0.35">
      <c r="A62" t="s">
        <v>36</v>
      </c>
      <c r="B62">
        <v>2</v>
      </c>
      <c r="C62">
        <v>1</v>
      </c>
      <c r="D62">
        <v>128</v>
      </c>
      <c r="E62" s="3">
        <v>0.46899999999999997</v>
      </c>
      <c r="F62" s="7">
        <v>3296000</v>
      </c>
      <c r="G62" s="3">
        <v>0.48998968446601943</v>
      </c>
      <c r="H62" s="7"/>
      <c r="I62" s="3"/>
      <c r="J62" s="3"/>
      <c r="K62" s="7"/>
    </row>
    <row r="63" spans="1:11" ht="14.5" x14ac:dyDescent="0.35">
      <c r="A63" t="s">
        <v>36</v>
      </c>
      <c r="B63">
        <v>2</v>
      </c>
      <c r="C63">
        <v>1</v>
      </c>
      <c r="D63">
        <v>194</v>
      </c>
      <c r="E63" s="3">
        <v>0.47899999999999998</v>
      </c>
      <c r="F63" s="7">
        <v>2000067</v>
      </c>
      <c r="G63" s="3">
        <v>0.43966177133066042</v>
      </c>
      <c r="H63" s="7"/>
      <c r="I63" s="3"/>
      <c r="J63" s="3"/>
      <c r="K63" s="7"/>
    </row>
    <row r="64" spans="1:11" ht="14.5" x14ac:dyDescent="0.35">
      <c r="A64" t="s">
        <v>47</v>
      </c>
      <c r="B64">
        <v>1</v>
      </c>
      <c r="C64">
        <v>1</v>
      </c>
      <c r="D64">
        <v>796</v>
      </c>
      <c r="E64" s="3">
        <v>0.42100000000000004</v>
      </c>
      <c r="F64" s="7">
        <v>101627591</v>
      </c>
      <c r="G64" s="3">
        <v>0.23571595827751146</v>
      </c>
      <c r="H64" s="7"/>
      <c r="I64" s="3"/>
      <c r="J64" s="3"/>
      <c r="K64" s="7"/>
    </row>
    <row r="65" spans="1:11" ht="14.5" x14ac:dyDescent="0.35">
      <c r="A65" t="s">
        <v>47</v>
      </c>
      <c r="B65">
        <v>3</v>
      </c>
      <c r="C65">
        <v>1</v>
      </c>
      <c r="D65">
        <v>371</v>
      </c>
      <c r="E65" s="3">
        <v>0.32100000000000001</v>
      </c>
      <c r="F65" s="7">
        <v>1849317</v>
      </c>
      <c r="G65" s="3">
        <v>0.33878832022849514</v>
      </c>
      <c r="H65" s="7"/>
      <c r="I65" s="3"/>
      <c r="J65" s="3"/>
      <c r="K65" s="7"/>
    </row>
    <row r="66" spans="1:11" ht="14.5" x14ac:dyDescent="0.35">
      <c r="A66" t="s">
        <v>47</v>
      </c>
      <c r="B66">
        <v>3</v>
      </c>
      <c r="C66">
        <v>1</v>
      </c>
      <c r="D66">
        <v>596</v>
      </c>
      <c r="E66" s="3">
        <v>0.38400000000000001</v>
      </c>
      <c r="F66" s="7">
        <v>3029389</v>
      </c>
      <c r="G66" s="3">
        <v>0.38608841584887249</v>
      </c>
      <c r="H66" s="7"/>
      <c r="I66" s="3"/>
      <c r="J66" s="3"/>
      <c r="K66" s="7"/>
    </row>
    <row r="67" spans="1:11" ht="14.5" x14ac:dyDescent="0.35">
      <c r="A67" t="s">
        <v>36</v>
      </c>
      <c r="B67">
        <v>2</v>
      </c>
      <c r="C67">
        <v>1</v>
      </c>
      <c r="D67">
        <v>314</v>
      </c>
      <c r="E67" s="3">
        <v>0.433</v>
      </c>
      <c r="F67" s="7">
        <v>3672052</v>
      </c>
      <c r="G67" s="3">
        <v>0.43271146487032319</v>
      </c>
      <c r="H67" s="7"/>
      <c r="I67" s="3"/>
      <c r="J67" s="3"/>
      <c r="K67" s="7"/>
    </row>
    <row r="68" spans="1:11" ht="14.5" x14ac:dyDescent="0.35">
      <c r="A68" t="s">
        <v>47</v>
      </c>
      <c r="B68">
        <v>1</v>
      </c>
      <c r="C68">
        <v>1</v>
      </c>
      <c r="D68">
        <v>427</v>
      </c>
      <c r="E68" s="3">
        <v>0.51500000000000001</v>
      </c>
      <c r="F68" s="7">
        <v>10417036</v>
      </c>
      <c r="G68" s="3">
        <v>0.4780039158931581</v>
      </c>
      <c r="H68" s="7"/>
      <c r="I68" s="3"/>
      <c r="J68" s="3"/>
      <c r="K68" s="7"/>
    </row>
    <row r="69" spans="1:11" ht="14.5" x14ac:dyDescent="0.35">
      <c r="A69" t="s">
        <v>47</v>
      </c>
      <c r="B69">
        <v>3</v>
      </c>
      <c r="C69">
        <v>1</v>
      </c>
      <c r="D69">
        <v>460</v>
      </c>
      <c r="E69" s="3">
        <v>0.38300000000000001</v>
      </c>
      <c r="F69" s="7">
        <v>2088018</v>
      </c>
      <c r="G69" s="3">
        <v>0.37581285218805582</v>
      </c>
      <c r="H69" s="7"/>
      <c r="I69" s="3"/>
      <c r="J69" s="3"/>
      <c r="K69" s="7"/>
    </row>
    <row r="70" spans="1:11" ht="14.5" x14ac:dyDescent="0.35">
      <c r="A70" t="s">
        <v>47</v>
      </c>
      <c r="B70">
        <v>1</v>
      </c>
      <c r="C70">
        <v>1</v>
      </c>
      <c r="D70">
        <v>402</v>
      </c>
      <c r="E70" s="3">
        <v>0.49</v>
      </c>
      <c r="F70" s="7">
        <v>17044487</v>
      </c>
      <c r="G70" s="3">
        <v>0.47869243585917254</v>
      </c>
      <c r="H70" s="7"/>
      <c r="I70" s="3"/>
      <c r="J70" s="3"/>
      <c r="K70" s="7"/>
    </row>
    <row r="71" spans="1:11" ht="14.5" x14ac:dyDescent="0.35">
      <c r="A71" t="s">
        <v>36</v>
      </c>
      <c r="B71">
        <v>3</v>
      </c>
      <c r="C71">
        <v>1</v>
      </c>
      <c r="D71">
        <v>113</v>
      </c>
      <c r="E71" s="3">
        <v>0.46899999999999997</v>
      </c>
      <c r="F71" s="7">
        <v>303545</v>
      </c>
      <c r="G71" s="3">
        <v>0.50442932678844987</v>
      </c>
      <c r="H71" s="7"/>
      <c r="I71" s="3"/>
      <c r="J71" s="3"/>
      <c r="K71" s="7"/>
    </row>
    <row r="72" spans="1:11" ht="14.5" x14ac:dyDescent="0.35">
      <c r="A72" t="s">
        <v>36</v>
      </c>
      <c r="B72">
        <v>2</v>
      </c>
      <c r="C72">
        <v>1</v>
      </c>
      <c r="D72">
        <v>398</v>
      </c>
      <c r="E72" s="3">
        <v>0.34700000000000003</v>
      </c>
      <c r="F72" s="7">
        <v>4010897</v>
      </c>
      <c r="G72" s="3">
        <v>0.41017981763181655</v>
      </c>
      <c r="H72" s="7"/>
      <c r="I72" s="3"/>
      <c r="J72" s="3"/>
      <c r="K72" s="7"/>
    </row>
    <row r="73" spans="1:11" ht="14.5" x14ac:dyDescent="0.35">
      <c r="A73" t="s">
        <v>36</v>
      </c>
      <c r="B73">
        <v>3</v>
      </c>
      <c r="C73">
        <v>1</v>
      </c>
      <c r="D73">
        <v>737</v>
      </c>
      <c r="E73" s="3">
        <v>0.48700000000000004</v>
      </c>
      <c r="F73" s="7">
        <v>2824403</v>
      </c>
      <c r="G73" s="3">
        <v>0.44537164136987534</v>
      </c>
      <c r="H73" s="7"/>
      <c r="I73" s="3"/>
      <c r="J73" s="3"/>
      <c r="K73" s="7"/>
    </row>
    <row r="74" spans="1:11" ht="14.5" x14ac:dyDescent="0.35">
      <c r="A74" t="s">
        <v>47</v>
      </c>
      <c r="B74">
        <v>3</v>
      </c>
      <c r="C74">
        <v>1</v>
      </c>
      <c r="D74">
        <v>796</v>
      </c>
      <c r="E74" s="3">
        <v>0.45600000000000002</v>
      </c>
      <c r="F74" s="7">
        <v>4268961</v>
      </c>
      <c r="G74" s="3">
        <v>0.44578036669812632</v>
      </c>
      <c r="H74" s="7"/>
      <c r="I74" s="3"/>
      <c r="J74" s="3"/>
      <c r="K74" s="7"/>
    </row>
    <row r="75" spans="1:11" ht="14.5" x14ac:dyDescent="0.35">
      <c r="A75" t="s">
        <v>36</v>
      </c>
      <c r="B75">
        <v>1</v>
      </c>
      <c r="C75">
        <v>1</v>
      </c>
      <c r="D75">
        <v>377</v>
      </c>
      <c r="E75" s="3">
        <v>0.43</v>
      </c>
      <c r="F75" s="7">
        <v>21164677</v>
      </c>
      <c r="G75" s="3">
        <v>0.33413668443888844</v>
      </c>
      <c r="H75" s="7"/>
      <c r="I75" s="3"/>
      <c r="J75" s="3"/>
      <c r="K75" s="7"/>
    </row>
    <row r="76" spans="1:11" ht="14.5" x14ac:dyDescent="0.35">
      <c r="A76" t="s">
        <v>36</v>
      </c>
      <c r="B76">
        <v>1</v>
      </c>
      <c r="C76">
        <v>1</v>
      </c>
      <c r="D76">
        <v>481</v>
      </c>
      <c r="E76" s="3">
        <v>0.39500000000000002</v>
      </c>
      <c r="F76" s="7">
        <v>28809882</v>
      </c>
      <c r="G76" s="3">
        <v>0.28716198837607182</v>
      </c>
      <c r="H76" s="7"/>
      <c r="I76" s="3"/>
      <c r="J76" s="3"/>
      <c r="K76" s="7"/>
    </row>
    <row r="77" spans="1:11" ht="14.5" x14ac:dyDescent="0.35">
      <c r="A77" t="s">
        <v>47</v>
      </c>
      <c r="B77">
        <v>3</v>
      </c>
      <c r="C77">
        <v>1</v>
      </c>
      <c r="D77">
        <v>811</v>
      </c>
      <c r="E77" s="3">
        <v>0.35499999999999998</v>
      </c>
      <c r="F77" s="7">
        <v>3033895</v>
      </c>
      <c r="G77" s="3">
        <v>0.34080678467778219</v>
      </c>
      <c r="H77" s="7"/>
      <c r="I77" s="3"/>
      <c r="J77" s="3"/>
      <c r="K77" s="7"/>
    </row>
    <row r="78" spans="1:11" ht="14.5" x14ac:dyDescent="0.35">
      <c r="A78" t="s">
        <v>47</v>
      </c>
      <c r="B78">
        <v>3</v>
      </c>
      <c r="C78">
        <v>1</v>
      </c>
      <c r="D78">
        <v>298</v>
      </c>
      <c r="E78" s="3">
        <v>0.55400000000000005</v>
      </c>
      <c r="F78" s="7">
        <v>719237</v>
      </c>
      <c r="G78" s="3">
        <v>0.53388938555719467</v>
      </c>
      <c r="H78" s="7"/>
      <c r="I78" s="3"/>
      <c r="J78" s="3"/>
      <c r="K78" s="7"/>
    </row>
    <row r="79" spans="1:11" ht="14.5" x14ac:dyDescent="0.35">
      <c r="A79" t="s">
        <v>47</v>
      </c>
      <c r="B79">
        <v>3</v>
      </c>
      <c r="C79">
        <v>1</v>
      </c>
      <c r="D79">
        <v>386</v>
      </c>
      <c r="E79" s="3">
        <v>0.48399999999999999</v>
      </c>
      <c r="F79" s="7">
        <v>828075</v>
      </c>
      <c r="G79" s="3">
        <v>0.43727681671346197</v>
      </c>
      <c r="H79" s="7"/>
      <c r="I79" s="3"/>
      <c r="J79" s="3"/>
      <c r="K79" s="7"/>
    </row>
    <row r="80" spans="1:11" ht="14.5" x14ac:dyDescent="0.35">
      <c r="A80" t="s">
        <v>36</v>
      </c>
      <c r="B80">
        <v>2</v>
      </c>
      <c r="C80">
        <v>1</v>
      </c>
      <c r="D80">
        <v>358</v>
      </c>
      <c r="E80" s="3">
        <v>0.26300000000000001</v>
      </c>
      <c r="F80" s="7">
        <v>3549181</v>
      </c>
      <c r="G80" s="3">
        <v>0.25820830214069107</v>
      </c>
      <c r="H80" s="7"/>
      <c r="I80" s="3"/>
      <c r="J80" s="3"/>
      <c r="K80" s="7"/>
    </row>
    <row r="81" spans="1:11" ht="14.5" x14ac:dyDescent="0.35">
      <c r="A81" t="s">
        <v>47</v>
      </c>
      <c r="B81">
        <v>1</v>
      </c>
      <c r="C81">
        <v>1</v>
      </c>
      <c r="D81">
        <v>447</v>
      </c>
      <c r="E81" s="3">
        <v>0.45</v>
      </c>
      <c r="F81" s="7">
        <v>14258775</v>
      </c>
      <c r="G81" s="3">
        <v>0.47214280329130659</v>
      </c>
      <c r="H81" s="7"/>
      <c r="I81" s="3"/>
      <c r="J81" s="3"/>
      <c r="K81" s="7"/>
    </row>
    <row r="82" spans="1:11" ht="14.5" x14ac:dyDescent="0.35">
      <c r="A82" t="s">
        <v>47</v>
      </c>
      <c r="B82">
        <v>2</v>
      </c>
      <c r="C82">
        <v>1</v>
      </c>
      <c r="D82">
        <v>499</v>
      </c>
      <c r="E82" s="3">
        <v>0.51100000000000001</v>
      </c>
      <c r="F82" s="7">
        <v>7836144</v>
      </c>
      <c r="G82" s="3">
        <v>0.51073563732366323</v>
      </c>
      <c r="H82" s="7"/>
      <c r="I82" s="3"/>
      <c r="J82" s="3"/>
      <c r="K82" s="7"/>
    </row>
    <row r="83" spans="1:11" ht="14.5" x14ac:dyDescent="0.35">
      <c r="A83" t="s">
        <v>47</v>
      </c>
      <c r="B83">
        <v>3</v>
      </c>
      <c r="C83">
        <v>1</v>
      </c>
      <c r="D83">
        <v>474</v>
      </c>
      <c r="E83" s="3">
        <v>0.39200000000000002</v>
      </c>
      <c r="F83" s="7">
        <v>2683821</v>
      </c>
      <c r="G83" s="3">
        <v>0.36821867032115779</v>
      </c>
      <c r="H83" s="7"/>
      <c r="I83" s="3"/>
      <c r="J83" s="3"/>
      <c r="K83" s="7"/>
    </row>
    <row r="84" spans="1:11" ht="14.5" x14ac:dyDescent="0.35">
      <c r="A84" t="s">
        <v>47</v>
      </c>
      <c r="B84">
        <v>1</v>
      </c>
      <c r="C84">
        <v>1</v>
      </c>
      <c r="D84">
        <v>549</v>
      </c>
      <c r="E84" s="3">
        <v>0.37200000000000005</v>
      </c>
      <c r="F84" s="7">
        <v>12333372</v>
      </c>
      <c r="G84" s="3">
        <v>0.3850633873688396</v>
      </c>
      <c r="H84" s="7"/>
      <c r="I84" s="3"/>
      <c r="J84" s="3"/>
      <c r="K84" s="7"/>
    </row>
    <row r="85" spans="1:11" ht="14.5" x14ac:dyDescent="0.35">
      <c r="A85" t="s">
        <v>47</v>
      </c>
      <c r="B85">
        <v>1</v>
      </c>
      <c r="C85">
        <v>1</v>
      </c>
      <c r="D85">
        <v>571</v>
      </c>
      <c r="E85" s="3">
        <v>0.48499999999999999</v>
      </c>
      <c r="F85" s="7">
        <v>18045694</v>
      </c>
      <c r="G85" s="3">
        <v>0.42194464784784669</v>
      </c>
      <c r="H85" s="7"/>
      <c r="I85" s="3"/>
      <c r="J85" s="3"/>
      <c r="K85" s="7"/>
    </row>
    <row r="86" spans="1:11" ht="14.5" x14ac:dyDescent="0.35">
      <c r="A86" t="s">
        <v>47</v>
      </c>
      <c r="B86">
        <v>2</v>
      </c>
      <c r="C86">
        <v>1</v>
      </c>
      <c r="D86">
        <v>320</v>
      </c>
      <c r="E86" s="3">
        <v>0.46299999999999997</v>
      </c>
      <c r="F86" s="7">
        <v>3095117</v>
      </c>
      <c r="G86" s="3">
        <v>0.50060078504302097</v>
      </c>
      <c r="H86" s="7"/>
      <c r="I86" s="3"/>
      <c r="J86" s="3"/>
      <c r="K86" s="7"/>
    </row>
    <row r="87" spans="1:11" ht="14.5" x14ac:dyDescent="0.35">
      <c r="A87" t="s">
        <v>47</v>
      </c>
      <c r="B87">
        <v>3</v>
      </c>
      <c r="C87">
        <v>1</v>
      </c>
      <c r="D87">
        <v>368</v>
      </c>
      <c r="E87" s="3">
        <v>0.47000000000000003</v>
      </c>
      <c r="F87" s="7">
        <v>705952</v>
      </c>
      <c r="G87" s="3">
        <v>0.49396559539458773</v>
      </c>
      <c r="H87" s="7"/>
      <c r="I87" s="3"/>
      <c r="J87" s="3"/>
      <c r="K87" s="7"/>
    </row>
    <row r="88" spans="1:11" ht="14.5" x14ac:dyDescent="0.35">
      <c r="A88" t="s">
        <v>47</v>
      </c>
      <c r="B88">
        <v>1</v>
      </c>
      <c r="C88">
        <v>1</v>
      </c>
      <c r="D88">
        <v>1007</v>
      </c>
      <c r="E88" s="3">
        <v>0.47399999999999998</v>
      </c>
      <c r="F88" s="7">
        <v>17022019</v>
      </c>
      <c r="G88" s="3">
        <v>0.3804243785651984</v>
      </c>
      <c r="H88" s="7"/>
      <c r="I88" s="3"/>
      <c r="J88" s="3"/>
      <c r="K88" s="7"/>
    </row>
    <row r="89" spans="1:11" ht="14.5" x14ac:dyDescent="0.35">
      <c r="A89" t="s">
        <v>36</v>
      </c>
      <c r="B89">
        <v>2</v>
      </c>
      <c r="C89">
        <v>1</v>
      </c>
      <c r="D89">
        <v>514</v>
      </c>
      <c r="E89" s="3">
        <v>0.57399999999999995</v>
      </c>
      <c r="F89" s="7">
        <v>4648360</v>
      </c>
      <c r="G89" s="3">
        <v>0.50812867333855383</v>
      </c>
      <c r="H89" s="7"/>
      <c r="I89" s="3"/>
      <c r="J89" s="3"/>
      <c r="K89" s="7"/>
    </row>
    <row r="90" spans="1:11" ht="14.5" x14ac:dyDescent="0.35">
      <c r="A90" t="s">
        <v>36</v>
      </c>
      <c r="B90">
        <v>1</v>
      </c>
      <c r="C90">
        <v>1</v>
      </c>
      <c r="D90">
        <v>693</v>
      </c>
      <c r="E90" s="3">
        <v>0.51400000000000001</v>
      </c>
      <c r="F90" s="7">
        <v>22344165</v>
      </c>
      <c r="G90" s="3">
        <v>0.47231086952678697</v>
      </c>
      <c r="H90" s="7"/>
      <c r="I90" s="3"/>
      <c r="J90" s="3"/>
      <c r="K90" s="7"/>
    </row>
    <row r="91" spans="1:11" ht="14.5" x14ac:dyDescent="0.35">
      <c r="A91" t="s">
        <v>36</v>
      </c>
      <c r="B91">
        <v>3</v>
      </c>
      <c r="C91">
        <v>1</v>
      </c>
      <c r="D91">
        <v>477</v>
      </c>
      <c r="E91" s="3">
        <v>0.44</v>
      </c>
      <c r="F91" s="7">
        <v>1211938</v>
      </c>
      <c r="G91" s="3">
        <v>0.50249517714602565</v>
      </c>
      <c r="H91" s="7"/>
      <c r="I91" s="3"/>
      <c r="J91" s="3"/>
      <c r="K91" s="7"/>
    </row>
    <row r="92" spans="1:11" ht="14.5" x14ac:dyDescent="0.35">
      <c r="A92" t="s">
        <v>47</v>
      </c>
      <c r="B92">
        <v>3</v>
      </c>
      <c r="C92">
        <v>1</v>
      </c>
      <c r="D92">
        <v>223</v>
      </c>
      <c r="E92" s="3">
        <v>0.42600000000000005</v>
      </c>
      <c r="F92" s="7">
        <v>846593</v>
      </c>
      <c r="G92" s="3">
        <v>0.48548121706652431</v>
      </c>
      <c r="H92" s="7"/>
      <c r="I92" s="3"/>
      <c r="J92" s="3"/>
      <c r="K92" s="7"/>
    </row>
    <row r="93" spans="1:11" ht="14.5" x14ac:dyDescent="0.35">
      <c r="A93" t="s">
        <v>36</v>
      </c>
      <c r="B93">
        <v>1</v>
      </c>
      <c r="C93">
        <v>1</v>
      </c>
      <c r="D93">
        <v>450</v>
      </c>
      <c r="E93" s="3">
        <v>0.48200000000000004</v>
      </c>
      <c r="F93" s="7">
        <v>9456989</v>
      </c>
      <c r="G93" s="3">
        <v>0.46808587807387741</v>
      </c>
      <c r="H93" s="7"/>
      <c r="I93" s="3"/>
      <c r="J93" s="3"/>
      <c r="K93" s="7"/>
    </row>
    <row r="94" spans="1:11" ht="14.5" x14ac:dyDescent="0.35">
      <c r="A94" t="s">
        <v>36</v>
      </c>
      <c r="B94">
        <v>3</v>
      </c>
      <c r="C94">
        <v>1</v>
      </c>
      <c r="D94">
        <v>426</v>
      </c>
      <c r="E94" s="3">
        <v>0.48600000000000004</v>
      </c>
      <c r="F94" s="7">
        <v>2571335</v>
      </c>
      <c r="G94" s="3">
        <v>0.50654815494674943</v>
      </c>
      <c r="H94" s="7"/>
      <c r="I94" s="3"/>
      <c r="J94" s="3"/>
      <c r="K94" s="7"/>
    </row>
    <row r="95" spans="1:11" ht="14.5" x14ac:dyDescent="0.35">
      <c r="A95" t="s">
        <v>47</v>
      </c>
      <c r="B95">
        <v>1</v>
      </c>
      <c r="C95">
        <v>1</v>
      </c>
      <c r="D95">
        <v>574</v>
      </c>
      <c r="E95" s="3">
        <v>0.43700000000000006</v>
      </c>
      <c r="F95" s="7">
        <v>10968228</v>
      </c>
      <c r="G95" s="3">
        <v>0.44019298285921848</v>
      </c>
      <c r="H95" s="7"/>
      <c r="I95" s="3"/>
      <c r="J95" s="3"/>
      <c r="K95" s="7"/>
    </row>
    <row r="96" spans="1:11" ht="14.5" x14ac:dyDescent="0.35">
      <c r="A96" t="s">
        <v>36</v>
      </c>
      <c r="B96">
        <v>3</v>
      </c>
      <c r="C96">
        <v>1</v>
      </c>
      <c r="D96">
        <v>330</v>
      </c>
      <c r="E96" s="3">
        <v>0.49700000000000005</v>
      </c>
      <c r="F96" s="7">
        <v>797743</v>
      </c>
      <c r="G96" s="3">
        <v>0.52127188831490845</v>
      </c>
      <c r="H96" s="7"/>
      <c r="I96" s="3"/>
      <c r="J96" s="3"/>
      <c r="K96" s="7"/>
    </row>
    <row r="97" spans="1:11" ht="14.5" x14ac:dyDescent="0.35">
      <c r="A97" t="s">
        <v>36</v>
      </c>
      <c r="B97">
        <v>1</v>
      </c>
      <c r="C97">
        <v>1</v>
      </c>
      <c r="D97">
        <v>460</v>
      </c>
      <c r="E97" s="3">
        <v>0.42200000000000004</v>
      </c>
      <c r="F97" s="7">
        <v>12034064</v>
      </c>
      <c r="G97" s="3">
        <v>0.37151148606156659</v>
      </c>
      <c r="H97" s="7"/>
      <c r="I97" s="3"/>
      <c r="J97" s="3"/>
      <c r="K97" s="7"/>
    </row>
    <row r="98" spans="1:11" ht="14.5" x14ac:dyDescent="0.35">
      <c r="A98" t="s">
        <v>47</v>
      </c>
      <c r="B98">
        <v>3</v>
      </c>
      <c r="C98">
        <v>1</v>
      </c>
      <c r="D98">
        <v>906</v>
      </c>
      <c r="E98" s="3">
        <v>0.32299999999999995</v>
      </c>
      <c r="F98" s="7">
        <v>3136616</v>
      </c>
      <c r="G98" s="3">
        <v>0.37382102240121201</v>
      </c>
      <c r="H98" s="7"/>
      <c r="I98" s="3"/>
      <c r="J98" s="3"/>
      <c r="K98" s="7"/>
    </row>
    <row r="99" spans="1:11" ht="14.5" x14ac:dyDescent="0.35">
      <c r="A99" t="s">
        <v>47</v>
      </c>
      <c r="B99">
        <v>1</v>
      </c>
      <c r="C99">
        <v>1</v>
      </c>
      <c r="D99">
        <v>425</v>
      </c>
      <c r="E99" s="3">
        <v>0.51500000000000001</v>
      </c>
      <c r="F99" s="7">
        <v>84330744</v>
      </c>
      <c r="G99" s="3">
        <v>0.2187982238126584</v>
      </c>
      <c r="H99" s="7"/>
      <c r="I99" s="3"/>
      <c r="J99" s="3"/>
      <c r="K99" s="7"/>
    </row>
    <row r="100" spans="1:11" ht="14.5" x14ac:dyDescent="0.35">
      <c r="A100" t="s">
        <v>47</v>
      </c>
      <c r="B100">
        <v>2</v>
      </c>
      <c r="C100">
        <v>1</v>
      </c>
      <c r="D100">
        <v>274</v>
      </c>
      <c r="E100" s="3">
        <v>0.36499999999999999</v>
      </c>
      <c r="F100" s="7">
        <v>2411340</v>
      </c>
      <c r="G100" s="3">
        <v>0.3102088465334627</v>
      </c>
      <c r="H100" s="7"/>
      <c r="I100" s="3"/>
      <c r="J100" s="3"/>
      <c r="K100" s="7"/>
    </row>
    <row r="101" spans="1:11" ht="14.5" x14ac:dyDescent="0.35">
      <c r="A101" t="s">
        <v>36</v>
      </c>
      <c r="B101">
        <v>1</v>
      </c>
      <c r="C101">
        <v>1</v>
      </c>
      <c r="D101">
        <v>545</v>
      </c>
      <c r="E101" s="3">
        <v>0.39100000000000001</v>
      </c>
      <c r="F101" s="7">
        <v>44745806</v>
      </c>
      <c r="G101" s="3">
        <v>0.18402576098416912</v>
      </c>
      <c r="H101" s="7"/>
      <c r="I101" s="3"/>
      <c r="J101" s="3"/>
      <c r="K101" s="7"/>
    </row>
    <row r="102" spans="1:11" ht="14.5" x14ac:dyDescent="0.35">
      <c r="A102" t="s">
        <v>47</v>
      </c>
      <c r="B102">
        <v>3</v>
      </c>
      <c r="C102">
        <v>1</v>
      </c>
      <c r="D102">
        <v>354</v>
      </c>
      <c r="E102" s="3">
        <v>0.49700000000000005</v>
      </c>
      <c r="F102" s="7">
        <v>1218797</v>
      </c>
      <c r="G102" s="3">
        <v>0.48477802291932126</v>
      </c>
      <c r="H102" s="7"/>
      <c r="I102" s="3"/>
      <c r="J102" s="3"/>
      <c r="K102" s="7"/>
    </row>
    <row r="103" spans="1:11" ht="14.5" x14ac:dyDescent="0.35">
      <c r="A103" t="s">
        <v>47</v>
      </c>
      <c r="B103">
        <v>3</v>
      </c>
      <c r="C103">
        <v>1</v>
      </c>
      <c r="D103">
        <v>359</v>
      </c>
      <c r="E103" s="3">
        <v>0.51500000000000001</v>
      </c>
      <c r="F103" s="7">
        <v>816915</v>
      </c>
      <c r="G103" s="3">
        <v>0.42949021624036771</v>
      </c>
      <c r="H103" s="7"/>
      <c r="I103" s="3"/>
      <c r="J103" s="3"/>
      <c r="K103" s="7"/>
    </row>
    <row r="104" spans="1:11" ht="14.5" x14ac:dyDescent="0.35">
      <c r="A104" t="s">
        <v>36</v>
      </c>
      <c r="B104">
        <v>1</v>
      </c>
      <c r="C104">
        <v>1</v>
      </c>
      <c r="D104">
        <v>353</v>
      </c>
      <c r="E104" s="3">
        <v>0.58600000000000008</v>
      </c>
      <c r="F104" s="7">
        <v>9711258</v>
      </c>
      <c r="G104" s="3">
        <v>0.49103936894684497</v>
      </c>
      <c r="H104" s="7"/>
      <c r="I104" s="3"/>
      <c r="J104" s="3"/>
      <c r="K104" s="7"/>
    </row>
    <row r="105" spans="1:11" ht="14.5" x14ac:dyDescent="0.35">
      <c r="A105" t="s">
        <v>47</v>
      </c>
      <c r="B105">
        <v>3</v>
      </c>
      <c r="C105">
        <v>1</v>
      </c>
      <c r="D105">
        <v>321</v>
      </c>
      <c r="E105" s="3">
        <v>0.498</v>
      </c>
      <c r="F105" s="7">
        <v>577835</v>
      </c>
      <c r="G105" s="3">
        <v>0.49344709129768877</v>
      </c>
      <c r="H105" s="7"/>
      <c r="I105" s="3"/>
      <c r="J105" s="3"/>
      <c r="K105" s="7"/>
    </row>
    <row r="106" spans="1:11" ht="14.5" x14ac:dyDescent="0.35">
      <c r="A106" t="s">
        <v>47</v>
      </c>
      <c r="B106">
        <v>2</v>
      </c>
      <c r="C106">
        <v>1</v>
      </c>
      <c r="D106">
        <v>502</v>
      </c>
      <c r="E106" s="3">
        <v>0.41000000000000003</v>
      </c>
      <c r="F106" s="7">
        <v>5013233</v>
      </c>
      <c r="G106" s="3">
        <v>0.45773356235387425</v>
      </c>
      <c r="H106" s="7"/>
      <c r="I106" s="3"/>
      <c r="J106" s="3"/>
      <c r="K106" s="7"/>
    </row>
    <row r="107" spans="1:11" ht="14.5" x14ac:dyDescent="0.35">
      <c r="A107" t="s">
        <v>36</v>
      </c>
      <c r="B107">
        <v>1</v>
      </c>
      <c r="C107">
        <v>0</v>
      </c>
      <c r="D107">
        <v>488</v>
      </c>
      <c r="E107" s="3">
        <v>0.58200000000000007</v>
      </c>
      <c r="F107" s="7">
        <v>15346032</v>
      </c>
      <c r="G107" s="3">
        <v>0.38056052535274265</v>
      </c>
      <c r="H107" s="7"/>
      <c r="I107" s="3"/>
      <c r="J107" s="3"/>
      <c r="K107" s="7"/>
    </row>
    <row r="108" spans="1:11" ht="14.5" x14ac:dyDescent="0.35">
      <c r="A108" t="s">
        <v>36</v>
      </c>
      <c r="B108">
        <v>3</v>
      </c>
      <c r="C108">
        <v>0</v>
      </c>
      <c r="D108">
        <v>446</v>
      </c>
      <c r="E108" s="3">
        <v>0.48200000000000004</v>
      </c>
      <c r="F108" s="7">
        <v>2148214</v>
      </c>
      <c r="G108" s="3">
        <v>0.51610640280716913</v>
      </c>
      <c r="H108" s="7"/>
      <c r="I108" s="3"/>
      <c r="J108" s="3"/>
      <c r="K108" s="7"/>
    </row>
    <row r="109" spans="1:11" ht="14.5" x14ac:dyDescent="0.35">
      <c r="A109" t="s">
        <v>47</v>
      </c>
      <c r="B109">
        <v>3</v>
      </c>
      <c r="C109">
        <v>0</v>
      </c>
      <c r="D109">
        <v>608</v>
      </c>
      <c r="E109" s="3">
        <v>0.42100000000000004</v>
      </c>
      <c r="F109" s="7">
        <v>4328227</v>
      </c>
      <c r="G109" s="3">
        <v>0.46964935064635011</v>
      </c>
      <c r="H109" s="7"/>
      <c r="I109" s="3"/>
      <c r="J109" s="3"/>
      <c r="K109" s="7"/>
    </row>
    <row r="110" spans="1:11" ht="14.5" x14ac:dyDescent="0.35">
      <c r="A110" t="s">
        <v>36</v>
      </c>
      <c r="B110">
        <v>2</v>
      </c>
      <c r="C110">
        <v>0</v>
      </c>
      <c r="D110">
        <v>450</v>
      </c>
      <c r="E110" s="3">
        <v>0.504</v>
      </c>
      <c r="F110" s="7">
        <v>4582583</v>
      </c>
      <c r="G110" s="3">
        <v>0.5473432777976962</v>
      </c>
      <c r="H110" s="7"/>
      <c r="I110" s="3"/>
      <c r="J110" s="3"/>
      <c r="K110" s="7"/>
    </row>
    <row r="111" spans="1:11" ht="14.5" x14ac:dyDescent="0.35">
      <c r="A111" t="s">
        <v>36</v>
      </c>
      <c r="B111">
        <v>2</v>
      </c>
      <c r="C111">
        <v>0</v>
      </c>
      <c r="D111">
        <v>451</v>
      </c>
      <c r="E111" s="3">
        <v>0.51900000000000002</v>
      </c>
      <c r="F111" s="7">
        <v>5213193</v>
      </c>
      <c r="G111" s="3">
        <v>0.65213795077220427</v>
      </c>
      <c r="H111" s="7"/>
      <c r="I111" s="3"/>
      <c r="J111" s="3"/>
      <c r="K111" s="7"/>
    </row>
    <row r="112" spans="1:11" ht="14.5" x14ac:dyDescent="0.35">
      <c r="A112" t="s">
        <v>36</v>
      </c>
      <c r="B112">
        <v>2</v>
      </c>
      <c r="C112">
        <v>0</v>
      </c>
      <c r="D112">
        <v>183</v>
      </c>
      <c r="E112" s="3">
        <v>0.54600000000000004</v>
      </c>
      <c r="F112" s="7">
        <v>7379063</v>
      </c>
      <c r="G112" s="3">
        <v>0.45598811122767213</v>
      </c>
      <c r="H112" s="7"/>
      <c r="I112" s="3"/>
      <c r="J112" s="3"/>
      <c r="K112" s="7"/>
    </row>
    <row r="113" spans="1:11" ht="14.5" x14ac:dyDescent="0.35">
      <c r="A113" t="s">
        <v>47</v>
      </c>
      <c r="B113">
        <v>2</v>
      </c>
      <c r="C113">
        <v>0</v>
      </c>
      <c r="D113">
        <v>546</v>
      </c>
      <c r="E113" s="3">
        <v>0.56600000000000006</v>
      </c>
      <c r="F113" s="7">
        <v>6939737</v>
      </c>
      <c r="G113" s="3">
        <v>0.53689268051512617</v>
      </c>
      <c r="H113" s="7"/>
      <c r="I113" s="3"/>
      <c r="J113" s="3"/>
      <c r="K113" s="7"/>
    </row>
    <row r="114" spans="1:11" ht="14.5" x14ac:dyDescent="0.35">
      <c r="A114" t="s">
        <v>47</v>
      </c>
      <c r="B114">
        <v>3</v>
      </c>
      <c r="C114">
        <v>0</v>
      </c>
      <c r="D114">
        <v>505</v>
      </c>
      <c r="E114" s="3">
        <v>0.39200000000000002</v>
      </c>
      <c r="F114" s="7">
        <v>2026466</v>
      </c>
      <c r="G114" s="3">
        <v>0.38120600098891372</v>
      </c>
      <c r="H114" s="7"/>
      <c r="I114" s="3"/>
      <c r="J114" s="3"/>
      <c r="K114" s="7"/>
    </row>
    <row r="115" spans="1:11" ht="14.5" x14ac:dyDescent="0.35">
      <c r="A115" t="s">
        <v>47</v>
      </c>
      <c r="B115">
        <v>2</v>
      </c>
      <c r="C115">
        <v>0</v>
      </c>
      <c r="D115">
        <v>221</v>
      </c>
      <c r="E115" s="3">
        <v>0.43</v>
      </c>
      <c r="F115" s="7">
        <v>4217557</v>
      </c>
      <c r="G115" s="3">
        <v>0.49027505733769572</v>
      </c>
      <c r="H115" s="7"/>
      <c r="I115" s="3"/>
      <c r="J115" s="3"/>
      <c r="K115" s="7"/>
    </row>
    <row r="116" spans="1:11" ht="14.5" x14ac:dyDescent="0.35">
      <c r="A116" t="s">
        <v>36</v>
      </c>
      <c r="B116">
        <v>1</v>
      </c>
      <c r="C116">
        <v>0</v>
      </c>
      <c r="D116">
        <v>448</v>
      </c>
      <c r="E116" s="3">
        <v>0.42899999999999999</v>
      </c>
      <c r="F116" s="7">
        <v>11134589</v>
      </c>
      <c r="G116" s="3">
        <v>0.45618064573375811</v>
      </c>
      <c r="H116" s="7"/>
      <c r="I116" s="3"/>
      <c r="J116" s="3"/>
      <c r="K116" s="7"/>
    </row>
    <row r="117" spans="1:11" ht="14.5" x14ac:dyDescent="0.35">
      <c r="A117" t="s">
        <v>47</v>
      </c>
      <c r="B117">
        <v>3</v>
      </c>
      <c r="C117">
        <v>0</v>
      </c>
      <c r="D117">
        <v>386</v>
      </c>
      <c r="E117" s="3">
        <v>0.26900000000000002</v>
      </c>
      <c r="F117" s="7">
        <v>1620709</v>
      </c>
      <c r="G117" s="3">
        <v>0.31220286923809271</v>
      </c>
      <c r="H117" s="7"/>
      <c r="I117" s="3"/>
      <c r="J117" s="3"/>
      <c r="K117" s="7"/>
    </row>
    <row r="118" spans="1:11" ht="14.5" x14ac:dyDescent="0.35">
      <c r="A118" t="s">
        <v>47</v>
      </c>
      <c r="B118">
        <v>2</v>
      </c>
      <c r="C118">
        <v>0</v>
      </c>
      <c r="D118">
        <v>471</v>
      </c>
      <c r="E118" s="3">
        <v>0.46899999999999997</v>
      </c>
      <c r="F118" s="7">
        <v>6679239</v>
      </c>
      <c r="G118" s="3">
        <v>0.54773635140170907</v>
      </c>
      <c r="H118" s="7"/>
      <c r="I118" s="3"/>
      <c r="J118" s="3"/>
      <c r="K118" s="7"/>
    </row>
    <row r="119" spans="1:11" ht="14.5" x14ac:dyDescent="0.35">
      <c r="A119" t="s">
        <v>36</v>
      </c>
      <c r="B119">
        <v>1</v>
      </c>
      <c r="C119">
        <v>0</v>
      </c>
      <c r="D119">
        <v>509</v>
      </c>
      <c r="E119" s="3">
        <v>0.46600000000000003</v>
      </c>
      <c r="F119" s="7">
        <v>24959807</v>
      </c>
      <c r="G119" s="3">
        <v>0.31393588099459263</v>
      </c>
      <c r="H119" s="7"/>
      <c r="I119" s="3"/>
      <c r="J119" s="3"/>
      <c r="K119" s="7"/>
    </row>
    <row r="120" spans="1:11" ht="14.5" x14ac:dyDescent="0.35">
      <c r="A120" t="s">
        <v>47</v>
      </c>
      <c r="B120">
        <v>1</v>
      </c>
      <c r="C120">
        <v>0</v>
      </c>
      <c r="D120">
        <v>482</v>
      </c>
      <c r="E120" s="3">
        <v>0.39200000000000002</v>
      </c>
      <c r="F120" s="7">
        <v>10959152</v>
      </c>
      <c r="G120" s="3">
        <v>0.42669925556283916</v>
      </c>
      <c r="H120" s="7"/>
      <c r="I120" s="3"/>
      <c r="J120" s="3"/>
      <c r="K120" s="7"/>
    </row>
    <row r="121" spans="1:11" ht="14.5" x14ac:dyDescent="0.35">
      <c r="A121" t="s">
        <v>47</v>
      </c>
      <c r="B121">
        <v>3</v>
      </c>
      <c r="C121">
        <v>0</v>
      </c>
      <c r="D121">
        <v>227</v>
      </c>
      <c r="E121" s="3">
        <v>0.61699999999999999</v>
      </c>
      <c r="F121" s="7">
        <v>357459</v>
      </c>
      <c r="G121" s="3">
        <v>0.57261112463247532</v>
      </c>
      <c r="H121" s="7"/>
      <c r="I121" s="3"/>
      <c r="J121" s="3"/>
      <c r="K121" s="7"/>
    </row>
    <row r="122" spans="1:11" ht="14.5" x14ac:dyDescent="0.35">
      <c r="A122" t="s">
        <v>47</v>
      </c>
      <c r="B122">
        <v>3</v>
      </c>
      <c r="C122">
        <v>0</v>
      </c>
      <c r="D122">
        <v>292</v>
      </c>
      <c r="E122" s="3">
        <v>0.46600000000000003</v>
      </c>
      <c r="F122" s="7">
        <v>1107410</v>
      </c>
      <c r="G122" s="3">
        <v>0.52215078426237793</v>
      </c>
      <c r="H122" s="7"/>
      <c r="I122" s="3"/>
      <c r="J122" s="3"/>
      <c r="K122" s="7"/>
    </row>
    <row r="123" spans="1:11" ht="14.5" x14ac:dyDescent="0.35">
      <c r="A123" t="s">
        <v>36</v>
      </c>
      <c r="B123">
        <v>1</v>
      </c>
      <c r="C123">
        <v>0</v>
      </c>
      <c r="D123">
        <v>255</v>
      </c>
      <c r="E123" s="3">
        <v>0.49</v>
      </c>
      <c r="F123" s="7">
        <v>4122237</v>
      </c>
      <c r="G123" s="3">
        <v>0.55197408591500197</v>
      </c>
      <c r="H123" s="7"/>
      <c r="I123" s="3"/>
      <c r="J123" s="3"/>
      <c r="K123" s="7"/>
    </row>
    <row r="124" spans="1:11" ht="14.5" x14ac:dyDescent="0.35">
      <c r="A124" t="s">
        <v>47</v>
      </c>
      <c r="B124">
        <v>3</v>
      </c>
      <c r="C124">
        <v>0</v>
      </c>
      <c r="D124">
        <v>933</v>
      </c>
      <c r="E124" s="3">
        <v>0.33</v>
      </c>
      <c r="F124" s="7">
        <v>2832463</v>
      </c>
      <c r="G124" s="3">
        <v>0.32445790112704032</v>
      </c>
      <c r="H124" s="7"/>
      <c r="I124" s="3"/>
      <c r="J124" s="3"/>
      <c r="K124" s="7"/>
    </row>
    <row r="125" spans="1:11" ht="14.5" x14ac:dyDescent="0.35">
      <c r="A125" t="s">
        <v>47</v>
      </c>
      <c r="B125">
        <v>2</v>
      </c>
      <c r="C125">
        <v>0</v>
      </c>
      <c r="D125">
        <v>337</v>
      </c>
      <c r="E125" s="3">
        <v>0.46899999999999997</v>
      </c>
      <c r="F125" s="7">
        <v>4303941</v>
      </c>
      <c r="G125" s="3">
        <v>0.52530808391657791</v>
      </c>
      <c r="H125" s="7"/>
      <c r="I125" s="3"/>
      <c r="J125" s="3"/>
      <c r="K125" s="7"/>
    </row>
    <row r="126" spans="1:11" ht="14.5" x14ac:dyDescent="0.35">
      <c r="A126" t="s">
        <v>47</v>
      </c>
      <c r="B126">
        <v>2</v>
      </c>
      <c r="C126">
        <v>0</v>
      </c>
      <c r="D126">
        <v>333</v>
      </c>
      <c r="E126" s="3">
        <v>0.39900000000000002</v>
      </c>
      <c r="F126" s="7">
        <v>3403074</v>
      </c>
      <c r="G126" s="3">
        <v>0.47835045608764309</v>
      </c>
      <c r="H126" s="7"/>
      <c r="I126" s="3"/>
      <c r="J126" s="3"/>
      <c r="K126" s="7"/>
    </row>
    <row r="127" spans="1:11" ht="14.5" x14ac:dyDescent="0.35">
      <c r="A127" t="s">
        <v>36</v>
      </c>
      <c r="B127">
        <v>3</v>
      </c>
      <c r="C127">
        <v>0</v>
      </c>
      <c r="D127">
        <v>402</v>
      </c>
      <c r="E127" s="3">
        <v>0.52500000000000002</v>
      </c>
      <c r="F127" s="7">
        <v>2562929</v>
      </c>
      <c r="G127" s="3">
        <v>0.5693282958677357</v>
      </c>
      <c r="H127" s="7"/>
      <c r="I127" s="3"/>
      <c r="J127" s="3"/>
      <c r="K127" s="7"/>
    </row>
    <row r="128" spans="1:11" ht="14.5" x14ac:dyDescent="0.35">
      <c r="A128" t="s">
        <v>36</v>
      </c>
      <c r="B128">
        <v>3</v>
      </c>
      <c r="C128">
        <v>0</v>
      </c>
      <c r="D128">
        <v>46</v>
      </c>
      <c r="E128" s="3">
        <v>0.30399999999999999</v>
      </c>
      <c r="F128" s="7">
        <v>74370</v>
      </c>
      <c r="G128" s="3">
        <v>0.35498184751916095</v>
      </c>
      <c r="H128" s="7"/>
      <c r="I128" s="3"/>
      <c r="J128" s="3"/>
      <c r="K128" s="7"/>
    </row>
    <row r="129" spans="1:11" ht="14.5" x14ac:dyDescent="0.35">
      <c r="A129" t="s">
        <v>47</v>
      </c>
      <c r="B129">
        <v>1</v>
      </c>
      <c r="C129">
        <v>0</v>
      </c>
      <c r="D129">
        <v>627</v>
      </c>
      <c r="E129" s="3">
        <v>0.58899999999999997</v>
      </c>
      <c r="F129" s="7">
        <v>79719731</v>
      </c>
      <c r="G129" s="3">
        <v>0.32916537312450289</v>
      </c>
      <c r="H129" s="7"/>
      <c r="I129" s="3"/>
      <c r="J129" s="3"/>
      <c r="K129" s="7"/>
    </row>
    <row r="130" spans="1:11" ht="14.5" x14ac:dyDescent="0.35">
      <c r="A130" t="s">
        <v>36</v>
      </c>
      <c r="B130">
        <v>2</v>
      </c>
      <c r="C130">
        <v>0</v>
      </c>
      <c r="D130">
        <v>216</v>
      </c>
      <c r="E130" s="3">
        <v>0.49100000000000005</v>
      </c>
      <c r="F130" s="7">
        <v>3653764</v>
      </c>
      <c r="G130" s="3">
        <v>0.50665259168353516</v>
      </c>
      <c r="H130" s="7"/>
      <c r="I130" s="3"/>
      <c r="J130" s="3"/>
      <c r="K130" s="7"/>
    </row>
    <row r="131" spans="1:11" ht="14.5" x14ac:dyDescent="0.35">
      <c r="A131" t="s">
        <v>47</v>
      </c>
      <c r="B131">
        <v>3</v>
      </c>
      <c r="C131">
        <v>0</v>
      </c>
      <c r="D131">
        <v>364</v>
      </c>
      <c r="E131" s="3">
        <v>0.48899999999999999</v>
      </c>
      <c r="F131" s="7">
        <v>1789311</v>
      </c>
      <c r="G131" s="3">
        <v>0.49277291650249733</v>
      </c>
      <c r="H131" s="7"/>
      <c r="I131" s="3"/>
      <c r="J131" s="3"/>
      <c r="K131" s="7"/>
    </row>
    <row r="132" spans="1:11" ht="14.5" x14ac:dyDescent="0.35">
      <c r="A132" t="s">
        <v>36</v>
      </c>
      <c r="B132">
        <v>2</v>
      </c>
      <c r="C132">
        <v>0</v>
      </c>
      <c r="D132">
        <v>313</v>
      </c>
      <c r="E132" s="3">
        <v>0.45700000000000002</v>
      </c>
      <c r="F132" s="7">
        <v>3004339</v>
      </c>
      <c r="G132" s="3">
        <v>0.50831014742344327</v>
      </c>
      <c r="H132" s="7"/>
      <c r="I132" s="3"/>
      <c r="J132" s="3"/>
      <c r="K132" s="7"/>
    </row>
    <row r="133" spans="1:11" ht="14.5" x14ac:dyDescent="0.35">
      <c r="A133" t="s">
        <v>36</v>
      </c>
      <c r="B133">
        <v>3</v>
      </c>
      <c r="C133">
        <v>0</v>
      </c>
      <c r="D133">
        <v>685</v>
      </c>
      <c r="E133" s="3">
        <v>0.45700000000000002</v>
      </c>
      <c r="F133" s="7">
        <v>3098688</v>
      </c>
      <c r="G133" s="3">
        <v>0.42024463256707356</v>
      </c>
      <c r="H133" s="7"/>
      <c r="I133" s="3"/>
      <c r="J133" s="3"/>
      <c r="K133" s="7"/>
    </row>
    <row r="134" spans="1:11" ht="14.5" x14ac:dyDescent="0.35">
      <c r="A134" t="s">
        <v>47</v>
      </c>
      <c r="B134">
        <v>3</v>
      </c>
      <c r="C134">
        <v>0</v>
      </c>
      <c r="D134">
        <v>685</v>
      </c>
      <c r="E134" s="3">
        <v>0.33100000000000002</v>
      </c>
      <c r="F134" s="7">
        <v>1884240</v>
      </c>
      <c r="G134" s="3">
        <v>0.36791650745128007</v>
      </c>
      <c r="H134" s="7"/>
      <c r="I134" s="3"/>
      <c r="J134" s="3"/>
      <c r="K134" s="7"/>
    </row>
    <row r="135" spans="1:11" ht="14.5" x14ac:dyDescent="0.35">
      <c r="A135" t="s">
        <v>36</v>
      </c>
      <c r="B135">
        <v>2</v>
      </c>
      <c r="C135">
        <v>0</v>
      </c>
      <c r="D135">
        <v>324</v>
      </c>
      <c r="E135" s="3">
        <v>0.29600000000000004</v>
      </c>
      <c r="F135" s="7">
        <v>4018248</v>
      </c>
      <c r="G135" s="3">
        <v>0.35872250791887411</v>
      </c>
      <c r="H135" s="7"/>
      <c r="I135" s="3"/>
      <c r="J135" s="3"/>
      <c r="K135" s="7"/>
    </row>
    <row r="136" spans="1:11" ht="14.5" x14ac:dyDescent="0.35">
      <c r="A136" t="s">
        <v>36</v>
      </c>
      <c r="B136">
        <v>1</v>
      </c>
      <c r="C136">
        <v>0</v>
      </c>
      <c r="D136">
        <v>443</v>
      </c>
      <c r="E136" s="3">
        <v>0.49700000000000005</v>
      </c>
      <c r="F136" s="7">
        <v>18703190</v>
      </c>
      <c r="G136" s="3">
        <v>0.37486733546523349</v>
      </c>
      <c r="H136" s="7"/>
      <c r="I136" s="3"/>
      <c r="J136" s="3"/>
      <c r="K136" s="7"/>
    </row>
    <row r="137" spans="1:11" ht="14.5" x14ac:dyDescent="0.35">
      <c r="A137" t="s">
        <v>47</v>
      </c>
      <c r="B137">
        <v>3</v>
      </c>
      <c r="C137">
        <v>0</v>
      </c>
      <c r="D137">
        <v>264</v>
      </c>
      <c r="E137" s="3">
        <v>0.46200000000000002</v>
      </c>
      <c r="F137" s="7">
        <v>1482726</v>
      </c>
      <c r="G137" s="3">
        <v>0.469748287950707</v>
      </c>
      <c r="H137" s="7"/>
      <c r="I137" s="3"/>
      <c r="J137" s="3"/>
      <c r="K137" s="7"/>
    </row>
    <row r="138" spans="1:11" ht="14.5" x14ac:dyDescent="0.35">
      <c r="A138" t="s">
        <v>36</v>
      </c>
      <c r="B138">
        <v>2</v>
      </c>
      <c r="C138">
        <v>0</v>
      </c>
      <c r="D138">
        <v>769</v>
      </c>
      <c r="E138" s="3">
        <v>0.33799999999999997</v>
      </c>
      <c r="F138" s="7">
        <v>4854278</v>
      </c>
      <c r="G138" s="3">
        <v>0.42035272804730178</v>
      </c>
      <c r="H138" s="7"/>
      <c r="I138" s="3"/>
      <c r="J138" s="3"/>
      <c r="K138" s="7"/>
    </row>
    <row r="139" spans="1:11" ht="14.5" x14ac:dyDescent="0.35">
      <c r="A139" t="s">
        <v>36</v>
      </c>
      <c r="B139">
        <v>3</v>
      </c>
      <c r="C139">
        <v>0</v>
      </c>
      <c r="D139">
        <v>545</v>
      </c>
      <c r="E139" s="3">
        <v>0.34100000000000003</v>
      </c>
      <c r="F139" s="7">
        <v>2641910</v>
      </c>
      <c r="G139" s="3">
        <v>0.38754121071497516</v>
      </c>
      <c r="H139" s="7"/>
      <c r="I139" s="3"/>
      <c r="J139" s="3"/>
      <c r="K139" s="7"/>
    </row>
    <row r="140" spans="1:11" ht="14.5" x14ac:dyDescent="0.35">
      <c r="A140" t="s">
        <v>47</v>
      </c>
      <c r="B140">
        <v>3</v>
      </c>
      <c r="C140">
        <v>0</v>
      </c>
      <c r="D140">
        <v>605</v>
      </c>
      <c r="E140" s="3">
        <v>0.41000000000000003</v>
      </c>
      <c r="F140" s="7">
        <v>3016591</v>
      </c>
      <c r="G140" s="3">
        <v>0.45927605034955021</v>
      </c>
      <c r="H140" s="7"/>
      <c r="I140" s="3"/>
      <c r="J140" s="3"/>
      <c r="K140" s="7"/>
    </row>
    <row r="141" spans="1:11" ht="14.5" x14ac:dyDescent="0.35">
      <c r="A141" t="s">
        <v>47</v>
      </c>
      <c r="B141">
        <v>3</v>
      </c>
      <c r="C141">
        <v>0</v>
      </c>
      <c r="D141">
        <v>211</v>
      </c>
      <c r="E141" s="3">
        <v>0.24600000000000002</v>
      </c>
      <c r="F141" s="7">
        <v>695585</v>
      </c>
      <c r="G141" s="3">
        <v>0.34315432333934748</v>
      </c>
      <c r="H141" s="7"/>
      <c r="I141" s="3"/>
      <c r="J141" s="3"/>
      <c r="K141" s="7"/>
    </row>
    <row r="142" spans="1:11" ht="14.5" x14ac:dyDescent="0.35">
      <c r="A142" t="s">
        <v>36</v>
      </c>
      <c r="B142">
        <v>3</v>
      </c>
      <c r="C142">
        <v>0</v>
      </c>
      <c r="D142">
        <v>308</v>
      </c>
      <c r="E142" s="3">
        <v>0.40899999999999997</v>
      </c>
      <c r="F142" s="7">
        <v>742945</v>
      </c>
      <c r="G142" s="3">
        <v>0.50855985301738349</v>
      </c>
      <c r="H142" s="7"/>
      <c r="I142" s="3"/>
      <c r="J142" s="3"/>
      <c r="K142" s="7"/>
    </row>
    <row r="143" spans="1:11" ht="14.5" x14ac:dyDescent="0.35">
      <c r="A143" t="s">
        <v>36</v>
      </c>
      <c r="B143">
        <v>3</v>
      </c>
      <c r="C143">
        <v>0</v>
      </c>
      <c r="D143">
        <v>165</v>
      </c>
      <c r="E143" s="3">
        <v>0.503</v>
      </c>
      <c r="F143" s="7">
        <v>428383</v>
      </c>
      <c r="G143" s="3">
        <v>0.56225853967127548</v>
      </c>
      <c r="H143" s="7"/>
      <c r="I143" s="3"/>
      <c r="J143" s="3"/>
      <c r="K143" s="7"/>
    </row>
    <row r="144" spans="1:11" ht="14.5" x14ac:dyDescent="0.35">
      <c r="A144" t="s">
        <v>47</v>
      </c>
      <c r="B144">
        <v>2</v>
      </c>
      <c r="C144">
        <v>0</v>
      </c>
      <c r="D144">
        <v>744</v>
      </c>
      <c r="E144" s="3">
        <v>0.45</v>
      </c>
      <c r="F144" s="7">
        <v>5348776</v>
      </c>
      <c r="G144" s="3">
        <v>0.44147333894707874</v>
      </c>
      <c r="H144" s="7"/>
      <c r="I144" s="3"/>
      <c r="J144" s="3"/>
      <c r="K144" s="7"/>
    </row>
    <row r="145" spans="1:11" ht="14.5" x14ac:dyDescent="0.35">
      <c r="A145" t="s">
        <v>36</v>
      </c>
      <c r="B145">
        <v>2</v>
      </c>
      <c r="C145">
        <v>0</v>
      </c>
      <c r="D145">
        <v>383</v>
      </c>
      <c r="E145" s="3">
        <v>0.51200000000000001</v>
      </c>
      <c r="F145" s="7">
        <v>5078906</v>
      </c>
      <c r="G145" s="3">
        <v>0.4854478503835275</v>
      </c>
      <c r="H145" s="7"/>
      <c r="I145" s="3"/>
      <c r="J145" s="3"/>
      <c r="K145" s="7"/>
    </row>
    <row r="146" spans="1:11" ht="14.5" x14ac:dyDescent="0.35">
      <c r="A146" t="s">
        <v>36</v>
      </c>
      <c r="B146">
        <v>3</v>
      </c>
      <c r="C146">
        <v>0</v>
      </c>
      <c r="D146">
        <v>407</v>
      </c>
      <c r="E146" s="3">
        <v>0.378</v>
      </c>
      <c r="F146" s="7">
        <v>1293005</v>
      </c>
      <c r="G146" s="3">
        <v>0.41529305764478869</v>
      </c>
      <c r="H146" s="7"/>
      <c r="I146" s="3"/>
      <c r="J146" s="3"/>
      <c r="K146" s="7"/>
    </row>
    <row r="147" spans="1:11" ht="14.5" x14ac:dyDescent="0.35">
      <c r="A147" t="s">
        <v>47</v>
      </c>
      <c r="B147">
        <v>2</v>
      </c>
      <c r="C147">
        <v>0</v>
      </c>
      <c r="D147">
        <v>821</v>
      </c>
      <c r="E147" s="3">
        <v>0.36299999999999999</v>
      </c>
      <c r="F147" s="7">
        <v>8046322</v>
      </c>
      <c r="G147" s="3">
        <v>0.36043262996434894</v>
      </c>
      <c r="H147" s="7"/>
      <c r="I147" s="3"/>
      <c r="J147" s="3"/>
      <c r="K147" s="7"/>
    </row>
    <row r="148" spans="1:11" ht="14.5" x14ac:dyDescent="0.35">
      <c r="A148" t="s">
        <v>36</v>
      </c>
      <c r="B148">
        <v>1</v>
      </c>
      <c r="C148">
        <v>0</v>
      </c>
      <c r="D148">
        <v>530</v>
      </c>
      <c r="E148" s="3">
        <v>0.54300000000000004</v>
      </c>
      <c r="F148" s="7">
        <v>18956826</v>
      </c>
      <c r="G148" s="3">
        <v>0.46494207416368122</v>
      </c>
      <c r="H148" s="7"/>
      <c r="I148" s="3"/>
      <c r="J148" s="3"/>
      <c r="K148" s="7"/>
    </row>
    <row r="149" spans="1:11" ht="14.5" x14ac:dyDescent="0.35">
      <c r="A149" t="s">
        <v>47</v>
      </c>
      <c r="B149">
        <v>3</v>
      </c>
      <c r="C149">
        <v>0</v>
      </c>
      <c r="D149">
        <v>737</v>
      </c>
      <c r="E149" s="3">
        <v>0.42600000000000005</v>
      </c>
      <c r="F149" s="7">
        <v>3748170</v>
      </c>
      <c r="G149" s="3">
        <v>0.44404095865449006</v>
      </c>
      <c r="H149" s="7"/>
      <c r="I149" s="3"/>
      <c r="J149" s="3"/>
      <c r="K149" s="7"/>
    </row>
    <row r="150" spans="1:11" ht="14.5" x14ac:dyDescent="0.35">
      <c r="A150" t="s">
        <v>36</v>
      </c>
      <c r="B150">
        <v>2</v>
      </c>
      <c r="C150">
        <v>0</v>
      </c>
      <c r="D150">
        <v>461</v>
      </c>
      <c r="E150" s="3">
        <v>0.44900000000000001</v>
      </c>
      <c r="F150" s="7">
        <v>4068710</v>
      </c>
      <c r="G150" s="3">
        <v>0.4388206581447191</v>
      </c>
      <c r="H150" s="7"/>
      <c r="I150" s="3"/>
      <c r="J150" s="3"/>
      <c r="K150" s="7"/>
    </row>
    <row r="151" spans="1:11" ht="14.5" x14ac:dyDescent="0.35">
      <c r="A151" t="s">
        <v>36</v>
      </c>
      <c r="B151">
        <v>3</v>
      </c>
      <c r="C151">
        <v>0</v>
      </c>
      <c r="D151">
        <v>274</v>
      </c>
      <c r="E151" s="3">
        <v>0.39100000000000001</v>
      </c>
      <c r="F151" s="7">
        <v>1646320</v>
      </c>
      <c r="G151" s="3">
        <v>0.52650092327129594</v>
      </c>
      <c r="H151" s="7"/>
      <c r="I151" s="3"/>
      <c r="J151" s="3"/>
      <c r="K151" s="7"/>
    </row>
    <row r="152" spans="1:11" ht="14.5" x14ac:dyDescent="0.35">
      <c r="A152" t="s">
        <v>36</v>
      </c>
      <c r="B152">
        <v>1</v>
      </c>
      <c r="C152">
        <v>0</v>
      </c>
      <c r="D152">
        <v>313</v>
      </c>
      <c r="E152" s="3">
        <v>0.51800000000000002</v>
      </c>
      <c r="F152" s="7">
        <v>9345986</v>
      </c>
      <c r="G152" s="3">
        <v>0.53185463791621346</v>
      </c>
      <c r="H152" s="7"/>
      <c r="I152" s="3"/>
      <c r="J152" s="3"/>
      <c r="K152" s="7"/>
    </row>
    <row r="153" spans="1:11" ht="14.5" x14ac:dyDescent="0.35">
      <c r="A153" t="s">
        <v>36</v>
      </c>
      <c r="B153">
        <v>3</v>
      </c>
      <c r="C153">
        <v>0</v>
      </c>
      <c r="D153">
        <v>593</v>
      </c>
      <c r="E153" s="3">
        <v>0.46899999999999997</v>
      </c>
      <c r="F153" s="7">
        <v>2997108</v>
      </c>
      <c r="G153" s="3">
        <v>0.4918167780406979</v>
      </c>
      <c r="H153" s="7"/>
      <c r="I153" s="3"/>
      <c r="J153" s="3"/>
      <c r="K153" s="7"/>
    </row>
    <row r="154" spans="1:11" ht="14.5" x14ac:dyDescent="0.35">
      <c r="A154" t="s">
        <v>36</v>
      </c>
      <c r="B154">
        <v>2</v>
      </c>
      <c r="C154">
        <v>0</v>
      </c>
      <c r="D154">
        <v>448</v>
      </c>
      <c r="E154" s="3">
        <v>0.42899999999999999</v>
      </c>
      <c r="F154" s="7">
        <v>5005471</v>
      </c>
      <c r="G154" s="3">
        <v>0.42862499852661218</v>
      </c>
      <c r="H154" s="7"/>
      <c r="I154" s="3"/>
      <c r="J154" s="3"/>
      <c r="K154" s="7"/>
    </row>
    <row r="155" spans="1:11" ht="14.5" x14ac:dyDescent="0.35">
      <c r="A155" t="s">
        <v>47</v>
      </c>
      <c r="B155">
        <v>3</v>
      </c>
      <c r="C155">
        <v>0</v>
      </c>
      <c r="D155">
        <v>495</v>
      </c>
      <c r="E155" s="3">
        <v>0.501</v>
      </c>
      <c r="F155" s="7">
        <v>2464943</v>
      </c>
      <c r="G155" s="3">
        <v>0.47990318640228191</v>
      </c>
      <c r="H155" s="7"/>
      <c r="I155" s="3"/>
      <c r="J155" s="3"/>
      <c r="K155" s="7"/>
    </row>
    <row r="156" spans="1:11" ht="14.5" x14ac:dyDescent="0.35">
      <c r="A156" t="s">
        <v>47</v>
      </c>
      <c r="B156">
        <v>3</v>
      </c>
      <c r="C156">
        <v>0</v>
      </c>
      <c r="D156">
        <v>364</v>
      </c>
      <c r="E156" s="3">
        <v>0.379</v>
      </c>
      <c r="F156" s="7">
        <v>1860167</v>
      </c>
      <c r="G156" s="3">
        <v>0.34836012035478536</v>
      </c>
      <c r="H156" s="7"/>
      <c r="I156" s="3"/>
      <c r="J156" s="3"/>
      <c r="K156" s="7"/>
    </row>
    <row r="157" spans="1:11" ht="14.5" x14ac:dyDescent="0.35">
      <c r="A157" t="s">
        <v>36</v>
      </c>
      <c r="B157">
        <v>2</v>
      </c>
      <c r="C157">
        <v>0</v>
      </c>
      <c r="D157">
        <v>280</v>
      </c>
      <c r="E157" s="3">
        <v>0.311</v>
      </c>
      <c r="F157" s="7">
        <v>3466028</v>
      </c>
      <c r="G157" s="3">
        <v>0.3776083170707219</v>
      </c>
      <c r="H157" s="7"/>
      <c r="I157" s="3"/>
      <c r="J157" s="3"/>
      <c r="K157" s="7"/>
    </row>
    <row r="158" spans="1:11" ht="14.5" x14ac:dyDescent="0.35">
      <c r="A158" t="s">
        <v>47</v>
      </c>
      <c r="B158">
        <v>1</v>
      </c>
      <c r="C158">
        <v>0</v>
      </c>
      <c r="D158">
        <v>885</v>
      </c>
      <c r="E158" s="3">
        <v>0.52</v>
      </c>
      <c r="F158" s="7">
        <v>21453064</v>
      </c>
      <c r="G158" s="3">
        <v>0.41269125939306384</v>
      </c>
      <c r="H158" s="7"/>
      <c r="I158" s="3"/>
      <c r="J158" s="3"/>
      <c r="K158" s="7"/>
    </row>
    <row r="159" spans="1:11" ht="14.5" x14ac:dyDescent="0.35">
      <c r="A159" t="s">
        <v>36</v>
      </c>
      <c r="B159">
        <v>3</v>
      </c>
      <c r="C159">
        <v>0</v>
      </c>
      <c r="D159">
        <v>722</v>
      </c>
      <c r="E159" s="3">
        <v>0.45400000000000001</v>
      </c>
      <c r="F159" s="7">
        <v>2905881</v>
      </c>
      <c r="G159" s="3">
        <v>0.42441689800786747</v>
      </c>
      <c r="H159" s="7"/>
      <c r="I159" s="3"/>
      <c r="J159" s="3"/>
      <c r="K159" s="7"/>
    </row>
    <row r="160" spans="1:11" ht="14.5" x14ac:dyDescent="0.35">
      <c r="A160" t="s">
        <v>47</v>
      </c>
      <c r="B160">
        <v>2</v>
      </c>
      <c r="C160">
        <v>0</v>
      </c>
      <c r="D160">
        <v>676</v>
      </c>
      <c r="E160" s="3">
        <v>0.36700000000000005</v>
      </c>
      <c r="F160" s="7">
        <v>8453326</v>
      </c>
      <c r="G160" s="3">
        <v>0.33870609036017302</v>
      </c>
      <c r="H160" s="7"/>
      <c r="I160" s="3"/>
      <c r="J160" s="3"/>
      <c r="K160" s="7"/>
    </row>
    <row r="161" spans="1:11" ht="14.5" x14ac:dyDescent="0.35">
      <c r="A161" t="s">
        <v>47</v>
      </c>
      <c r="B161">
        <v>2</v>
      </c>
      <c r="C161">
        <v>0</v>
      </c>
      <c r="D161">
        <v>419</v>
      </c>
      <c r="E161" s="3">
        <v>0.46100000000000002</v>
      </c>
      <c r="F161" s="7">
        <v>5494696</v>
      </c>
      <c r="G161" s="3">
        <v>0.44915205499994904</v>
      </c>
      <c r="H161" s="7"/>
      <c r="I161" s="3"/>
      <c r="J161" s="3"/>
      <c r="K161" s="7"/>
    </row>
    <row r="162" spans="1:11" ht="14.5" x14ac:dyDescent="0.35">
      <c r="A162" t="s">
        <v>36</v>
      </c>
      <c r="B162">
        <v>1</v>
      </c>
      <c r="C162">
        <v>0</v>
      </c>
      <c r="D162">
        <v>268</v>
      </c>
      <c r="E162" s="3">
        <v>0.47000000000000003</v>
      </c>
      <c r="F162" s="7">
        <v>4105328</v>
      </c>
      <c r="G162" s="3">
        <v>0.45884811152726407</v>
      </c>
      <c r="H162" s="7"/>
      <c r="I162" s="3"/>
      <c r="J162" s="3"/>
      <c r="K162" s="7"/>
    </row>
    <row r="163" spans="1:11" ht="14.5" x14ac:dyDescent="0.35">
      <c r="A163" t="s">
        <v>47</v>
      </c>
      <c r="B163">
        <v>2</v>
      </c>
      <c r="C163">
        <v>0</v>
      </c>
      <c r="D163">
        <v>277</v>
      </c>
      <c r="E163" s="3">
        <v>0.314</v>
      </c>
      <c r="F163" s="7">
        <v>3349138</v>
      </c>
      <c r="G163" s="3">
        <v>0.3397327909450133</v>
      </c>
      <c r="H163" s="7"/>
      <c r="I163" s="3"/>
      <c r="J163" s="3"/>
      <c r="K163" s="7"/>
    </row>
    <row r="164" spans="1:11" ht="14.5" x14ac:dyDescent="0.35">
      <c r="A164" t="s">
        <v>47</v>
      </c>
      <c r="B164">
        <v>3</v>
      </c>
      <c r="C164">
        <v>0</v>
      </c>
      <c r="D164">
        <v>367</v>
      </c>
      <c r="E164" s="3">
        <v>0.436</v>
      </c>
      <c r="F164" s="7">
        <v>2583155</v>
      </c>
      <c r="G164" s="3">
        <v>0.43946995050626075</v>
      </c>
      <c r="H164" s="7"/>
      <c r="I164" s="3"/>
      <c r="J164" s="3"/>
      <c r="K164" s="7"/>
    </row>
    <row r="165" spans="1:11" ht="14.5" x14ac:dyDescent="0.35">
      <c r="A165" t="s">
        <v>47</v>
      </c>
      <c r="B165">
        <v>3</v>
      </c>
      <c r="C165">
        <v>0</v>
      </c>
      <c r="D165">
        <v>461</v>
      </c>
      <c r="E165" s="3">
        <v>0.35399999999999998</v>
      </c>
      <c r="F165" s="7">
        <v>3172039</v>
      </c>
      <c r="G165" s="3">
        <v>0.36767360048221348</v>
      </c>
      <c r="H165" s="7"/>
      <c r="I165" s="3"/>
      <c r="J165" s="3"/>
      <c r="K165" s="7"/>
    </row>
    <row r="166" spans="1:11" ht="14.5" x14ac:dyDescent="0.35">
      <c r="A166" t="s">
        <v>36</v>
      </c>
      <c r="B166">
        <v>2</v>
      </c>
      <c r="C166">
        <v>0</v>
      </c>
      <c r="D166">
        <v>586</v>
      </c>
      <c r="E166" s="3">
        <v>0.44700000000000006</v>
      </c>
      <c r="F166" s="7">
        <v>5660679</v>
      </c>
      <c r="G166" s="3">
        <v>0.46622834469151136</v>
      </c>
      <c r="H166" s="7"/>
      <c r="I166" s="3"/>
      <c r="J166" s="3"/>
      <c r="K166" s="7"/>
    </row>
    <row r="167" spans="1:11" ht="14.5" x14ac:dyDescent="0.35">
      <c r="A167" t="s">
        <v>36</v>
      </c>
      <c r="B167">
        <v>2</v>
      </c>
      <c r="C167">
        <v>0</v>
      </c>
      <c r="D167">
        <v>492</v>
      </c>
      <c r="E167" s="3">
        <v>0.49200000000000005</v>
      </c>
      <c r="F167" s="7">
        <v>5203694</v>
      </c>
      <c r="G167" s="3">
        <v>0.48493185802239719</v>
      </c>
      <c r="H167" s="7"/>
      <c r="I167" s="3"/>
      <c r="J167" s="3"/>
      <c r="K167" s="7"/>
    </row>
    <row r="168" spans="1:11" ht="14.5" x14ac:dyDescent="0.35">
      <c r="A168" t="s">
        <v>47</v>
      </c>
      <c r="B168">
        <v>1</v>
      </c>
      <c r="C168">
        <v>0</v>
      </c>
      <c r="D168">
        <v>917</v>
      </c>
      <c r="E168" s="3">
        <v>0.46200000000000002</v>
      </c>
      <c r="F168" s="7">
        <v>16671563</v>
      </c>
      <c r="G168" s="3">
        <v>0.34769877305445207</v>
      </c>
      <c r="H168" s="7"/>
      <c r="I168" s="3"/>
      <c r="J168" s="3"/>
      <c r="K168" s="7"/>
    </row>
    <row r="169" spans="1:11" ht="14.5" x14ac:dyDescent="0.35">
      <c r="A169" t="s">
        <v>47</v>
      </c>
      <c r="B169">
        <v>2</v>
      </c>
      <c r="C169">
        <v>0</v>
      </c>
      <c r="D169">
        <v>385</v>
      </c>
      <c r="E169" s="3">
        <v>0.51900000000000002</v>
      </c>
      <c r="F169" s="7">
        <v>6587786</v>
      </c>
      <c r="G169" s="3">
        <v>0.52829873344398259</v>
      </c>
      <c r="H169" s="7"/>
      <c r="I169" s="3"/>
      <c r="J169" s="3"/>
      <c r="K169" s="7"/>
    </row>
    <row r="170" spans="1:11" ht="14.5" x14ac:dyDescent="0.35">
      <c r="A170" t="s">
        <v>47</v>
      </c>
      <c r="B170">
        <v>2</v>
      </c>
      <c r="C170">
        <v>0</v>
      </c>
      <c r="D170">
        <v>254</v>
      </c>
      <c r="E170" s="3">
        <v>0.45700000000000002</v>
      </c>
      <c r="F170" s="7">
        <v>4407349</v>
      </c>
      <c r="G170" s="3">
        <v>0.52396554028283215</v>
      </c>
      <c r="H170" s="7"/>
      <c r="I170" s="3"/>
      <c r="J170" s="3"/>
      <c r="K170" s="7"/>
    </row>
    <row r="171" spans="1:11" ht="14.5" x14ac:dyDescent="0.35">
      <c r="A171" t="s">
        <v>47</v>
      </c>
      <c r="B171">
        <v>3</v>
      </c>
      <c r="C171">
        <v>0</v>
      </c>
      <c r="D171">
        <v>465</v>
      </c>
      <c r="E171" s="3">
        <v>0.35700000000000004</v>
      </c>
      <c r="F171" s="7">
        <v>2722577</v>
      </c>
      <c r="G171" s="3">
        <v>0.3352026407333934</v>
      </c>
      <c r="H171" s="7"/>
      <c r="I171" s="3"/>
      <c r="J171" s="3"/>
      <c r="K171" s="7"/>
    </row>
    <row r="172" spans="1:11" ht="14.5" x14ac:dyDescent="0.35">
      <c r="A172" t="s">
        <v>47</v>
      </c>
      <c r="B172">
        <v>3</v>
      </c>
      <c r="C172">
        <v>0</v>
      </c>
      <c r="D172">
        <v>427</v>
      </c>
      <c r="E172" s="3">
        <v>0.36799999999999999</v>
      </c>
      <c r="F172" s="7">
        <v>1323325</v>
      </c>
      <c r="G172" s="3">
        <v>0.4344465645249655</v>
      </c>
      <c r="H172" s="7"/>
      <c r="I172" s="3"/>
      <c r="J172" s="3"/>
      <c r="K172" s="7"/>
    </row>
    <row r="173" spans="1:11" ht="14.5" x14ac:dyDescent="0.35">
      <c r="A173" t="s">
        <v>36</v>
      </c>
      <c r="B173">
        <v>1</v>
      </c>
      <c r="C173">
        <v>0</v>
      </c>
      <c r="D173">
        <v>472</v>
      </c>
      <c r="E173" s="3">
        <v>0.38100000000000001</v>
      </c>
      <c r="F173" s="7">
        <v>11567115</v>
      </c>
      <c r="G173" s="3">
        <v>0.35696195637373712</v>
      </c>
      <c r="H173" s="7"/>
      <c r="I173" s="3"/>
      <c r="J173" s="3"/>
      <c r="K173" s="7"/>
    </row>
    <row r="174" spans="1:11" ht="14.5" x14ac:dyDescent="0.35">
      <c r="A174" t="s">
        <v>36</v>
      </c>
      <c r="B174">
        <v>3</v>
      </c>
      <c r="C174">
        <v>0</v>
      </c>
      <c r="D174">
        <v>203</v>
      </c>
      <c r="E174" s="3">
        <v>0.433</v>
      </c>
      <c r="F174" s="7">
        <v>542206</v>
      </c>
      <c r="G174" s="3">
        <v>0.38688432071943135</v>
      </c>
      <c r="H174" s="7"/>
      <c r="I174" s="3"/>
      <c r="J174" s="3"/>
      <c r="K174" s="7"/>
    </row>
    <row r="175" spans="1:11" ht="14.5" x14ac:dyDescent="0.35">
      <c r="A175" t="s">
        <v>36</v>
      </c>
      <c r="B175">
        <v>3</v>
      </c>
      <c r="C175">
        <v>0</v>
      </c>
      <c r="D175">
        <v>496</v>
      </c>
      <c r="E175" s="3">
        <v>0.47200000000000003</v>
      </c>
      <c r="F175" s="7">
        <v>1175569</v>
      </c>
      <c r="G175" s="3">
        <v>0.44711369558060821</v>
      </c>
      <c r="H175" s="7"/>
      <c r="I175" s="3"/>
      <c r="J175" s="3"/>
      <c r="K175" s="7"/>
    </row>
    <row r="176" spans="1:11" ht="14.5" x14ac:dyDescent="0.35">
      <c r="A176" t="s">
        <v>47</v>
      </c>
      <c r="B176">
        <v>1</v>
      </c>
      <c r="C176">
        <v>0</v>
      </c>
      <c r="D176">
        <v>424</v>
      </c>
      <c r="E176" s="3">
        <v>0.50700000000000001</v>
      </c>
      <c r="F176" s="7">
        <v>11600522</v>
      </c>
      <c r="G176" s="3">
        <v>0.50136416275060725</v>
      </c>
      <c r="H176" s="7"/>
      <c r="I176" s="3"/>
      <c r="J176" s="3"/>
      <c r="K176" s="7"/>
    </row>
    <row r="177" spans="1:11" ht="14.5" x14ac:dyDescent="0.35">
      <c r="A177" t="s">
        <v>36</v>
      </c>
      <c r="B177">
        <v>1</v>
      </c>
      <c r="C177">
        <v>0</v>
      </c>
      <c r="D177">
        <v>480</v>
      </c>
      <c r="E177" s="3">
        <v>0.50600000000000001</v>
      </c>
      <c r="F177" s="7">
        <v>25694253</v>
      </c>
      <c r="G177" s="3">
        <v>0.28047248542310221</v>
      </c>
      <c r="H177" s="7"/>
      <c r="I177" s="3"/>
      <c r="J177" s="3"/>
      <c r="K177" s="7"/>
    </row>
    <row r="178" spans="1:11" ht="14.5" x14ac:dyDescent="0.35">
      <c r="A178" t="s">
        <v>36</v>
      </c>
      <c r="B178">
        <v>3</v>
      </c>
      <c r="C178">
        <v>0</v>
      </c>
      <c r="D178">
        <v>616</v>
      </c>
      <c r="E178" s="3">
        <v>0.36499999999999999</v>
      </c>
      <c r="F178" s="7">
        <v>1895180</v>
      </c>
      <c r="G178" s="3">
        <v>0.4032962568199327</v>
      </c>
      <c r="H178" s="7"/>
      <c r="I178" s="3"/>
      <c r="J178" s="3"/>
      <c r="K178" s="7"/>
    </row>
    <row r="179" spans="1:11" ht="14.5" x14ac:dyDescent="0.35">
      <c r="A179" t="s">
        <v>47</v>
      </c>
      <c r="B179">
        <v>3</v>
      </c>
      <c r="C179">
        <v>0</v>
      </c>
      <c r="D179">
        <v>795</v>
      </c>
      <c r="E179" s="3">
        <v>0.40399999999999997</v>
      </c>
      <c r="F179" s="7">
        <v>4409626</v>
      </c>
      <c r="G179" s="3">
        <v>0.39992779432994996</v>
      </c>
      <c r="H179" s="7"/>
      <c r="I179" s="3"/>
      <c r="J179" s="3"/>
      <c r="K179" s="7"/>
    </row>
    <row r="180" spans="1:11" ht="14.5" x14ac:dyDescent="0.35">
      <c r="A180" t="s">
        <v>36</v>
      </c>
      <c r="B180">
        <v>3</v>
      </c>
      <c r="C180">
        <v>0</v>
      </c>
      <c r="D180">
        <v>505</v>
      </c>
      <c r="E180" s="3">
        <v>0.45299999999999996</v>
      </c>
      <c r="F180" s="7">
        <v>1950716</v>
      </c>
      <c r="G180" s="3">
        <v>0.5220647188006865</v>
      </c>
      <c r="H180" s="7"/>
      <c r="I180" s="3"/>
      <c r="J180" s="3"/>
      <c r="K180" s="7"/>
    </row>
    <row r="181" spans="1:11" ht="14.5" x14ac:dyDescent="0.35">
      <c r="A181" t="s">
        <v>47</v>
      </c>
      <c r="B181">
        <v>3</v>
      </c>
      <c r="C181">
        <v>0</v>
      </c>
      <c r="D181">
        <v>596</v>
      </c>
      <c r="E181" s="3">
        <v>0.435</v>
      </c>
      <c r="F181" s="7">
        <v>2542251</v>
      </c>
      <c r="G181" s="3">
        <v>0.4350534231277714</v>
      </c>
      <c r="H181" s="7"/>
      <c r="I181" s="3"/>
      <c r="J181" s="3"/>
      <c r="K181" s="7"/>
    </row>
    <row r="182" spans="1:11" ht="14.5" x14ac:dyDescent="0.35">
      <c r="A182" t="s">
        <v>47</v>
      </c>
      <c r="B182">
        <v>3</v>
      </c>
      <c r="C182">
        <v>0</v>
      </c>
      <c r="D182">
        <v>608</v>
      </c>
      <c r="E182" s="3">
        <v>0.42799999999999999</v>
      </c>
      <c r="F182" s="7">
        <v>3648281</v>
      </c>
      <c r="G182" s="3">
        <v>0.40848964210815997</v>
      </c>
      <c r="H182" s="7"/>
      <c r="I182" s="3"/>
      <c r="J182" s="3"/>
      <c r="K182" s="7"/>
    </row>
    <row r="183" spans="1:11" ht="14.5" x14ac:dyDescent="0.35">
      <c r="A183" t="s">
        <v>47</v>
      </c>
      <c r="B183">
        <v>3</v>
      </c>
      <c r="C183">
        <v>0</v>
      </c>
      <c r="D183">
        <v>228</v>
      </c>
      <c r="E183" s="3">
        <v>0.58799999999999997</v>
      </c>
      <c r="F183" s="7">
        <v>779287</v>
      </c>
      <c r="G183" s="3">
        <v>0.60658525036347333</v>
      </c>
      <c r="H183" s="7"/>
      <c r="I183" s="3"/>
      <c r="J183" s="3"/>
      <c r="K183" s="7"/>
    </row>
    <row r="184" spans="1:11" ht="14.5" x14ac:dyDescent="0.35">
      <c r="A184" t="s">
        <v>47</v>
      </c>
      <c r="B184">
        <v>3</v>
      </c>
      <c r="C184">
        <v>0</v>
      </c>
      <c r="D184">
        <v>661</v>
      </c>
      <c r="E184" s="3">
        <v>0.40399999999999997</v>
      </c>
      <c r="F184" s="7">
        <v>5149358</v>
      </c>
      <c r="G184" s="3">
        <v>0.40061965006123096</v>
      </c>
      <c r="H184" s="7"/>
      <c r="I184" s="3"/>
      <c r="J184" s="3"/>
      <c r="K184" s="7"/>
    </row>
    <row r="185" spans="1:11" ht="14.5" x14ac:dyDescent="0.35">
      <c r="A185" t="s">
        <v>47</v>
      </c>
      <c r="B185">
        <v>3</v>
      </c>
      <c r="C185">
        <v>0</v>
      </c>
      <c r="D185">
        <v>299</v>
      </c>
      <c r="E185" s="3">
        <v>0.52500000000000002</v>
      </c>
      <c r="F185" s="7">
        <v>920005</v>
      </c>
      <c r="G185" s="3">
        <v>0.5657175776218607</v>
      </c>
      <c r="H185" s="7"/>
      <c r="I185" s="3"/>
      <c r="J185" s="3"/>
      <c r="K185" s="7"/>
    </row>
    <row r="186" spans="1:11" ht="14.5" x14ac:dyDescent="0.35">
      <c r="A186" t="s">
        <v>47</v>
      </c>
      <c r="B186">
        <v>3</v>
      </c>
      <c r="C186">
        <v>0</v>
      </c>
      <c r="D186">
        <v>248</v>
      </c>
      <c r="E186" s="3">
        <v>0.41899999999999998</v>
      </c>
      <c r="F186" s="7">
        <v>817583</v>
      </c>
      <c r="G186" s="3">
        <v>0.43677400337335781</v>
      </c>
      <c r="H186" s="7"/>
      <c r="I186" s="3"/>
      <c r="J186" s="3"/>
      <c r="K186" s="7"/>
    </row>
    <row r="187" spans="1:11" ht="14.5" x14ac:dyDescent="0.35">
      <c r="A187" t="s">
        <v>47</v>
      </c>
      <c r="B187">
        <v>3</v>
      </c>
      <c r="C187">
        <v>0</v>
      </c>
      <c r="D187">
        <v>559</v>
      </c>
      <c r="E187" s="3">
        <v>0.33500000000000002</v>
      </c>
      <c r="F187" s="7">
        <v>2526131</v>
      </c>
      <c r="G187" s="3">
        <v>0.36080591228245884</v>
      </c>
      <c r="H187" s="7"/>
      <c r="I187" s="3"/>
      <c r="J187" s="3"/>
      <c r="K187" s="7"/>
    </row>
    <row r="188" spans="1:11" ht="14.5" x14ac:dyDescent="0.35">
      <c r="A188" t="s">
        <v>47</v>
      </c>
      <c r="B188">
        <v>2</v>
      </c>
      <c r="C188">
        <v>0</v>
      </c>
      <c r="D188">
        <v>362</v>
      </c>
      <c r="E188" s="3">
        <v>0.503</v>
      </c>
      <c r="F188" s="7">
        <v>4862764</v>
      </c>
      <c r="G188" s="3">
        <v>0.53330245925979547</v>
      </c>
      <c r="H188" s="7"/>
      <c r="I188" s="3"/>
      <c r="J188" s="3"/>
      <c r="K188" s="7"/>
    </row>
    <row r="189" spans="1:11" ht="14.5" x14ac:dyDescent="0.35">
      <c r="A189" t="s">
        <v>47</v>
      </c>
      <c r="B189">
        <v>2</v>
      </c>
      <c r="C189">
        <v>0</v>
      </c>
      <c r="D189">
        <v>272</v>
      </c>
      <c r="E189" s="3">
        <v>0.36399999999999999</v>
      </c>
      <c r="F189" s="7">
        <v>3889136</v>
      </c>
      <c r="G189" s="3">
        <v>0.25485249165881574</v>
      </c>
      <c r="H189" s="7"/>
      <c r="I189" s="3"/>
      <c r="J189" s="3"/>
      <c r="K189" s="7"/>
    </row>
    <row r="190" spans="1:11" ht="14.5" x14ac:dyDescent="0.35">
      <c r="A190" t="s">
        <v>47</v>
      </c>
      <c r="B190">
        <v>2</v>
      </c>
      <c r="C190">
        <v>0</v>
      </c>
      <c r="D190">
        <v>473</v>
      </c>
      <c r="E190" s="3">
        <v>0.27100000000000002</v>
      </c>
      <c r="F190" s="7">
        <v>5230213</v>
      </c>
      <c r="G190" s="3">
        <v>0.31654676396544462</v>
      </c>
      <c r="H190" s="7"/>
      <c r="I190" s="3"/>
      <c r="J190" s="3"/>
      <c r="K190" s="7"/>
    </row>
    <row r="191" spans="1:11" ht="14.5" x14ac:dyDescent="0.35">
      <c r="A191" t="s">
        <v>36</v>
      </c>
      <c r="B191">
        <v>2</v>
      </c>
      <c r="C191">
        <v>0</v>
      </c>
      <c r="D191">
        <v>270</v>
      </c>
      <c r="E191" s="3">
        <v>0.57799999999999996</v>
      </c>
      <c r="F191" s="7">
        <v>2986937</v>
      </c>
      <c r="G191" s="3">
        <v>0.65246973739318903</v>
      </c>
      <c r="H191" s="7"/>
      <c r="I191" s="3"/>
      <c r="J191" s="3"/>
      <c r="K191" s="7"/>
    </row>
    <row r="192" spans="1:11" ht="14.5" x14ac:dyDescent="0.35">
      <c r="A192" t="s">
        <v>47</v>
      </c>
      <c r="B192">
        <v>2</v>
      </c>
      <c r="C192">
        <v>0</v>
      </c>
      <c r="D192">
        <v>431</v>
      </c>
      <c r="E192" s="3">
        <v>0.47600000000000003</v>
      </c>
      <c r="F192" s="7">
        <v>5789418</v>
      </c>
      <c r="G192" s="3">
        <v>0.51360862179928968</v>
      </c>
      <c r="H192" s="7"/>
      <c r="I192" s="3"/>
      <c r="J192" s="3"/>
      <c r="K192" s="7"/>
    </row>
    <row r="193" spans="1:11" ht="14.5" x14ac:dyDescent="0.35">
      <c r="A193" t="s">
        <v>47</v>
      </c>
      <c r="B193">
        <v>2</v>
      </c>
      <c r="C193">
        <v>0</v>
      </c>
      <c r="D193">
        <v>240</v>
      </c>
      <c r="E193" s="3">
        <v>0.504</v>
      </c>
      <c r="F193" s="7">
        <v>2894046</v>
      </c>
      <c r="G193" s="3">
        <v>0.49134637113577323</v>
      </c>
      <c r="H193" s="7"/>
      <c r="I193" s="3"/>
      <c r="J193" s="3"/>
      <c r="K193" s="7"/>
    </row>
    <row r="194" spans="1:11" ht="14.5" x14ac:dyDescent="0.35">
      <c r="A194" t="s">
        <v>36</v>
      </c>
      <c r="B194">
        <v>1</v>
      </c>
      <c r="C194">
        <v>0</v>
      </c>
      <c r="D194">
        <v>449</v>
      </c>
      <c r="E194" s="3">
        <v>0.57899999999999996</v>
      </c>
      <c r="F194" s="7">
        <v>13298777</v>
      </c>
      <c r="G194" s="3">
        <v>0.52246706595651615</v>
      </c>
      <c r="H194" s="7"/>
      <c r="I194" s="3"/>
      <c r="J194" s="3"/>
      <c r="K194" s="7"/>
    </row>
    <row r="195" spans="1:11" ht="14.5" x14ac:dyDescent="0.35">
      <c r="A195" t="s">
        <v>36</v>
      </c>
      <c r="B195">
        <v>1</v>
      </c>
      <c r="C195">
        <v>0</v>
      </c>
      <c r="D195">
        <v>461</v>
      </c>
      <c r="E195" s="3">
        <v>0.52700000000000002</v>
      </c>
      <c r="F195" s="7">
        <v>22461499</v>
      </c>
      <c r="G195" s="3">
        <v>0.33821478254857346</v>
      </c>
      <c r="H195" s="7"/>
      <c r="I195" s="3"/>
      <c r="J195" s="3"/>
      <c r="K195" s="7"/>
    </row>
    <row r="196" spans="1:11" ht="14.5" x14ac:dyDescent="0.35">
      <c r="A196" t="s">
        <v>47</v>
      </c>
      <c r="B196">
        <v>3</v>
      </c>
      <c r="C196">
        <v>0</v>
      </c>
      <c r="D196">
        <v>315</v>
      </c>
      <c r="E196" s="3">
        <v>0.42499999999999999</v>
      </c>
      <c r="F196" s="7">
        <v>1136275</v>
      </c>
      <c r="G196" s="3">
        <v>0.50315900640249944</v>
      </c>
      <c r="H196" s="7"/>
      <c r="I196" s="3"/>
      <c r="J196" s="3"/>
      <c r="K196" s="7"/>
    </row>
    <row r="197" spans="1:11" ht="14.5" x14ac:dyDescent="0.35">
      <c r="A197" t="s">
        <v>47</v>
      </c>
      <c r="B197">
        <v>3</v>
      </c>
      <c r="C197">
        <v>0</v>
      </c>
      <c r="D197">
        <v>694</v>
      </c>
      <c r="E197" s="3">
        <v>0.34399999999999997</v>
      </c>
      <c r="F197" s="7">
        <v>2609100</v>
      </c>
      <c r="G197" s="3">
        <v>0.34794718485301446</v>
      </c>
      <c r="H197" s="7"/>
      <c r="I197" s="3"/>
      <c r="J197" s="3"/>
      <c r="K197" s="7"/>
    </row>
    <row r="198" spans="1:11" ht="14.5" x14ac:dyDescent="0.35">
      <c r="A198" t="s">
        <v>47</v>
      </c>
      <c r="B198">
        <v>3</v>
      </c>
      <c r="C198">
        <v>0</v>
      </c>
      <c r="D198">
        <v>517</v>
      </c>
      <c r="E198" s="3">
        <v>0.47200000000000003</v>
      </c>
      <c r="F198" s="7">
        <v>2523462</v>
      </c>
      <c r="G198" s="3">
        <v>0.43136453015737902</v>
      </c>
      <c r="H198" s="7"/>
      <c r="I198" s="3"/>
      <c r="J198" s="3"/>
      <c r="K198" s="7"/>
    </row>
    <row r="199" spans="1:11" ht="14.5" x14ac:dyDescent="0.35">
      <c r="A199" t="s">
        <v>47</v>
      </c>
      <c r="B199">
        <v>3</v>
      </c>
      <c r="C199">
        <v>0</v>
      </c>
      <c r="D199">
        <v>767</v>
      </c>
      <c r="E199" s="3">
        <v>0.46500000000000002</v>
      </c>
      <c r="F199" s="7">
        <v>3449423</v>
      </c>
      <c r="G199" s="3">
        <v>0.45028980209153818</v>
      </c>
      <c r="H199" s="7"/>
      <c r="I199" s="3"/>
      <c r="J199" s="3"/>
      <c r="K199" s="7"/>
    </row>
    <row r="200" spans="1:11" ht="14.5" x14ac:dyDescent="0.35">
      <c r="A200" t="s">
        <v>47</v>
      </c>
      <c r="B200">
        <v>2</v>
      </c>
      <c r="C200">
        <v>0</v>
      </c>
      <c r="D200">
        <v>500</v>
      </c>
      <c r="E200" s="3">
        <v>0.46399999999999997</v>
      </c>
      <c r="F200" s="7">
        <v>4070570</v>
      </c>
      <c r="G200" s="3">
        <v>0.49031265891509052</v>
      </c>
      <c r="H200" s="7"/>
      <c r="I200" s="3"/>
      <c r="J200" s="3"/>
      <c r="K200" s="7"/>
    </row>
    <row r="201" spans="1:11" ht="14.5" x14ac:dyDescent="0.35">
      <c r="A201" t="s">
        <v>47</v>
      </c>
      <c r="B201">
        <v>3</v>
      </c>
      <c r="C201">
        <v>0</v>
      </c>
      <c r="D201">
        <v>468</v>
      </c>
      <c r="E201" s="3">
        <v>0.438</v>
      </c>
      <c r="F201" s="7">
        <v>2032992</v>
      </c>
      <c r="G201" s="3">
        <v>0.47482528214572411</v>
      </c>
      <c r="H201" s="7"/>
      <c r="I201" s="3"/>
      <c r="J201" s="3"/>
      <c r="K201" s="7"/>
    </row>
    <row r="202" spans="1:11" ht="14.5" x14ac:dyDescent="0.35">
      <c r="A202" t="s">
        <v>47</v>
      </c>
      <c r="B202">
        <v>2</v>
      </c>
      <c r="C202">
        <v>0</v>
      </c>
      <c r="D202">
        <v>473</v>
      </c>
      <c r="E202" s="3">
        <v>0.33799999999999997</v>
      </c>
      <c r="F202" s="7">
        <v>5633416</v>
      </c>
      <c r="G202" s="3">
        <v>0.33209778933421569</v>
      </c>
      <c r="H202" s="7"/>
      <c r="I202" s="3"/>
      <c r="J202" s="3"/>
      <c r="K202" s="7"/>
    </row>
    <row r="203" spans="1:11" ht="14.5" x14ac:dyDescent="0.35">
      <c r="A203" t="s">
        <v>47</v>
      </c>
      <c r="B203">
        <v>2</v>
      </c>
      <c r="C203">
        <v>0</v>
      </c>
      <c r="D203">
        <v>586</v>
      </c>
      <c r="E203" s="3">
        <v>0.41600000000000004</v>
      </c>
      <c r="F203" s="7">
        <v>8773153</v>
      </c>
      <c r="G203" s="3">
        <v>0.48248263765603999</v>
      </c>
      <c r="H203" s="7"/>
      <c r="I203" s="3"/>
      <c r="J203" s="3"/>
      <c r="K203" s="7"/>
    </row>
    <row r="204" spans="1:11" ht="14.5" x14ac:dyDescent="0.35">
      <c r="A204" t="s">
        <v>47</v>
      </c>
      <c r="B204">
        <v>3</v>
      </c>
      <c r="C204">
        <v>0</v>
      </c>
      <c r="D204">
        <v>666</v>
      </c>
      <c r="E204" s="3">
        <v>0.434</v>
      </c>
      <c r="F204" s="7">
        <v>3625546</v>
      </c>
      <c r="G204" s="3">
        <v>0.42090515469945766</v>
      </c>
      <c r="H204" s="7"/>
      <c r="I204" s="3"/>
      <c r="J204" s="3"/>
      <c r="K204" s="7"/>
    </row>
    <row r="205" spans="1:11" ht="14.5" x14ac:dyDescent="0.35">
      <c r="A205" t="s">
        <v>36</v>
      </c>
      <c r="B205">
        <v>2</v>
      </c>
      <c r="C205">
        <v>0</v>
      </c>
      <c r="D205">
        <v>234</v>
      </c>
      <c r="E205" s="3">
        <v>0.33299999999999996</v>
      </c>
      <c r="F205" s="7">
        <v>2229930</v>
      </c>
      <c r="G205" s="3">
        <v>0.4015767311081514</v>
      </c>
      <c r="H205" s="7"/>
      <c r="I205" s="3"/>
      <c r="J205" s="3"/>
      <c r="K205" s="7"/>
    </row>
    <row r="206" spans="1:11" ht="14.5" x14ac:dyDescent="0.35">
      <c r="A206" t="s">
        <v>47</v>
      </c>
      <c r="B206">
        <v>3</v>
      </c>
      <c r="C206">
        <v>0</v>
      </c>
      <c r="D206">
        <v>666</v>
      </c>
      <c r="E206" s="3">
        <v>0.36600000000000005</v>
      </c>
      <c r="F206" s="7">
        <v>2964916</v>
      </c>
      <c r="G206" s="3">
        <v>0.3972948980679385</v>
      </c>
      <c r="H206" s="7"/>
      <c r="I206" s="3"/>
      <c r="J206" s="3"/>
      <c r="K206" s="7"/>
    </row>
    <row r="207" spans="1:11" ht="14.5" x14ac:dyDescent="0.35">
      <c r="A207" t="s">
        <v>36</v>
      </c>
      <c r="B207">
        <v>1</v>
      </c>
      <c r="C207">
        <v>0</v>
      </c>
      <c r="D207">
        <v>438</v>
      </c>
      <c r="E207" s="3">
        <v>0.47299999999999998</v>
      </c>
      <c r="F207" s="7">
        <v>24823606</v>
      </c>
      <c r="G207" s="3">
        <v>0.36029112772737371</v>
      </c>
      <c r="H207" s="7"/>
      <c r="I207" s="3"/>
      <c r="J207" s="3"/>
      <c r="K207" s="7"/>
    </row>
    <row r="208" spans="1:11" ht="14.5" x14ac:dyDescent="0.35">
      <c r="A208" t="s">
        <v>47</v>
      </c>
      <c r="B208">
        <v>1</v>
      </c>
      <c r="C208">
        <v>0</v>
      </c>
      <c r="D208">
        <v>346</v>
      </c>
      <c r="E208" s="3">
        <v>0.46799999999999997</v>
      </c>
      <c r="F208" s="7">
        <v>12592594</v>
      </c>
      <c r="G208" s="3">
        <v>0.52133404761560642</v>
      </c>
      <c r="H208" s="7"/>
      <c r="I208" s="3"/>
      <c r="J208" s="3"/>
      <c r="K208" s="7"/>
    </row>
    <row r="209" spans="1:11" ht="14.5" x14ac:dyDescent="0.35">
      <c r="A209" t="s">
        <v>47</v>
      </c>
      <c r="B209">
        <v>3</v>
      </c>
      <c r="C209">
        <v>0</v>
      </c>
      <c r="D209">
        <v>495</v>
      </c>
      <c r="E209" s="3">
        <v>0.32299999999999995</v>
      </c>
      <c r="F209" s="7">
        <v>1181511</v>
      </c>
      <c r="G209" s="3">
        <v>0.39633147723550605</v>
      </c>
      <c r="H209" s="7"/>
      <c r="I209" s="3"/>
      <c r="J209" s="3"/>
      <c r="K209" s="7"/>
    </row>
    <row r="210" spans="1:11" ht="14.5" x14ac:dyDescent="0.35">
      <c r="A210" t="s">
        <v>36</v>
      </c>
      <c r="B210">
        <v>1</v>
      </c>
      <c r="C210">
        <v>0</v>
      </c>
      <c r="D210">
        <v>417</v>
      </c>
      <c r="E210" s="3">
        <v>0.4</v>
      </c>
      <c r="F210" s="7">
        <v>75327515</v>
      </c>
      <c r="G210" s="3">
        <v>0.21721518358862629</v>
      </c>
      <c r="H210" s="7"/>
      <c r="I210" s="3"/>
      <c r="J210" s="3"/>
      <c r="K210" s="7"/>
    </row>
    <row r="211" spans="1:11" ht="14.5" x14ac:dyDescent="0.35">
      <c r="A211" t="s">
        <v>36</v>
      </c>
      <c r="B211">
        <v>3</v>
      </c>
      <c r="C211">
        <v>0</v>
      </c>
      <c r="D211">
        <v>302</v>
      </c>
      <c r="E211" s="3">
        <v>0.318</v>
      </c>
      <c r="F211" s="7">
        <v>1395719</v>
      </c>
      <c r="G211" s="3">
        <v>0.36527911420565312</v>
      </c>
      <c r="H211" s="7"/>
      <c r="I211" s="3"/>
      <c r="J211" s="3"/>
      <c r="K211" s="7"/>
    </row>
    <row r="212" spans="1:11" ht="14.5" x14ac:dyDescent="0.35">
      <c r="A212" t="s">
        <v>47</v>
      </c>
      <c r="B212">
        <v>2</v>
      </c>
      <c r="C212">
        <v>0</v>
      </c>
      <c r="D212">
        <v>302</v>
      </c>
      <c r="E212" s="3">
        <v>0.32500000000000001</v>
      </c>
      <c r="F212" s="7">
        <v>2217242</v>
      </c>
      <c r="G212" s="3">
        <v>0.46431287157649009</v>
      </c>
      <c r="H212" s="7"/>
      <c r="I212" s="3"/>
      <c r="J212" s="3"/>
      <c r="K212" s="7"/>
    </row>
    <row r="213" spans="1:11" ht="14.5" x14ac:dyDescent="0.35">
      <c r="A213" t="s">
        <v>47</v>
      </c>
      <c r="B213">
        <v>1</v>
      </c>
      <c r="C213">
        <v>0</v>
      </c>
      <c r="D213">
        <v>1054</v>
      </c>
      <c r="E213" s="3">
        <v>0.45600000000000002</v>
      </c>
      <c r="F213" s="7">
        <v>20239048</v>
      </c>
      <c r="G213" s="3">
        <v>0.34926707026931308</v>
      </c>
      <c r="H213" s="7"/>
      <c r="I213" s="3"/>
      <c r="J213" s="3"/>
      <c r="K213" s="7"/>
    </row>
    <row r="214" spans="1:11" ht="14.5" x14ac:dyDescent="0.35">
      <c r="A214" t="s">
        <v>47</v>
      </c>
      <c r="B214">
        <v>3</v>
      </c>
      <c r="C214">
        <v>0</v>
      </c>
      <c r="D214">
        <v>330</v>
      </c>
      <c r="E214" s="3">
        <v>0.46700000000000003</v>
      </c>
      <c r="F214" s="7">
        <v>1110856</v>
      </c>
      <c r="G214" s="3">
        <v>0.45599249587705337</v>
      </c>
      <c r="H214" s="7"/>
      <c r="I214" s="3"/>
      <c r="J214" s="3"/>
      <c r="K214" s="7"/>
    </row>
    <row r="215" spans="1:11" ht="14.5" x14ac:dyDescent="0.35">
      <c r="A215" t="s">
        <v>36</v>
      </c>
      <c r="B215">
        <v>2</v>
      </c>
      <c r="C215">
        <v>0</v>
      </c>
      <c r="D215">
        <v>261</v>
      </c>
      <c r="E215" s="3">
        <v>0.375</v>
      </c>
      <c r="F215" s="7">
        <v>3214219</v>
      </c>
      <c r="G215" s="3">
        <v>0.46221212680280965</v>
      </c>
      <c r="H215" s="7"/>
      <c r="I215" s="3"/>
      <c r="J215" s="3"/>
      <c r="K215" s="7"/>
    </row>
    <row r="216" spans="1:11" ht="14.5" x14ac:dyDescent="0.35">
      <c r="A216" t="s">
        <v>36</v>
      </c>
      <c r="B216">
        <v>2</v>
      </c>
      <c r="C216">
        <v>0</v>
      </c>
      <c r="D216">
        <v>362</v>
      </c>
      <c r="E216" s="3">
        <v>0.28999999999999998</v>
      </c>
      <c r="F216" s="7">
        <v>2454844</v>
      </c>
      <c r="G216" s="3">
        <v>0.32116826975563417</v>
      </c>
      <c r="H216" s="7"/>
      <c r="I216" s="3"/>
      <c r="J216" s="3"/>
      <c r="K216" s="7"/>
    </row>
    <row r="217" spans="1:11" ht="14.5" x14ac:dyDescent="0.35">
      <c r="A217" t="s">
        <v>47</v>
      </c>
      <c r="B217">
        <v>3</v>
      </c>
      <c r="C217">
        <v>0</v>
      </c>
      <c r="D217">
        <v>172</v>
      </c>
      <c r="E217" s="3">
        <v>0.61</v>
      </c>
      <c r="F217" s="7">
        <v>540890</v>
      </c>
      <c r="G217" s="3">
        <v>0.57718020299876127</v>
      </c>
      <c r="H217" s="7"/>
      <c r="I217" s="3"/>
      <c r="J217" s="3"/>
      <c r="K217" s="7"/>
    </row>
    <row r="218" spans="1:11" ht="14.5" x14ac:dyDescent="0.35">
      <c r="A218" t="s">
        <v>36</v>
      </c>
      <c r="B218">
        <v>1</v>
      </c>
      <c r="C218">
        <v>0</v>
      </c>
      <c r="D218">
        <v>746</v>
      </c>
      <c r="E218" s="3">
        <v>0.5</v>
      </c>
      <c r="F218" s="7">
        <v>72360663</v>
      </c>
      <c r="G218" s="3">
        <v>0.27731983329119025</v>
      </c>
      <c r="H218" s="7"/>
      <c r="I218" s="3"/>
      <c r="J218" s="3"/>
      <c r="K218" s="7"/>
    </row>
    <row r="219" spans="1:11" ht="14.5" x14ac:dyDescent="0.35">
      <c r="A219" t="s">
        <v>47</v>
      </c>
      <c r="B219">
        <v>2</v>
      </c>
      <c r="C219">
        <v>0</v>
      </c>
      <c r="D219">
        <v>600</v>
      </c>
      <c r="E219" s="3">
        <v>0.36299999999999999</v>
      </c>
      <c r="F219" s="7">
        <v>12821935</v>
      </c>
      <c r="G219" s="3">
        <v>0.40737010443431509</v>
      </c>
      <c r="H219" s="7"/>
      <c r="I219" s="3"/>
      <c r="J219" s="3"/>
      <c r="K219" s="7"/>
    </row>
    <row r="220" spans="1:11" ht="14.5" x14ac:dyDescent="0.35">
      <c r="A220" t="s">
        <v>47</v>
      </c>
      <c r="B220">
        <v>3</v>
      </c>
      <c r="C220">
        <v>0</v>
      </c>
      <c r="D220">
        <v>400</v>
      </c>
      <c r="E220" s="3">
        <v>0.42299999999999999</v>
      </c>
      <c r="F220" s="7">
        <v>7023115</v>
      </c>
      <c r="G220" s="3">
        <v>0.44762943508685249</v>
      </c>
      <c r="H220" s="7"/>
      <c r="I220" s="3"/>
      <c r="J220" s="3"/>
      <c r="K220" s="7"/>
    </row>
    <row r="221" spans="1:11" ht="14.5" x14ac:dyDescent="0.35">
      <c r="A221" t="s">
        <v>36</v>
      </c>
      <c r="B221">
        <v>1</v>
      </c>
      <c r="C221">
        <v>0</v>
      </c>
      <c r="D221">
        <v>530</v>
      </c>
      <c r="E221" s="3">
        <v>0.45799999999999996</v>
      </c>
      <c r="F221" s="7">
        <v>9228360</v>
      </c>
      <c r="G221" s="3">
        <v>0.45260447143371085</v>
      </c>
      <c r="H221" s="7"/>
      <c r="I221" s="3"/>
      <c r="J221" s="3"/>
      <c r="K221" s="7"/>
    </row>
    <row r="222" spans="1:11" ht="14.5" x14ac:dyDescent="0.35">
      <c r="A222" t="s">
        <v>36</v>
      </c>
      <c r="B222">
        <v>3</v>
      </c>
      <c r="C222">
        <v>0</v>
      </c>
      <c r="D222">
        <v>402</v>
      </c>
      <c r="E222" s="3">
        <v>0.38799999999999996</v>
      </c>
      <c r="F222" s="7">
        <v>2446863</v>
      </c>
      <c r="G222" s="3">
        <v>0.487810719276069</v>
      </c>
      <c r="H222" s="7"/>
      <c r="I222" s="3"/>
      <c r="J222" s="3"/>
      <c r="K222" s="7"/>
    </row>
    <row r="223" spans="1:11" ht="14.5" x14ac:dyDescent="0.35">
      <c r="A223" t="s">
        <v>47</v>
      </c>
      <c r="B223">
        <v>1</v>
      </c>
      <c r="C223">
        <v>0</v>
      </c>
      <c r="D223">
        <v>812</v>
      </c>
      <c r="E223" s="3">
        <v>0.443</v>
      </c>
      <c r="F223" s="7">
        <v>32370943</v>
      </c>
      <c r="G223" s="3">
        <v>0.31041425021198793</v>
      </c>
      <c r="H223" s="7"/>
      <c r="I223" s="3"/>
      <c r="J223" s="3"/>
      <c r="K223" s="7"/>
    </row>
    <row r="224" spans="1:11" ht="14.5" x14ac:dyDescent="0.35">
      <c r="A224" t="s">
        <v>36</v>
      </c>
      <c r="B224">
        <v>1</v>
      </c>
      <c r="C224">
        <v>0</v>
      </c>
      <c r="D224">
        <v>440</v>
      </c>
      <c r="E224" s="3">
        <v>0.47700000000000004</v>
      </c>
      <c r="F224" s="7">
        <v>17224262</v>
      </c>
      <c r="G224" s="3">
        <v>0.32122630275828362</v>
      </c>
      <c r="H224" s="7"/>
      <c r="I224" s="3"/>
      <c r="J224" s="3"/>
      <c r="K224" s="7"/>
    </row>
    <row r="225" spans="1:11" ht="14.5" x14ac:dyDescent="0.35">
      <c r="A225" t="s">
        <v>47</v>
      </c>
      <c r="B225">
        <v>3</v>
      </c>
      <c r="C225">
        <v>0</v>
      </c>
      <c r="D225">
        <v>426</v>
      </c>
      <c r="E225" s="3">
        <v>0.312</v>
      </c>
      <c r="F225" s="7">
        <v>2071046</v>
      </c>
      <c r="G225" s="3">
        <v>0.3876688398036548</v>
      </c>
      <c r="H225" s="7"/>
      <c r="I225" s="3"/>
      <c r="J225" s="3"/>
      <c r="K225" s="7"/>
    </row>
    <row r="226" spans="1:11" ht="14.5" x14ac:dyDescent="0.35">
      <c r="A226" t="s">
        <v>47</v>
      </c>
      <c r="B226">
        <v>1</v>
      </c>
      <c r="C226">
        <v>0</v>
      </c>
      <c r="D226">
        <v>505</v>
      </c>
      <c r="E226" s="3">
        <v>0.42399999999999999</v>
      </c>
      <c r="F226" s="7">
        <v>12309192</v>
      </c>
      <c r="G226" s="3">
        <v>0.4216966475135005</v>
      </c>
      <c r="H226" s="7"/>
      <c r="I226" s="3"/>
      <c r="J226" s="3"/>
      <c r="K226" s="7"/>
    </row>
    <row r="227" spans="1:11" ht="14.5" x14ac:dyDescent="0.35">
      <c r="A227" t="s">
        <v>47</v>
      </c>
      <c r="B227">
        <v>3</v>
      </c>
      <c r="C227">
        <v>0</v>
      </c>
      <c r="D227">
        <v>491</v>
      </c>
      <c r="E227" s="3">
        <v>0.36499999999999999</v>
      </c>
      <c r="F227" s="7">
        <v>1544532</v>
      </c>
      <c r="G227" s="3">
        <v>0.40634056141277747</v>
      </c>
      <c r="H227" s="7"/>
      <c r="I227" s="3"/>
      <c r="J227" s="3"/>
      <c r="K227" s="7"/>
    </row>
    <row r="228" spans="1:11" ht="14.5" x14ac:dyDescent="0.35">
      <c r="A228" t="s">
        <v>36</v>
      </c>
      <c r="B228">
        <v>2</v>
      </c>
      <c r="C228">
        <v>0</v>
      </c>
      <c r="D228">
        <v>315</v>
      </c>
      <c r="E228" s="3">
        <v>0.38100000000000001</v>
      </c>
      <c r="F228" s="7">
        <v>2650043</v>
      </c>
      <c r="G228" s="3">
        <v>0.41841019183462308</v>
      </c>
      <c r="H228" s="7"/>
      <c r="I228" s="3"/>
      <c r="J228" s="3"/>
      <c r="K228" s="7"/>
    </row>
    <row r="229" spans="1:11" ht="14.5" x14ac:dyDescent="0.35">
      <c r="A229" t="s">
        <v>36</v>
      </c>
      <c r="B229">
        <v>2</v>
      </c>
      <c r="C229">
        <v>0</v>
      </c>
      <c r="D229">
        <v>357</v>
      </c>
      <c r="E229" s="3">
        <v>0.47600000000000003</v>
      </c>
      <c r="F229" s="7">
        <v>3780635</v>
      </c>
      <c r="G229" s="3">
        <v>0.48985395310576135</v>
      </c>
      <c r="H229" s="7"/>
      <c r="I229" s="3"/>
      <c r="J229" s="3"/>
      <c r="K229" s="7"/>
    </row>
    <row r="230" spans="1:11" ht="14.5" x14ac:dyDescent="0.35">
      <c r="A230" t="s">
        <v>47</v>
      </c>
      <c r="B230">
        <v>2</v>
      </c>
      <c r="C230">
        <v>0</v>
      </c>
      <c r="D230">
        <v>315</v>
      </c>
      <c r="E230" s="3">
        <v>0.42499999999999999</v>
      </c>
      <c r="F230" s="7">
        <v>4124481</v>
      </c>
      <c r="G230" s="3">
        <v>0.50657500907386888</v>
      </c>
      <c r="H230" s="7"/>
      <c r="I230" s="3"/>
      <c r="J230" s="3"/>
      <c r="K230" s="7"/>
    </row>
    <row r="231" spans="1:11" ht="14.5" x14ac:dyDescent="0.35">
      <c r="A231" t="s">
        <v>36</v>
      </c>
      <c r="B231">
        <v>2</v>
      </c>
      <c r="C231">
        <v>0</v>
      </c>
      <c r="D231">
        <v>537</v>
      </c>
      <c r="E231" s="3">
        <v>0.35000000000000003</v>
      </c>
      <c r="F231" s="7">
        <v>4228466</v>
      </c>
      <c r="G231" s="3">
        <v>0.34631518853409249</v>
      </c>
      <c r="H231" s="7"/>
      <c r="I231" s="3"/>
      <c r="J231" s="3"/>
      <c r="K231" s="7"/>
    </row>
    <row r="232" spans="1:11" ht="14.5" x14ac:dyDescent="0.35">
      <c r="A232" t="s">
        <v>47</v>
      </c>
      <c r="B232">
        <v>3</v>
      </c>
      <c r="C232">
        <v>0</v>
      </c>
      <c r="D232">
        <v>263</v>
      </c>
      <c r="E232" s="3">
        <v>0.47500000000000003</v>
      </c>
      <c r="F232" s="7">
        <v>1156375</v>
      </c>
      <c r="G232" s="3">
        <v>0.48834417900767485</v>
      </c>
      <c r="H232" s="7"/>
      <c r="I232" s="3"/>
      <c r="J232" s="3"/>
      <c r="K232" s="7"/>
    </row>
    <row r="233" spans="1:11" ht="14.5" x14ac:dyDescent="0.35">
      <c r="A233" t="s">
        <v>47</v>
      </c>
      <c r="B233">
        <v>3</v>
      </c>
      <c r="C233">
        <v>0</v>
      </c>
      <c r="D233">
        <v>604</v>
      </c>
      <c r="E233" s="3">
        <v>0.29499999999999998</v>
      </c>
      <c r="F233" s="7">
        <v>2300088</v>
      </c>
      <c r="G233" s="3">
        <v>0.32189072765911564</v>
      </c>
      <c r="H233" s="7"/>
      <c r="I233" s="3"/>
      <c r="J233" s="3"/>
      <c r="K233" s="7"/>
    </row>
    <row r="234" spans="1:11" ht="14.5" x14ac:dyDescent="0.35">
      <c r="A234" t="s">
        <v>47</v>
      </c>
      <c r="B234">
        <v>3</v>
      </c>
      <c r="C234">
        <v>0</v>
      </c>
      <c r="D234">
        <v>378</v>
      </c>
      <c r="E234" s="3">
        <v>0.35200000000000004</v>
      </c>
      <c r="F234" s="7">
        <v>2061097</v>
      </c>
      <c r="G234" s="3">
        <v>0.3883815269247396</v>
      </c>
      <c r="H234" s="7"/>
      <c r="I234" s="3"/>
      <c r="J234" s="3"/>
      <c r="K234" s="7"/>
    </row>
    <row r="235" spans="1:11" ht="14.5" x14ac:dyDescent="0.35">
      <c r="A235" t="s">
        <v>47</v>
      </c>
      <c r="B235">
        <v>1</v>
      </c>
      <c r="C235">
        <v>0</v>
      </c>
      <c r="D235">
        <v>893</v>
      </c>
      <c r="E235" s="3">
        <v>0.498</v>
      </c>
      <c r="F235" s="7">
        <v>15554195</v>
      </c>
      <c r="G235" s="3">
        <v>0.41091075430133156</v>
      </c>
      <c r="H235" s="7"/>
      <c r="I235" s="3"/>
      <c r="J235" s="3"/>
      <c r="K235" s="7"/>
    </row>
    <row r="236" spans="1:11" ht="14.5" x14ac:dyDescent="0.35">
      <c r="A236" t="s">
        <v>36</v>
      </c>
      <c r="B236">
        <v>3</v>
      </c>
      <c r="C236">
        <v>0</v>
      </c>
      <c r="D236">
        <v>187</v>
      </c>
      <c r="E236" s="3">
        <v>0.42200000000000004</v>
      </c>
      <c r="F236" s="7">
        <v>386924</v>
      </c>
      <c r="G236" s="3">
        <v>0.52063195873091361</v>
      </c>
      <c r="H236" s="7"/>
      <c r="I236" s="3"/>
      <c r="J236" s="3"/>
      <c r="K236" s="7"/>
    </row>
    <row r="237" spans="1:11" ht="14.5" x14ac:dyDescent="0.35">
      <c r="A237" t="s">
        <v>36</v>
      </c>
      <c r="B237">
        <v>1</v>
      </c>
      <c r="C237">
        <v>0</v>
      </c>
      <c r="D237">
        <v>362</v>
      </c>
      <c r="E237" s="3">
        <v>0.49399999999999999</v>
      </c>
      <c r="F237" s="7">
        <v>6538733</v>
      </c>
      <c r="G237" s="3">
        <v>0.50304913811284235</v>
      </c>
      <c r="H237" s="7"/>
      <c r="I237" s="3"/>
      <c r="J237" s="3"/>
      <c r="K237" s="7"/>
    </row>
    <row r="238" spans="1:11" ht="14.5" x14ac:dyDescent="0.35">
      <c r="A238" t="s">
        <v>36</v>
      </c>
      <c r="B238">
        <v>1</v>
      </c>
      <c r="C238">
        <v>0</v>
      </c>
      <c r="D238">
        <v>516</v>
      </c>
      <c r="E238" s="3">
        <v>0.51200000000000001</v>
      </c>
      <c r="F238" s="7">
        <v>66825920</v>
      </c>
      <c r="G238" s="3">
        <v>0.2592074602190288</v>
      </c>
      <c r="H238" s="7"/>
      <c r="I238" s="3"/>
      <c r="J238" s="3"/>
      <c r="K238" s="7"/>
    </row>
    <row r="239" spans="1:11" ht="14.5" x14ac:dyDescent="0.35">
      <c r="A239" t="s">
        <v>36</v>
      </c>
      <c r="B239">
        <v>2</v>
      </c>
      <c r="C239">
        <v>0</v>
      </c>
      <c r="D239">
        <v>202</v>
      </c>
      <c r="E239" s="3">
        <v>0.54</v>
      </c>
      <c r="F239" s="7">
        <v>2859710</v>
      </c>
      <c r="G239" s="3">
        <v>0.46435687534750025</v>
      </c>
      <c r="H239" s="7"/>
      <c r="I239" s="3"/>
      <c r="J239" s="3"/>
      <c r="K239" s="7"/>
    </row>
    <row r="240" spans="1:11" ht="14.5" x14ac:dyDescent="0.35">
      <c r="A240" t="s">
        <v>47</v>
      </c>
      <c r="B240">
        <v>3</v>
      </c>
      <c r="C240">
        <v>0</v>
      </c>
      <c r="D240">
        <v>440</v>
      </c>
      <c r="E240" s="3">
        <v>0.32299999999999995</v>
      </c>
      <c r="F240" s="7">
        <v>1742021</v>
      </c>
      <c r="G240" s="3">
        <v>0.34811176214293627</v>
      </c>
      <c r="H240" s="7"/>
      <c r="I240" s="3"/>
      <c r="J240" s="3"/>
      <c r="K240" s="7"/>
    </row>
    <row r="241" spans="1:11" ht="14.5" x14ac:dyDescent="0.35">
      <c r="A241" t="s">
        <v>47</v>
      </c>
      <c r="B241">
        <v>1</v>
      </c>
      <c r="C241">
        <v>0</v>
      </c>
      <c r="D241">
        <v>374</v>
      </c>
      <c r="E241" s="3">
        <v>0.47299999999999998</v>
      </c>
      <c r="F241" s="7">
        <v>10022180</v>
      </c>
      <c r="G241" s="3">
        <v>0.44719402365553201</v>
      </c>
      <c r="H241" s="7"/>
      <c r="I241" s="3"/>
      <c r="J241" s="3"/>
      <c r="K241" s="7"/>
    </row>
    <row r="242" spans="1:11" ht="14.5" x14ac:dyDescent="0.35">
      <c r="A242" t="s">
        <v>36</v>
      </c>
      <c r="B242">
        <v>1</v>
      </c>
      <c r="C242">
        <v>0</v>
      </c>
      <c r="D242">
        <v>693</v>
      </c>
      <c r="E242" s="3">
        <v>0.44200000000000006</v>
      </c>
      <c r="F242" s="7">
        <v>31275909</v>
      </c>
      <c r="G242" s="3">
        <v>0.33440521265105355</v>
      </c>
      <c r="H242" s="7"/>
      <c r="I242" s="3"/>
      <c r="J242" s="3"/>
      <c r="K242" s="7"/>
    </row>
    <row r="243" spans="1:11" ht="14.5" x14ac:dyDescent="0.35">
      <c r="A243" t="s">
        <v>36</v>
      </c>
      <c r="B243">
        <v>1</v>
      </c>
      <c r="C243">
        <v>0</v>
      </c>
      <c r="D243">
        <v>462</v>
      </c>
      <c r="E243" s="3">
        <v>0.41600000000000004</v>
      </c>
      <c r="F243" s="7">
        <v>17573649</v>
      </c>
      <c r="G243" s="3">
        <v>0.30519273487253556</v>
      </c>
      <c r="H243" s="7"/>
      <c r="I243" s="3"/>
      <c r="J243" s="3"/>
      <c r="K243" s="7"/>
    </row>
    <row r="244" spans="1:11" ht="14.5" x14ac:dyDescent="0.35">
      <c r="A244" t="s">
        <v>36</v>
      </c>
      <c r="B244">
        <v>1</v>
      </c>
      <c r="C244">
        <v>0</v>
      </c>
      <c r="D244">
        <v>527</v>
      </c>
      <c r="E244" s="3">
        <v>0.501</v>
      </c>
      <c r="F244" s="7">
        <v>20017623</v>
      </c>
      <c r="G244" s="3">
        <v>0.36856678737530424</v>
      </c>
      <c r="H244" s="7"/>
      <c r="I244" s="3"/>
      <c r="J244" s="3"/>
      <c r="K244" s="7"/>
    </row>
    <row r="245" spans="1:11" ht="14.5" x14ac:dyDescent="0.35">
      <c r="A245" t="s">
        <v>36</v>
      </c>
      <c r="B245">
        <v>1</v>
      </c>
      <c r="C245">
        <v>0</v>
      </c>
      <c r="D245">
        <v>367</v>
      </c>
      <c r="E245" s="3">
        <v>0.44400000000000001</v>
      </c>
      <c r="F245" s="7">
        <v>8001913</v>
      </c>
      <c r="G245" s="3">
        <v>0.33499089530216086</v>
      </c>
      <c r="H245" s="7"/>
      <c r="I245" s="3"/>
      <c r="J245" s="3"/>
      <c r="K245" s="7"/>
    </row>
    <row r="246" spans="1:11" ht="14.5" x14ac:dyDescent="0.35">
      <c r="A246" t="s">
        <v>47</v>
      </c>
      <c r="B246">
        <v>1</v>
      </c>
      <c r="C246">
        <v>0</v>
      </c>
      <c r="D246">
        <v>311</v>
      </c>
      <c r="E246" s="3">
        <v>0.53400000000000003</v>
      </c>
      <c r="F246" s="7">
        <v>17736798</v>
      </c>
      <c r="G246" s="3">
        <v>0.46510136722535828</v>
      </c>
      <c r="H246" s="7"/>
      <c r="I246" s="3"/>
      <c r="J246" s="3"/>
      <c r="K246" s="7"/>
    </row>
    <row r="247" spans="1:11" ht="14.5" x14ac:dyDescent="0.35">
      <c r="A247" t="s">
        <v>36</v>
      </c>
      <c r="B247">
        <v>2</v>
      </c>
      <c r="C247">
        <v>0</v>
      </c>
      <c r="D247">
        <v>387</v>
      </c>
      <c r="E247" s="3">
        <v>0.47000000000000003</v>
      </c>
      <c r="F247" s="7">
        <v>3989583</v>
      </c>
      <c r="G247" s="3">
        <v>0.48571066199149132</v>
      </c>
      <c r="H247" s="7"/>
      <c r="I247" s="3"/>
      <c r="J247" s="3"/>
      <c r="K247" s="7"/>
    </row>
    <row r="248" spans="1:11" ht="14.5" x14ac:dyDescent="0.35">
      <c r="A248" t="s">
        <v>47</v>
      </c>
      <c r="B248">
        <v>3</v>
      </c>
      <c r="C248">
        <v>0</v>
      </c>
      <c r="D248">
        <v>358</v>
      </c>
      <c r="E248" s="3">
        <v>0.49700000000000005</v>
      </c>
      <c r="F248" s="7">
        <v>2167626</v>
      </c>
      <c r="G248" s="3">
        <v>0.54874780058921602</v>
      </c>
      <c r="H248" s="7"/>
      <c r="I248" s="3"/>
      <c r="J248" s="3"/>
      <c r="K248" s="7"/>
    </row>
    <row r="249" spans="1:11" ht="14.5" x14ac:dyDescent="0.35">
      <c r="A249" t="s">
        <v>47</v>
      </c>
      <c r="B249">
        <v>1</v>
      </c>
      <c r="C249">
        <v>0</v>
      </c>
      <c r="D249">
        <v>913</v>
      </c>
      <c r="E249" s="3">
        <v>0.50700000000000001</v>
      </c>
      <c r="F249" s="7">
        <v>25438043</v>
      </c>
      <c r="G249" s="3">
        <v>0.48685679161718531</v>
      </c>
      <c r="H249" s="7"/>
      <c r="I249" s="3"/>
      <c r="J249" s="3"/>
      <c r="K249" s="7"/>
    </row>
    <row r="250" spans="1:11" ht="14.5" x14ac:dyDescent="0.35">
      <c r="A250" t="s">
        <v>36</v>
      </c>
      <c r="B250">
        <v>2</v>
      </c>
      <c r="C250">
        <v>0</v>
      </c>
      <c r="D250">
        <v>355</v>
      </c>
      <c r="E250" s="3">
        <v>0.45100000000000001</v>
      </c>
      <c r="F250" s="7">
        <v>4906487</v>
      </c>
      <c r="G250" s="3">
        <v>0.42838246590686985</v>
      </c>
      <c r="H250" s="7"/>
      <c r="I250" s="3"/>
      <c r="J250" s="3"/>
      <c r="K250" s="7"/>
    </row>
    <row r="251" spans="1:11" ht="14.5" x14ac:dyDescent="0.35">
      <c r="A251" t="s">
        <v>36</v>
      </c>
      <c r="B251">
        <v>2</v>
      </c>
      <c r="C251">
        <v>0</v>
      </c>
      <c r="D251">
        <v>310</v>
      </c>
      <c r="E251" s="3">
        <v>0.52900000000000003</v>
      </c>
      <c r="F251" s="7">
        <v>4213436</v>
      </c>
      <c r="G251" s="3">
        <v>0.46319440950331275</v>
      </c>
      <c r="H251" s="7"/>
      <c r="I251" s="3"/>
      <c r="J251" s="3"/>
      <c r="K251" s="7"/>
    </row>
    <row r="252" spans="1:11" ht="14.5" x14ac:dyDescent="0.35">
      <c r="E252" s="3"/>
    </row>
    <row r="253" spans="1:11" ht="14.5" x14ac:dyDescent="0.35">
      <c r="E253" s="3"/>
    </row>
    <row r="254" spans="1:11" ht="14.5" x14ac:dyDescent="0.35">
      <c r="E254" s="3"/>
    </row>
    <row r="255" spans="1:11" ht="14.5" x14ac:dyDescent="0.35">
      <c r="E255" s="3"/>
    </row>
    <row r="256" spans="1:11" ht="14.5" x14ac:dyDescent="0.35">
      <c r="E256" s="3"/>
    </row>
    <row r="257" spans="5:5" ht="14.5" x14ac:dyDescent="0.35">
      <c r="E257" s="3"/>
    </row>
    <row r="258" spans="5:5" ht="14.5" x14ac:dyDescent="0.35">
      <c r="E258" s="3"/>
    </row>
    <row r="259" spans="5:5" ht="14.5" x14ac:dyDescent="0.35">
      <c r="E259" s="3"/>
    </row>
    <row r="260" spans="5:5" ht="14.5" x14ac:dyDescent="0.35">
      <c r="E260" s="3"/>
    </row>
    <row r="261" spans="5:5" ht="14.5" x14ac:dyDescent="0.35">
      <c r="E261" s="3"/>
    </row>
    <row r="262" spans="5:5" ht="14.5" x14ac:dyDescent="0.35">
      <c r="E262" s="3"/>
    </row>
    <row r="263" spans="5:5" ht="14.5" x14ac:dyDescent="0.35">
      <c r="E263" s="3"/>
    </row>
    <row r="264" spans="5:5" ht="14.5" x14ac:dyDescent="0.35">
      <c r="E264" s="3"/>
    </row>
    <row r="265" spans="5:5" ht="14.5" x14ac:dyDescent="0.35">
      <c r="E265" s="3"/>
    </row>
    <row r="266" spans="5:5" ht="14.5" x14ac:dyDescent="0.35">
      <c r="E266" s="3"/>
    </row>
    <row r="267" spans="5:5" ht="14.5" x14ac:dyDescent="0.35">
      <c r="E267" s="3"/>
    </row>
    <row r="268" spans="5:5" ht="14.5" x14ac:dyDescent="0.35">
      <c r="E268" s="3"/>
    </row>
    <row r="269" spans="5:5" ht="14.5" x14ac:dyDescent="0.35">
      <c r="E269" s="3"/>
    </row>
    <row r="270" spans="5:5" ht="14.5" x14ac:dyDescent="0.35">
      <c r="E270" s="3"/>
    </row>
    <row r="271" spans="5:5" ht="14.5" x14ac:dyDescent="0.35">
      <c r="E271" s="3"/>
    </row>
    <row r="272" spans="5:5" ht="14.5" x14ac:dyDescent="0.35">
      <c r="E272" s="3"/>
    </row>
    <row r="273" spans="5:5" ht="14.5" x14ac:dyDescent="0.35">
      <c r="E273" s="3"/>
    </row>
    <row r="274" spans="5:5" ht="14.5" x14ac:dyDescent="0.35">
      <c r="E274" s="3"/>
    </row>
    <row r="275" spans="5:5" ht="14.5" x14ac:dyDescent="0.35">
      <c r="E275" s="3"/>
    </row>
    <row r="276" spans="5:5" ht="14.5" x14ac:dyDescent="0.35">
      <c r="E276" s="3"/>
    </row>
    <row r="277" spans="5:5" ht="14.5" x14ac:dyDescent="0.35">
      <c r="E277" s="3"/>
    </row>
    <row r="278" spans="5:5" ht="14.5" x14ac:dyDescent="0.35">
      <c r="E278" s="3"/>
    </row>
    <row r="279" spans="5:5" ht="14.5" x14ac:dyDescent="0.35">
      <c r="E279" s="3"/>
    </row>
    <row r="280" spans="5:5" ht="14.5" x14ac:dyDescent="0.35">
      <c r="E280" s="3"/>
    </row>
    <row r="281" spans="5:5" ht="14.5" x14ac:dyDescent="0.35">
      <c r="E281" s="3"/>
    </row>
    <row r="282" spans="5:5" ht="14.5" x14ac:dyDescent="0.35">
      <c r="E282" s="3"/>
    </row>
    <row r="283" spans="5:5" ht="14.5" x14ac:dyDescent="0.35">
      <c r="E283" s="3"/>
    </row>
    <row r="284" spans="5:5" ht="14.5" x14ac:dyDescent="0.35">
      <c r="E284" s="3"/>
    </row>
    <row r="285" spans="5:5" ht="14.5" x14ac:dyDescent="0.35">
      <c r="E285" s="3"/>
    </row>
    <row r="286" spans="5:5" ht="14.5" x14ac:dyDescent="0.35">
      <c r="E286" s="3"/>
    </row>
    <row r="287" spans="5:5" ht="14.5" x14ac:dyDescent="0.35">
      <c r="E287" s="3"/>
    </row>
    <row r="288" spans="5:5" ht="14.5" x14ac:dyDescent="0.35">
      <c r="E288" s="3"/>
    </row>
    <row r="289" spans="5:5" ht="14.5" x14ac:dyDescent="0.35">
      <c r="E289" s="3"/>
    </row>
    <row r="290" spans="5:5" ht="14.5" x14ac:dyDescent="0.35">
      <c r="E290" s="3"/>
    </row>
    <row r="291" spans="5:5" ht="14.5" x14ac:dyDescent="0.35">
      <c r="E291" s="3"/>
    </row>
    <row r="292" spans="5:5" ht="14.5" x14ac:dyDescent="0.35">
      <c r="E292" s="3"/>
    </row>
    <row r="293" spans="5:5" ht="14.5" x14ac:dyDescent="0.35">
      <c r="E293" s="3"/>
    </row>
    <row r="294" spans="5:5" ht="14.5" x14ac:dyDescent="0.35">
      <c r="E294" s="3"/>
    </row>
    <row r="295" spans="5:5" ht="14.5" x14ac:dyDescent="0.35">
      <c r="E295" s="3"/>
    </row>
    <row r="296" spans="5:5" ht="14.5" x14ac:dyDescent="0.35">
      <c r="E296" s="3"/>
    </row>
    <row r="297" spans="5:5" ht="14.5" x14ac:dyDescent="0.35">
      <c r="E297" s="3"/>
    </row>
    <row r="298" spans="5:5" ht="14.5" x14ac:dyDescent="0.35">
      <c r="E298" s="3"/>
    </row>
    <row r="299" spans="5:5" ht="14.5" x14ac:dyDescent="0.35">
      <c r="E299" s="3"/>
    </row>
    <row r="300" spans="5:5" ht="14.5" x14ac:dyDescent="0.35">
      <c r="E300" s="3"/>
    </row>
    <row r="301" spans="5:5" ht="14.5" x14ac:dyDescent="0.35">
      <c r="E301" s="3"/>
    </row>
    <row r="302" spans="5:5" ht="14.5" x14ac:dyDescent="0.35">
      <c r="E302" s="3"/>
    </row>
    <row r="303" spans="5:5" ht="14.5" x14ac:dyDescent="0.35">
      <c r="E303" s="3"/>
    </row>
    <row r="304" spans="5:5" ht="14.5" x14ac:dyDescent="0.35">
      <c r="E304" s="3"/>
    </row>
    <row r="305" spans="5:5" ht="14.5" x14ac:dyDescent="0.35">
      <c r="E305" s="3"/>
    </row>
    <row r="306" spans="5:5" ht="14.5" x14ac:dyDescent="0.35">
      <c r="E306" s="3"/>
    </row>
    <row r="307" spans="5:5" ht="14.5" x14ac:dyDescent="0.35">
      <c r="E307" s="3"/>
    </row>
    <row r="308" spans="5:5" ht="14.5" x14ac:dyDescent="0.35">
      <c r="E308" s="3"/>
    </row>
    <row r="309" spans="5:5" ht="14.5" x14ac:dyDescent="0.35">
      <c r="E309" s="3"/>
    </row>
    <row r="310" spans="5:5" ht="14.5" x14ac:dyDescent="0.35">
      <c r="E310" s="3"/>
    </row>
    <row r="311" spans="5:5" ht="14.5" x14ac:dyDescent="0.35">
      <c r="E311" s="3"/>
    </row>
    <row r="312" spans="5:5" ht="14.5" x14ac:dyDescent="0.35">
      <c r="E312" s="3"/>
    </row>
    <row r="313" spans="5:5" ht="14.5" x14ac:dyDescent="0.35">
      <c r="E313" s="3"/>
    </row>
    <row r="314" spans="5:5" ht="14.5" x14ac:dyDescent="0.35">
      <c r="E314" s="3"/>
    </row>
    <row r="315" spans="5:5" ht="14.5" x14ac:dyDescent="0.35">
      <c r="E315" s="3"/>
    </row>
    <row r="316" spans="5:5" ht="14.5" x14ac:dyDescent="0.35">
      <c r="E316" s="3"/>
    </row>
    <row r="317" spans="5:5" ht="14.5" x14ac:dyDescent="0.35">
      <c r="E317" s="3"/>
    </row>
    <row r="318" spans="5:5" ht="14.5" x14ac:dyDescent="0.35">
      <c r="E318" s="3"/>
    </row>
    <row r="319" spans="5:5" ht="14.5" x14ac:dyDescent="0.35">
      <c r="E319" s="3"/>
    </row>
    <row r="320" spans="5:5" ht="14.5" x14ac:dyDescent="0.35">
      <c r="E320" s="3"/>
    </row>
    <row r="321" spans="5:5" ht="14.5" x14ac:dyDescent="0.35">
      <c r="E321" s="3"/>
    </row>
    <row r="322" spans="5:5" ht="14.5" x14ac:dyDescent="0.35">
      <c r="E322" s="3"/>
    </row>
    <row r="323" spans="5:5" ht="14.5" x14ac:dyDescent="0.35">
      <c r="E323" s="3"/>
    </row>
    <row r="324" spans="5:5" ht="14.5" x14ac:dyDescent="0.35">
      <c r="E324" s="3"/>
    </row>
    <row r="325" spans="5:5" ht="14.5" x14ac:dyDescent="0.35">
      <c r="E325" s="3"/>
    </row>
    <row r="326" spans="5:5" ht="14.5" x14ac:dyDescent="0.35">
      <c r="E326" s="3"/>
    </row>
    <row r="327" spans="5:5" ht="14.5" x14ac:dyDescent="0.35">
      <c r="E327" s="3"/>
    </row>
    <row r="328" spans="5:5" ht="14.5" x14ac:dyDescent="0.35">
      <c r="E328" s="3"/>
    </row>
    <row r="329" spans="5:5" ht="14.5" x14ac:dyDescent="0.35">
      <c r="E329" s="3"/>
    </row>
    <row r="330" spans="5:5" ht="14.5" x14ac:dyDescent="0.35">
      <c r="E330" s="3"/>
    </row>
    <row r="331" spans="5:5" ht="14.5" x14ac:dyDescent="0.35">
      <c r="E331" s="3"/>
    </row>
    <row r="332" spans="5:5" ht="14.5" x14ac:dyDescent="0.35">
      <c r="E332" s="3"/>
    </row>
    <row r="333" spans="5:5" ht="14.5" x14ac:dyDescent="0.35">
      <c r="E333" s="3"/>
    </row>
    <row r="334" spans="5:5" ht="14.5" x14ac:dyDescent="0.35">
      <c r="E334" s="3"/>
    </row>
    <row r="335" spans="5:5" ht="14.5" x14ac:dyDescent="0.35">
      <c r="E335" s="3"/>
    </row>
    <row r="336" spans="5:5" ht="14.5" x14ac:dyDescent="0.35">
      <c r="E336" s="3"/>
    </row>
    <row r="337" spans="5:5" ht="14.5" x14ac:dyDescent="0.35">
      <c r="E337" s="3"/>
    </row>
    <row r="338" spans="5:5" ht="14.5" x14ac:dyDescent="0.35">
      <c r="E338" s="3"/>
    </row>
    <row r="339" spans="5:5" ht="14.5" x14ac:dyDescent="0.35">
      <c r="E339" s="3"/>
    </row>
    <row r="340" spans="5:5" ht="14.5" x14ac:dyDescent="0.35">
      <c r="E340" s="3"/>
    </row>
    <row r="341" spans="5:5" ht="14.5" x14ac:dyDescent="0.35">
      <c r="E341" s="3"/>
    </row>
    <row r="342" spans="5:5" ht="14.5" x14ac:dyDescent="0.35">
      <c r="E342" s="3"/>
    </row>
    <row r="343" spans="5:5" ht="14.5" x14ac:dyDescent="0.35">
      <c r="E343" s="3"/>
    </row>
    <row r="344" spans="5:5" ht="14.5" x14ac:dyDescent="0.35">
      <c r="E344" s="3"/>
    </row>
    <row r="345" spans="5:5" ht="14.5" x14ac:dyDescent="0.35">
      <c r="E345" s="3"/>
    </row>
    <row r="346" spans="5:5" ht="14.5" x14ac:dyDescent="0.35">
      <c r="E346" s="3"/>
    </row>
    <row r="347" spans="5:5" ht="14.5" x14ac:dyDescent="0.35">
      <c r="E347" s="3"/>
    </row>
    <row r="348" spans="5:5" ht="14.5" x14ac:dyDescent="0.35">
      <c r="E348" s="3"/>
    </row>
    <row r="349" spans="5:5" ht="14.5" x14ac:dyDescent="0.35">
      <c r="E349" s="3"/>
    </row>
    <row r="350" spans="5:5" ht="14.5" x14ac:dyDescent="0.35">
      <c r="E350" s="3"/>
    </row>
    <row r="351" spans="5:5" ht="14.5" x14ac:dyDescent="0.35">
      <c r="E351" s="3"/>
    </row>
    <row r="352" spans="5:5" ht="14.5" x14ac:dyDescent="0.35">
      <c r="E352" s="3"/>
    </row>
    <row r="353" spans="5:5" ht="14.5" x14ac:dyDescent="0.35">
      <c r="E353" s="3"/>
    </row>
    <row r="354" spans="5:5" ht="14.5" x14ac:dyDescent="0.35">
      <c r="E354" s="3"/>
    </row>
    <row r="355" spans="5:5" ht="14.5" x14ac:dyDescent="0.35">
      <c r="E355" s="3"/>
    </row>
    <row r="356" spans="5:5" ht="14.5" x14ac:dyDescent="0.35">
      <c r="E356" s="3"/>
    </row>
    <row r="357" spans="5:5" ht="14.5" x14ac:dyDescent="0.35">
      <c r="E357" s="3"/>
    </row>
    <row r="358" spans="5:5" ht="14.5" x14ac:dyDescent="0.35">
      <c r="E358" s="3"/>
    </row>
    <row r="359" spans="5:5" ht="14.5" x14ac:dyDescent="0.35">
      <c r="E359" s="3"/>
    </row>
    <row r="360" spans="5:5" ht="14.5" x14ac:dyDescent="0.35">
      <c r="E360" s="3"/>
    </row>
    <row r="361" spans="5:5" ht="14.5" x14ac:dyDescent="0.35">
      <c r="E361" s="3"/>
    </row>
    <row r="362" spans="5:5" ht="14.5" x14ac:dyDescent="0.35">
      <c r="E362" s="3"/>
    </row>
    <row r="363" spans="5:5" ht="14.5" x14ac:dyDescent="0.35">
      <c r="E363" s="3"/>
    </row>
    <row r="364" spans="5:5" ht="14.5" x14ac:dyDescent="0.35">
      <c r="E364" s="3"/>
    </row>
    <row r="365" spans="5:5" ht="14.5" x14ac:dyDescent="0.35">
      <c r="E365" s="3"/>
    </row>
    <row r="366" spans="5:5" ht="14.5" x14ac:dyDescent="0.35">
      <c r="E366" s="3"/>
    </row>
    <row r="367" spans="5:5" ht="14.5" x14ac:dyDescent="0.35">
      <c r="E367" s="3"/>
    </row>
    <row r="368" spans="5:5" ht="14.5" x14ac:dyDescent="0.35">
      <c r="E368" s="3"/>
    </row>
    <row r="369" spans="5:5" ht="14.5" x14ac:dyDescent="0.35">
      <c r="E369" s="3"/>
    </row>
    <row r="370" spans="5:5" ht="14.5" x14ac:dyDescent="0.35">
      <c r="E370" s="3"/>
    </row>
    <row r="371" spans="5:5" ht="14.5" x14ac:dyDescent="0.35">
      <c r="E371" s="3"/>
    </row>
    <row r="372" spans="5:5" ht="14.5" x14ac:dyDescent="0.35">
      <c r="E372" s="3"/>
    </row>
    <row r="373" spans="5:5" ht="14.5" x14ac:dyDescent="0.35">
      <c r="E373" s="3"/>
    </row>
    <row r="374" spans="5:5" ht="14.5" x14ac:dyDescent="0.35">
      <c r="E374" s="3"/>
    </row>
    <row r="375" spans="5:5" ht="14.5" x14ac:dyDescent="0.35">
      <c r="E375" s="3"/>
    </row>
    <row r="376" spans="5:5" ht="14.5" x14ac:dyDescent="0.35">
      <c r="E376" s="3"/>
    </row>
    <row r="377" spans="5:5" ht="14.5" x14ac:dyDescent="0.35">
      <c r="E377" s="3"/>
    </row>
    <row r="378" spans="5:5" ht="14.5" x14ac:dyDescent="0.35">
      <c r="E378" s="3"/>
    </row>
    <row r="379" spans="5:5" ht="14.5" x14ac:dyDescent="0.35">
      <c r="E379" s="3"/>
    </row>
    <row r="380" spans="5:5" ht="14.5" x14ac:dyDescent="0.35">
      <c r="E380" s="3"/>
    </row>
    <row r="381" spans="5:5" ht="14.5" x14ac:dyDescent="0.35">
      <c r="E381" s="3"/>
    </row>
    <row r="382" spans="5:5" ht="14.5" x14ac:dyDescent="0.35">
      <c r="E382" s="3"/>
    </row>
    <row r="383" spans="5:5" ht="14.5" x14ac:dyDescent="0.35">
      <c r="E383" s="3"/>
    </row>
    <row r="384" spans="5:5" ht="14.5" x14ac:dyDescent="0.35">
      <c r="E384" s="3"/>
    </row>
    <row r="385" spans="5:5" ht="14.5" x14ac:dyDescent="0.35">
      <c r="E385" s="3"/>
    </row>
    <row r="386" spans="5:5" ht="14.5" x14ac:dyDescent="0.35">
      <c r="E386" s="3"/>
    </row>
    <row r="387" spans="5:5" ht="14.5" x14ac:dyDescent="0.35">
      <c r="E387" s="3"/>
    </row>
    <row r="388" spans="5:5" ht="14.5" x14ac:dyDescent="0.35">
      <c r="E388" s="3"/>
    </row>
    <row r="389" spans="5:5" ht="14.5" x14ac:dyDescent="0.35">
      <c r="E389" s="3"/>
    </row>
    <row r="390" spans="5:5" ht="14.5" x14ac:dyDescent="0.35">
      <c r="E390" s="3"/>
    </row>
    <row r="391" spans="5:5" ht="14.5" x14ac:dyDescent="0.35">
      <c r="E391" s="3"/>
    </row>
    <row r="392" spans="5:5" ht="14.5" x14ac:dyDescent="0.35">
      <c r="E392" s="3"/>
    </row>
    <row r="393" spans="5:5" ht="14.5" x14ac:dyDescent="0.35">
      <c r="E393" s="3"/>
    </row>
    <row r="394" spans="5:5" ht="14.5" x14ac:dyDescent="0.35">
      <c r="E394" s="3"/>
    </row>
    <row r="395" spans="5:5" ht="14.5" x14ac:dyDescent="0.35">
      <c r="E395" s="3"/>
    </row>
    <row r="396" spans="5:5" ht="14.5" x14ac:dyDescent="0.35">
      <c r="E396" s="3"/>
    </row>
    <row r="397" spans="5:5" ht="14.5" x14ac:dyDescent="0.35">
      <c r="E397" s="3"/>
    </row>
    <row r="398" spans="5:5" ht="14.5" x14ac:dyDescent="0.35">
      <c r="E398" s="3"/>
    </row>
    <row r="399" spans="5:5" ht="14.5" x14ac:dyDescent="0.35">
      <c r="E399" s="3"/>
    </row>
    <row r="400" spans="5:5" ht="14.5" x14ac:dyDescent="0.35">
      <c r="E400" s="3"/>
    </row>
    <row r="401" spans="5:5" ht="14.5" x14ac:dyDescent="0.35">
      <c r="E401" s="3"/>
    </row>
    <row r="402" spans="5:5" ht="14.5" x14ac:dyDescent="0.35">
      <c r="E402" s="3"/>
    </row>
    <row r="403" spans="5:5" ht="14.5" x14ac:dyDescent="0.35">
      <c r="E403" s="3"/>
    </row>
    <row r="404" spans="5:5" ht="14.5" x14ac:dyDescent="0.35">
      <c r="E404" s="3"/>
    </row>
    <row r="405" spans="5:5" ht="14.5" x14ac:dyDescent="0.35">
      <c r="E405" s="3"/>
    </row>
    <row r="406" spans="5:5" ht="14.5" x14ac:dyDescent="0.35">
      <c r="E406" s="3"/>
    </row>
    <row r="407" spans="5:5" ht="14.5" x14ac:dyDescent="0.35">
      <c r="E407" s="3"/>
    </row>
    <row r="408" spans="5:5" ht="14.5" x14ac:dyDescent="0.35">
      <c r="E408" s="3"/>
    </row>
    <row r="409" spans="5:5" ht="14.5" x14ac:dyDescent="0.35">
      <c r="E409" s="3"/>
    </row>
    <row r="410" spans="5:5" ht="14.5" x14ac:dyDescent="0.35">
      <c r="E410" s="3"/>
    </row>
    <row r="411" spans="5:5" ht="14.5" x14ac:dyDescent="0.35">
      <c r="E411" s="3"/>
    </row>
    <row r="412" spans="5:5" ht="14.5" x14ac:dyDescent="0.35">
      <c r="E412" s="3"/>
    </row>
    <row r="413" spans="5:5" ht="14.5" x14ac:dyDescent="0.35">
      <c r="E413" s="3"/>
    </row>
    <row r="414" spans="5:5" ht="14.5" x14ac:dyDescent="0.35">
      <c r="E414" s="3"/>
    </row>
    <row r="415" spans="5:5" ht="14.5" x14ac:dyDescent="0.35">
      <c r="E415" s="3"/>
    </row>
    <row r="416" spans="5:5" ht="14.5" x14ac:dyDescent="0.35">
      <c r="E416" s="3"/>
    </row>
    <row r="417" spans="5:5" ht="14.5" x14ac:dyDescent="0.35">
      <c r="E417" s="3"/>
    </row>
    <row r="418" spans="5:5" ht="14.5" x14ac:dyDescent="0.35">
      <c r="E418" s="3"/>
    </row>
    <row r="419" spans="5:5" ht="14.5" x14ac:dyDescent="0.35">
      <c r="E419" s="3"/>
    </row>
    <row r="420" spans="5:5" ht="14.5" x14ac:dyDescent="0.35">
      <c r="E420" s="3"/>
    </row>
    <row r="421" spans="5:5" ht="14.5" x14ac:dyDescent="0.35">
      <c r="E421" s="3"/>
    </row>
    <row r="422" spans="5:5" ht="14.5" x14ac:dyDescent="0.35">
      <c r="E422" s="3"/>
    </row>
    <row r="423" spans="5:5" ht="14.5" x14ac:dyDescent="0.35">
      <c r="E423" s="3"/>
    </row>
    <row r="424" spans="5:5" ht="14.5" x14ac:dyDescent="0.35">
      <c r="E424" s="3"/>
    </row>
    <row r="425" spans="5:5" ht="14.5" x14ac:dyDescent="0.35">
      <c r="E425" s="3"/>
    </row>
    <row r="426" spans="5:5" ht="14.5" x14ac:dyDescent="0.35">
      <c r="E426" s="3"/>
    </row>
    <row r="427" spans="5:5" ht="14.5" x14ac:dyDescent="0.35">
      <c r="E427" s="3"/>
    </row>
    <row r="428" spans="5:5" ht="14.5" x14ac:dyDescent="0.35">
      <c r="E428" s="3"/>
    </row>
    <row r="429" spans="5:5" ht="14.5" x14ac:dyDescent="0.35">
      <c r="E429" s="3"/>
    </row>
    <row r="430" spans="5:5" ht="14.5" x14ac:dyDescent="0.35">
      <c r="E430" s="3"/>
    </row>
    <row r="431" spans="5:5" ht="14.5" x14ac:dyDescent="0.35">
      <c r="E431" s="3"/>
    </row>
    <row r="432" spans="5:5" ht="14.5" x14ac:dyDescent="0.35">
      <c r="E432" s="3"/>
    </row>
    <row r="433" spans="5:5" ht="14.5" x14ac:dyDescent="0.35">
      <c r="E433" s="3"/>
    </row>
    <row r="434" spans="5:5" ht="14.5" x14ac:dyDescent="0.35">
      <c r="E434" s="3"/>
    </row>
    <row r="435" spans="5:5" ht="14.5" x14ac:dyDescent="0.35">
      <c r="E435" s="3"/>
    </row>
    <row r="436" spans="5:5" ht="14.5" x14ac:dyDescent="0.35">
      <c r="E436" s="3"/>
    </row>
    <row r="437" spans="5:5" ht="14.5" x14ac:dyDescent="0.35">
      <c r="E437" s="3"/>
    </row>
    <row r="438" spans="5:5" ht="14.5" x14ac:dyDescent="0.35">
      <c r="E438" s="3"/>
    </row>
    <row r="439" spans="5:5" ht="14.5" x14ac:dyDescent="0.35">
      <c r="E439" s="3"/>
    </row>
    <row r="440" spans="5:5" ht="14.5" x14ac:dyDescent="0.35">
      <c r="E440" s="3"/>
    </row>
    <row r="441" spans="5:5" ht="14.5" x14ac:dyDescent="0.35">
      <c r="E441" s="3"/>
    </row>
    <row r="442" spans="5:5" ht="14.5" x14ac:dyDescent="0.35">
      <c r="E442" s="3"/>
    </row>
    <row r="443" spans="5:5" ht="14.5" x14ac:dyDescent="0.35">
      <c r="E443" s="3"/>
    </row>
    <row r="444" spans="5:5" ht="14.5" x14ac:dyDescent="0.35">
      <c r="E444" s="3"/>
    </row>
    <row r="445" spans="5:5" ht="14.5" x14ac:dyDescent="0.35">
      <c r="E445" s="3"/>
    </row>
    <row r="446" spans="5:5" ht="14.5" x14ac:dyDescent="0.35">
      <c r="E446" s="3"/>
    </row>
    <row r="447" spans="5:5" ht="14.5" x14ac:dyDescent="0.35">
      <c r="E447" s="3"/>
    </row>
    <row r="448" spans="5:5" ht="14.5" x14ac:dyDescent="0.35">
      <c r="E448" s="3"/>
    </row>
    <row r="449" spans="5:5" ht="14.5" x14ac:dyDescent="0.35">
      <c r="E449" s="3"/>
    </row>
    <row r="450" spans="5:5" ht="14.5" x14ac:dyDescent="0.35">
      <c r="E450" s="3"/>
    </row>
    <row r="451" spans="5:5" ht="14.5" x14ac:dyDescent="0.35">
      <c r="E451" s="3"/>
    </row>
    <row r="452" spans="5:5" ht="14.5" x14ac:dyDescent="0.35">
      <c r="E452" s="3"/>
    </row>
    <row r="453" spans="5:5" ht="14.5" x14ac:dyDescent="0.35">
      <c r="E453" s="3"/>
    </row>
    <row r="454" spans="5:5" ht="14.5" x14ac:dyDescent="0.35">
      <c r="E454" s="3"/>
    </row>
    <row r="455" spans="5:5" ht="14.5" x14ac:dyDescent="0.35">
      <c r="E455" s="3"/>
    </row>
    <row r="456" spans="5:5" ht="14.5" x14ac:dyDescent="0.35">
      <c r="E456" s="3"/>
    </row>
    <row r="457" spans="5:5" ht="14.5" x14ac:dyDescent="0.35">
      <c r="E457" s="3"/>
    </row>
    <row r="458" spans="5:5" ht="14.5" x14ac:dyDescent="0.35">
      <c r="E458" s="3"/>
    </row>
    <row r="459" spans="5:5" ht="14.5" x14ac:dyDescent="0.35">
      <c r="E459" s="3"/>
    </row>
    <row r="460" spans="5:5" ht="14.5" x14ac:dyDescent="0.35">
      <c r="E460" s="3"/>
    </row>
    <row r="461" spans="5:5" ht="14.5" x14ac:dyDescent="0.35">
      <c r="E461" s="3"/>
    </row>
    <row r="462" spans="5:5" ht="14.5" x14ac:dyDescent="0.35">
      <c r="E462" s="3"/>
    </row>
    <row r="463" spans="5:5" ht="14.5" x14ac:dyDescent="0.35">
      <c r="E463" s="3"/>
    </row>
    <row r="464" spans="5:5" ht="14.5" x14ac:dyDescent="0.35">
      <c r="E464" s="3"/>
    </row>
    <row r="465" spans="5:5" ht="14.5" x14ac:dyDescent="0.35">
      <c r="E465" s="3"/>
    </row>
    <row r="466" spans="5:5" ht="14.5" x14ac:dyDescent="0.35">
      <c r="E466" s="3"/>
    </row>
    <row r="467" spans="5:5" ht="14.5" x14ac:dyDescent="0.35">
      <c r="E467" s="3"/>
    </row>
    <row r="468" spans="5:5" ht="14.5" x14ac:dyDescent="0.35">
      <c r="E468" s="3"/>
    </row>
    <row r="469" spans="5:5" ht="14.5" x14ac:dyDescent="0.35">
      <c r="E469" s="3"/>
    </row>
    <row r="470" spans="5:5" ht="14.5" x14ac:dyDescent="0.35">
      <c r="E470" s="3"/>
    </row>
    <row r="471" spans="5:5" ht="14.5" x14ac:dyDescent="0.35">
      <c r="E471" s="3"/>
    </row>
    <row r="472" spans="5:5" ht="14.5" x14ac:dyDescent="0.35">
      <c r="E472" s="3"/>
    </row>
    <row r="473" spans="5:5" ht="14.5" x14ac:dyDescent="0.35">
      <c r="E473" s="3"/>
    </row>
    <row r="474" spans="5:5" ht="14.5" x14ac:dyDescent="0.35">
      <c r="E474" s="3"/>
    </row>
    <row r="475" spans="5:5" ht="14.5" x14ac:dyDescent="0.35">
      <c r="E475" s="3"/>
    </row>
    <row r="476" spans="5:5" ht="14.5" x14ac:dyDescent="0.35">
      <c r="E476" s="3"/>
    </row>
    <row r="477" spans="5:5" ht="14.5" x14ac:dyDescent="0.35">
      <c r="E477" s="3"/>
    </row>
    <row r="478" spans="5:5" ht="14.5" x14ac:dyDescent="0.35">
      <c r="E478" s="3"/>
    </row>
    <row r="479" spans="5:5" ht="14.5" x14ac:dyDescent="0.35">
      <c r="E479" s="3"/>
    </row>
    <row r="480" spans="5:5" ht="14.5" x14ac:dyDescent="0.35">
      <c r="E480" s="3"/>
    </row>
    <row r="481" spans="5:5" ht="14.5" x14ac:dyDescent="0.35">
      <c r="E481" s="3"/>
    </row>
    <row r="482" spans="5:5" ht="14.5" x14ac:dyDescent="0.35">
      <c r="E482" s="3"/>
    </row>
    <row r="483" spans="5:5" ht="14.5" x14ac:dyDescent="0.35">
      <c r="E483" s="3"/>
    </row>
    <row r="484" spans="5:5" ht="14.5" x14ac:dyDescent="0.35">
      <c r="E484" s="3"/>
    </row>
    <row r="485" spans="5:5" ht="14.5" x14ac:dyDescent="0.35">
      <c r="E485" s="3"/>
    </row>
    <row r="486" spans="5:5" ht="14.5" x14ac:dyDescent="0.35">
      <c r="E486" s="3"/>
    </row>
    <row r="487" spans="5:5" ht="14.5" x14ac:dyDescent="0.35">
      <c r="E487" s="3"/>
    </row>
    <row r="488" spans="5:5" ht="14.5" x14ac:dyDescent="0.35">
      <c r="E488" s="3"/>
    </row>
    <row r="489" spans="5:5" ht="14.5" x14ac:dyDescent="0.35">
      <c r="E489" s="3"/>
    </row>
    <row r="490" spans="5:5" ht="14.5" x14ac:dyDescent="0.35">
      <c r="E490" s="3"/>
    </row>
    <row r="491" spans="5:5" ht="14.5" x14ac:dyDescent="0.35">
      <c r="E491" s="3"/>
    </row>
    <row r="492" spans="5:5" ht="14.5" x14ac:dyDescent="0.35">
      <c r="E492" s="3"/>
    </row>
    <row r="493" spans="5:5" ht="14.5" x14ac:dyDescent="0.35">
      <c r="E493" s="3"/>
    </row>
    <row r="494" spans="5:5" ht="14.5" x14ac:dyDescent="0.35">
      <c r="E494" s="3"/>
    </row>
    <row r="495" spans="5:5" ht="14.5" x14ac:dyDescent="0.35">
      <c r="E495" s="3"/>
    </row>
    <row r="496" spans="5:5" ht="14.5" x14ac:dyDescent="0.35">
      <c r="E496" s="3"/>
    </row>
    <row r="497" spans="5:5" ht="14.5" x14ac:dyDescent="0.35">
      <c r="E497" s="3"/>
    </row>
    <row r="498" spans="5:5" ht="14.5" x14ac:dyDescent="0.35">
      <c r="E498" s="3"/>
    </row>
    <row r="499" spans="5:5" ht="14.5" x14ac:dyDescent="0.35">
      <c r="E499" s="3"/>
    </row>
    <row r="500" spans="5:5" ht="14.5" x14ac:dyDescent="0.35">
      <c r="E500" s="3"/>
    </row>
    <row r="501" spans="5:5" ht="14.5" x14ac:dyDescent="0.35">
      <c r="E501" s="3"/>
    </row>
    <row r="502" spans="5:5" ht="14.5" x14ac:dyDescent="0.35"/>
    <row r="503" spans="5:5" ht="14.5" x14ac:dyDescent="0.35"/>
  </sheetData>
  <sortState xmlns:xlrd2="http://schemas.microsoft.com/office/spreadsheetml/2017/richdata2" ref="C1:C251">
    <sortCondition ref="C1:C251"/>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A0E9-AA6A-4B10-98E6-800DB43D9E4B}">
  <dimension ref="A1:L503"/>
  <sheetViews>
    <sheetView topLeftCell="C1" workbookViewId="0">
      <selection activeCell="J10" sqref="J10"/>
    </sheetView>
  </sheetViews>
  <sheetFormatPr defaultColWidth="8.81640625" defaultRowHeight="15" customHeight="1" x14ac:dyDescent="0.35"/>
  <cols>
    <col min="1" max="1" width="7.81640625" hidden="1" customWidth="1"/>
    <col min="2" max="2" width="0" hidden="1" customWidth="1"/>
    <col min="3" max="3" width="9.26953125" style="14" customWidth="1"/>
    <col min="4" max="5" width="10.81640625" style="14" customWidth="1"/>
    <col min="7" max="7" width="15.453125" bestFit="1" customWidth="1"/>
    <col min="8" max="9" width="14.453125" bestFit="1" customWidth="1"/>
    <col min="10" max="11" width="9.1796875"/>
    <col min="12" max="12" width="9.1796875" style="3"/>
    <col min="13" max="16377" width="9.1796875"/>
    <col min="16378" max="16378" width="8.453125" bestFit="1" customWidth="1"/>
    <col min="16379" max="16384" width="8.453125" customWidth="1"/>
  </cols>
  <sheetData>
    <row r="1" spans="1:11" ht="15" customHeight="1" x14ac:dyDescent="0.35">
      <c r="A1" t="s">
        <v>4</v>
      </c>
      <c r="B1" t="s">
        <v>8</v>
      </c>
      <c r="C1" s="15" t="s">
        <v>4</v>
      </c>
      <c r="D1" s="15" t="s">
        <v>1114</v>
      </c>
      <c r="E1" s="15" t="s">
        <v>1115</v>
      </c>
      <c r="F1" s="8" t="s">
        <v>28</v>
      </c>
      <c r="G1" s="8" t="s">
        <v>15</v>
      </c>
      <c r="H1" s="8" t="s">
        <v>17</v>
      </c>
      <c r="I1" s="8" t="s">
        <v>10</v>
      </c>
      <c r="J1" s="15" t="s">
        <v>1116</v>
      </c>
      <c r="K1" s="3" t="s">
        <v>1113</v>
      </c>
    </row>
    <row r="2" spans="1:11" ht="15" customHeight="1" x14ac:dyDescent="0.35">
      <c r="A2" t="s">
        <v>47</v>
      </c>
      <c r="B2" t="s">
        <v>1117</v>
      </c>
      <c r="C2" s="14">
        <f t="shared" ref="C2:C65" si="0">IF(A2="Private",1,0)</f>
        <v>1</v>
      </c>
      <c r="D2" s="14">
        <f t="shared" ref="D2:D65" si="1">IF(B2="Two",1,0)</f>
        <v>1</v>
      </c>
      <c r="E2" s="14">
        <f t="shared" ref="E2:E65" si="2">IF(B2="Three",1,0)</f>
        <v>0</v>
      </c>
      <c r="F2">
        <v>299</v>
      </c>
      <c r="G2" s="3">
        <v>0.54200000000000004</v>
      </c>
      <c r="H2" s="7">
        <v>5713327</v>
      </c>
      <c r="I2">
        <v>1</v>
      </c>
      <c r="J2" s="14">
        <f t="shared" ref="J2:J65" si="3">IF(B2="One",1,0)</f>
        <v>0</v>
      </c>
      <c r="K2" s="3">
        <v>0.54392475697610165</v>
      </c>
    </row>
    <row r="3" spans="1:11" ht="15" customHeight="1" x14ac:dyDescent="0.35">
      <c r="A3" t="s">
        <v>47</v>
      </c>
      <c r="B3" t="s">
        <v>1118</v>
      </c>
      <c r="C3" s="14">
        <f t="shared" si="0"/>
        <v>1</v>
      </c>
      <c r="D3" s="14">
        <f t="shared" si="1"/>
        <v>0</v>
      </c>
      <c r="E3" s="14">
        <f t="shared" si="2"/>
        <v>0</v>
      </c>
      <c r="F3">
        <v>320</v>
      </c>
      <c r="G3" s="3">
        <v>0.6</v>
      </c>
      <c r="H3" s="7">
        <v>10627020</v>
      </c>
      <c r="I3">
        <v>1</v>
      </c>
      <c r="J3" s="14">
        <f t="shared" si="3"/>
        <v>1</v>
      </c>
      <c r="K3" s="3">
        <v>0.5755838419425201</v>
      </c>
    </row>
    <row r="4" spans="1:11" ht="15" customHeight="1" x14ac:dyDescent="0.35">
      <c r="A4" t="s">
        <v>36</v>
      </c>
      <c r="B4" t="s">
        <v>1117</v>
      </c>
      <c r="C4" s="14">
        <f t="shared" si="0"/>
        <v>0</v>
      </c>
      <c r="D4" s="14">
        <f t="shared" si="1"/>
        <v>1</v>
      </c>
      <c r="E4" s="14">
        <f t="shared" si="2"/>
        <v>0</v>
      </c>
      <c r="F4">
        <v>201</v>
      </c>
      <c r="G4" s="3">
        <v>0.46299999999999997</v>
      </c>
      <c r="H4" s="7">
        <v>3589042</v>
      </c>
      <c r="I4">
        <v>1</v>
      </c>
      <c r="J4" s="14">
        <f t="shared" si="3"/>
        <v>0</v>
      </c>
      <c r="K4" s="3">
        <v>0.54803203751864704</v>
      </c>
    </row>
    <row r="5" spans="1:11" ht="15" customHeight="1" x14ac:dyDescent="0.35">
      <c r="A5" t="s">
        <v>36</v>
      </c>
      <c r="B5" t="s">
        <v>1118</v>
      </c>
      <c r="C5" s="14">
        <f t="shared" si="0"/>
        <v>0</v>
      </c>
      <c r="D5" s="14">
        <f t="shared" si="1"/>
        <v>0</v>
      </c>
      <c r="E5" s="14">
        <f t="shared" si="2"/>
        <v>0</v>
      </c>
      <c r="F5">
        <v>731</v>
      </c>
      <c r="G5" s="3">
        <v>0.47500000000000003</v>
      </c>
      <c r="H5" s="7">
        <v>29093061</v>
      </c>
      <c r="I5">
        <v>1</v>
      </c>
      <c r="J5" s="14">
        <f t="shared" si="3"/>
        <v>1</v>
      </c>
      <c r="K5" s="3">
        <v>0.28834284573905783</v>
      </c>
    </row>
    <row r="6" spans="1:11" ht="15" customHeight="1" x14ac:dyDescent="0.35">
      <c r="A6" t="s">
        <v>36</v>
      </c>
      <c r="B6" t="s">
        <v>1118</v>
      </c>
      <c r="C6" s="14">
        <f t="shared" si="0"/>
        <v>0</v>
      </c>
      <c r="D6" s="14">
        <f t="shared" si="1"/>
        <v>0</v>
      </c>
      <c r="E6" s="14">
        <f t="shared" si="2"/>
        <v>0</v>
      </c>
      <c r="F6">
        <v>611</v>
      </c>
      <c r="G6" s="3">
        <v>0.498</v>
      </c>
      <c r="H6" s="7">
        <v>17346909</v>
      </c>
      <c r="I6">
        <v>1</v>
      </c>
      <c r="J6" s="14">
        <f t="shared" si="3"/>
        <v>1</v>
      </c>
      <c r="K6" s="3">
        <v>0.4039700675203865</v>
      </c>
    </row>
    <row r="7" spans="1:11" ht="15" customHeight="1" x14ac:dyDescent="0.35">
      <c r="A7" t="s">
        <v>47</v>
      </c>
      <c r="B7" t="s">
        <v>1119</v>
      </c>
      <c r="C7" s="14">
        <f t="shared" si="0"/>
        <v>1</v>
      </c>
      <c r="D7" s="14">
        <f t="shared" si="1"/>
        <v>0</v>
      </c>
      <c r="E7" s="14">
        <f t="shared" si="2"/>
        <v>1</v>
      </c>
      <c r="F7">
        <v>186</v>
      </c>
      <c r="G7" s="3">
        <v>0.40299999999999997</v>
      </c>
      <c r="H7" s="7">
        <v>690448</v>
      </c>
      <c r="I7">
        <v>1</v>
      </c>
      <c r="J7" s="14">
        <f t="shared" si="3"/>
        <v>0</v>
      </c>
      <c r="K7" s="3">
        <v>0.40293258869603504</v>
      </c>
    </row>
    <row r="8" spans="1:11" ht="15" customHeight="1" x14ac:dyDescent="0.35">
      <c r="A8" t="s">
        <v>36</v>
      </c>
      <c r="B8" t="s">
        <v>1118</v>
      </c>
      <c r="C8" s="14">
        <f t="shared" si="0"/>
        <v>0</v>
      </c>
      <c r="D8" s="14">
        <f t="shared" si="1"/>
        <v>0</v>
      </c>
      <c r="E8" s="14">
        <f t="shared" si="2"/>
        <v>0</v>
      </c>
      <c r="F8">
        <v>583</v>
      </c>
      <c r="G8" s="3">
        <v>0.42</v>
      </c>
      <c r="H8" s="7">
        <v>17876804</v>
      </c>
      <c r="I8">
        <v>1</v>
      </c>
      <c r="J8" s="14">
        <f t="shared" si="3"/>
        <v>1</v>
      </c>
      <c r="K8" s="3">
        <v>0.31285010452651379</v>
      </c>
    </row>
    <row r="9" spans="1:11" ht="15" customHeight="1" x14ac:dyDescent="0.35">
      <c r="A9" t="s">
        <v>47</v>
      </c>
      <c r="B9" t="s">
        <v>1119</v>
      </c>
      <c r="C9" s="14">
        <f t="shared" si="0"/>
        <v>1</v>
      </c>
      <c r="D9" s="14">
        <f t="shared" si="1"/>
        <v>0</v>
      </c>
      <c r="E9" s="14">
        <f>IF(B9="Three",1,0)</f>
        <v>1</v>
      </c>
      <c r="F9">
        <v>608</v>
      </c>
      <c r="G9" s="3">
        <v>0.32100000000000001</v>
      </c>
      <c r="H9" s="7">
        <v>2960787</v>
      </c>
      <c r="I9">
        <v>1</v>
      </c>
      <c r="J9" s="14">
        <f t="shared" si="3"/>
        <v>0</v>
      </c>
      <c r="K9" s="3">
        <v>0.31673335501675737</v>
      </c>
    </row>
    <row r="10" spans="1:11" ht="15" customHeight="1" x14ac:dyDescent="0.35">
      <c r="A10" t="s">
        <v>47</v>
      </c>
      <c r="B10" t="s">
        <v>1117</v>
      </c>
      <c r="C10" s="14">
        <f t="shared" si="0"/>
        <v>1</v>
      </c>
      <c r="D10" s="14">
        <f t="shared" si="1"/>
        <v>1</v>
      </c>
      <c r="E10" s="14">
        <f t="shared" si="2"/>
        <v>0</v>
      </c>
      <c r="F10">
        <v>730</v>
      </c>
      <c r="G10" s="3">
        <v>0.34500000000000003</v>
      </c>
      <c r="H10" s="7">
        <v>7007753</v>
      </c>
      <c r="I10">
        <v>1</v>
      </c>
      <c r="J10" s="14">
        <f t="shared" si="3"/>
        <v>0</v>
      </c>
      <c r="K10" s="3">
        <v>0.35031314602555197</v>
      </c>
    </row>
    <row r="11" spans="1:11" ht="15" customHeight="1" x14ac:dyDescent="0.35">
      <c r="A11" t="s">
        <v>36</v>
      </c>
      <c r="B11" t="s">
        <v>1118</v>
      </c>
      <c r="C11" s="14">
        <f t="shared" si="0"/>
        <v>0</v>
      </c>
      <c r="D11" s="14">
        <f t="shared" si="1"/>
        <v>0</v>
      </c>
      <c r="E11" s="14">
        <f t="shared" si="2"/>
        <v>0</v>
      </c>
      <c r="F11">
        <v>363</v>
      </c>
      <c r="G11" s="3">
        <v>0.35299999999999998</v>
      </c>
      <c r="H11" s="7">
        <v>7454057</v>
      </c>
      <c r="I11">
        <v>1</v>
      </c>
      <c r="J11" s="14">
        <f t="shared" si="3"/>
        <v>1</v>
      </c>
      <c r="K11" s="3">
        <v>0.32327898753658579</v>
      </c>
    </row>
    <row r="12" spans="1:11" ht="15" customHeight="1" x14ac:dyDescent="0.35">
      <c r="A12" t="s">
        <v>47</v>
      </c>
      <c r="B12" t="s">
        <v>1119</v>
      </c>
      <c r="C12" s="14">
        <f t="shared" si="0"/>
        <v>1</v>
      </c>
      <c r="D12" s="14">
        <f t="shared" si="1"/>
        <v>0</v>
      </c>
      <c r="E12" s="14">
        <f t="shared" si="2"/>
        <v>1</v>
      </c>
      <c r="F12">
        <v>213</v>
      </c>
      <c r="G12" s="3">
        <v>0.54900000000000004</v>
      </c>
      <c r="H12" s="7">
        <v>516439</v>
      </c>
      <c r="I12">
        <v>1</v>
      </c>
      <c r="J12" s="14">
        <f t="shared" si="3"/>
        <v>0</v>
      </c>
      <c r="K12" s="3">
        <v>0.56119502980990976</v>
      </c>
    </row>
    <row r="13" spans="1:11" ht="15" customHeight="1" x14ac:dyDescent="0.35">
      <c r="A13" t="s">
        <v>36</v>
      </c>
      <c r="B13" t="s">
        <v>1118</v>
      </c>
      <c r="C13" s="14">
        <f t="shared" si="0"/>
        <v>0</v>
      </c>
      <c r="D13" s="14">
        <f t="shared" si="1"/>
        <v>0</v>
      </c>
      <c r="E13" s="14">
        <f t="shared" si="2"/>
        <v>0</v>
      </c>
      <c r="F13">
        <v>579</v>
      </c>
      <c r="G13" s="3">
        <v>0.435</v>
      </c>
      <c r="H13" s="7">
        <v>12304601</v>
      </c>
      <c r="I13">
        <v>1</v>
      </c>
      <c r="J13" s="14">
        <f t="shared" si="3"/>
        <v>1</v>
      </c>
      <c r="K13" s="3">
        <v>0.36915638304728449</v>
      </c>
    </row>
    <row r="14" spans="1:11" ht="15" customHeight="1" x14ac:dyDescent="0.35">
      <c r="A14" t="s">
        <v>47</v>
      </c>
      <c r="B14" t="s">
        <v>1119</v>
      </c>
      <c r="C14" s="14">
        <f t="shared" si="0"/>
        <v>1</v>
      </c>
      <c r="D14" s="14">
        <f t="shared" si="1"/>
        <v>0</v>
      </c>
      <c r="E14" s="14">
        <f t="shared" si="2"/>
        <v>1</v>
      </c>
      <c r="F14">
        <v>194</v>
      </c>
      <c r="G14" s="3">
        <v>0.45900000000000002</v>
      </c>
      <c r="H14" s="7">
        <v>476923</v>
      </c>
      <c r="I14">
        <v>1</v>
      </c>
      <c r="J14" s="14">
        <f t="shared" si="3"/>
        <v>0</v>
      </c>
      <c r="K14" s="3">
        <v>0.51914669663656399</v>
      </c>
    </row>
    <row r="15" spans="1:11" ht="15" customHeight="1" x14ac:dyDescent="0.35">
      <c r="A15" t="s">
        <v>36</v>
      </c>
      <c r="B15" t="s">
        <v>1118</v>
      </c>
      <c r="C15" s="14">
        <f t="shared" si="0"/>
        <v>0</v>
      </c>
      <c r="D15" s="14">
        <f t="shared" si="1"/>
        <v>0</v>
      </c>
      <c r="E15" s="14">
        <f t="shared" si="2"/>
        <v>0</v>
      </c>
      <c r="F15">
        <v>414</v>
      </c>
      <c r="G15" s="3">
        <v>0.45900000000000002</v>
      </c>
      <c r="H15" s="7">
        <v>11004696</v>
      </c>
      <c r="I15">
        <v>1</v>
      </c>
      <c r="J15" s="14">
        <f t="shared" si="3"/>
        <v>1</v>
      </c>
      <c r="K15" s="3">
        <v>0.49496387723931673</v>
      </c>
    </row>
    <row r="16" spans="1:11" ht="15" customHeight="1" x14ac:dyDescent="0.35">
      <c r="A16" t="s">
        <v>47</v>
      </c>
      <c r="B16" t="s">
        <v>1119</v>
      </c>
      <c r="C16" s="14">
        <f t="shared" si="0"/>
        <v>1</v>
      </c>
      <c r="D16" s="14">
        <f t="shared" si="1"/>
        <v>0</v>
      </c>
      <c r="E16" s="14">
        <f t="shared" si="2"/>
        <v>1</v>
      </c>
      <c r="F16">
        <v>206</v>
      </c>
      <c r="G16" s="3">
        <v>0.56299999999999994</v>
      </c>
      <c r="H16" s="7">
        <v>372331</v>
      </c>
      <c r="I16">
        <v>1</v>
      </c>
      <c r="J16" s="14">
        <f t="shared" si="3"/>
        <v>0</v>
      </c>
      <c r="K16" s="3">
        <v>0.49685897763011944</v>
      </c>
    </row>
    <row r="17" spans="1:11" ht="15" customHeight="1" x14ac:dyDescent="0.35">
      <c r="A17" t="s">
        <v>47</v>
      </c>
      <c r="B17" t="s">
        <v>1119</v>
      </c>
      <c r="C17" s="14">
        <f t="shared" si="0"/>
        <v>1</v>
      </c>
      <c r="D17" s="14">
        <f t="shared" si="1"/>
        <v>0</v>
      </c>
      <c r="E17" s="14">
        <f t="shared" si="2"/>
        <v>1</v>
      </c>
      <c r="F17">
        <v>649</v>
      </c>
      <c r="G17" s="3">
        <v>0.378</v>
      </c>
      <c r="H17" s="7">
        <v>2762782</v>
      </c>
      <c r="I17">
        <v>1</v>
      </c>
      <c r="J17" s="14">
        <f t="shared" si="3"/>
        <v>0</v>
      </c>
      <c r="K17" s="3">
        <v>0.42188163959371389</v>
      </c>
    </row>
    <row r="18" spans="1:11" ht="15" customHeight="1" x14ac:dyDescent="0.35">
      <c r="A18" t="s">
        <v>47</v>
      </c>
      <c r="B18" t="s">
        <v>1119</v>
      </c>
      <c r="C18" s="14">
        <f t="shared" si="0"/>
        <v>1</v>
      </c>
      <c r="D18" s="14">
        <f t="shared" si="1"/>
        <v>0</v>
      </c>
      <c r="E18" s="14">
        <f t="shared" si="2"/>
        <v>1</v>
      </c>
      <c r="F18">
        <v>237</v>
      </c>
      <c r="G18" s="3">
        <v>0.44700000000000006</v>
      </c>
      <c r="H18" s="7">
        <v>1141701</v>
      </c>
      <c r="I18">
        <v>1</v>
      </c>
      <c r="J18" s="14">
        <f t="shared" si="3"/>
        <v>0</v>
      </c>
      <c r="K18" s="3">
        <v>0.48259132645062058</v>
      </c>
    </row>
    <row r="19" spans="1:11" ht="15" customHeight="1" x14ac:dyDescent="0.35">
      <c r="A19" t="s">
        <v>47</v>
      </c>
      <c r="B19" t="s">
        <v>1119</v>
      </c>
      <c r="C19" s="14">
        <f t="shared" si="0"/>
        <v>1</v>
      </c>
      <c r="D19" s="14">
        <f t="shared" si="1"/>
        <v>0</v>
      </c>
      <c r="E19" s="14">
        <f t="shared" si="2"/>
        <v>1</v>
      </c>
      <c r="F19">
        <v>520</v>
      </c>
      <c r="G19" s="3">
        <v>0.312</v>
      </c>
      <c r="H19" s="7">
        <v>2249065</v>
      </c>
      <c r="I19">
        <v>1</v>
      </c>
      <c r="J19" s="14">
        <f t="shared" si="3"/>
        <v>0</v>
      </c>
      <c r="K19" s="3">
        <v>0.37684148746256779</v>
      </c>
    </row>
    <row r="20" spans="1:11" ht="15" customHeight="1" x14ac:dyDescent="0.35">
      <c r="A20" t="s">
        <v>47</v>
      </c>
      <c r="B20" t="s">
        <v>1119</v>
      </c>
      <c r="C20" s="14">
        <f t="shared" si="0"/>
        <v>1</v>
      </c>
      <c r="D20" s="14">
        <f t="shared" si="1"/>
        <v>0</v>
      </c>
      <c r="E20" s="14">
        <f t="shared" si="2"/>
        <v>1</v>
      </c>
      <c r="F20">
        <v>749</v>
      </c>
      <c r="G20" s="3">
        <v>0.434</v>
      </c>
      <c r="H20" s="7">
        <v>4380868</v>
      </c>
      <c r="I20">
        <v>1</v>
      </c>
      <c r="J20" s="14">
        <f t="shared" si="3"/>
        <v>0</v>
      </c>
      <c r="K20" s="3">
        <v>0.4391490453490039</v>
      </c>
    </row>
    <row r="21" spans="1:11" ht="15" customHeight="1" x14ac:dyDescent="0.35">
      <c r="A21" t="s">
        <v>47</v>
      </c>
      <c r="B21" t="s">
        <v>1119</v>
      </c>
      <c r="C21" s="14">
        <f t="shared" si="0"/>
        <v>1</v>
      </c>
      <c r="D21" s="14">
        <f t="shared" si="1"/>
        <v>0</v>
      </c>
      <c r="E21" s="14">
        <f t="shared" si="2"/>
        <v>1</v>
      </c>
      <c r="F21">
        <v>224</v>
      </c>
      <c r="G21" s="3">
        <v>0.53100000000000003</v>
      </c>
      <c r="H21" s="7">
        <v>574568</v>
      </c>
      <c r="I21">
        <v>1</v>
      </c>
      <c r="J21" s="14">
        <f t="shared" si="3"/>
        <v>0</v>
      </c>
      <c r="K21" s="3">
        <v>0.47653541443310454</v>
      </c>
    </row>
    <row r="22" spans="1:11" ht="15" customHeight="1" x14ac:dyDescent="0.35">
      <c r="A22" t="s">
        <v>36</v>
      </c>
      <c r="B22" t="s">
        <v>1119</v>
      </c>
      <c r="C22" s="14">
        <f t="shared" si="0"/>
        <v>0</v>
      </c>
      <c r="D22" s="14">
        <f t="shared" si="1"/>
        <v>0</v>
      </c>
      <c r="E22" s="14">
        <f t="shared" si="2"/>
        <v>1</v>
      </c>
      <c r="F22">
        <v>560</v>
      </c>
      <c r="G22" s="3">
        <v>0.40700000000000003</v>
      </c>
      <c r="H22" s="7">
        <v>2450246</v>
      </c>
      <c r="I22">
        <v>1</v>
      </c>
      <c r="J22" s="14">
        <f t="shared" si="3"/>
        <v>0</v>
      </c>
      <c r="K22" s="3">
        <v>0.4457311633199279</v>
      </c>
    </row>
    <row r="23" spans="1:11" ht="14.5" x14ac:dyDescent="0.35">
      <c r="A23" t="s">
        <v>36</v>
      </c>
      <c r="B23" t="s">
        <v>1117</v>
      </c>
      <c r="C23" s="14">
        <f t="shared" si="0"/>
        <v>0</v>
      </c>
      <c r="D23" s="14">
        <f t="shared" si="1"/>
        <v>1</v>
      </c>
      <c r="E23" s="14">
        <f t="shared" si="2"/>
        <v>0</v>
      </c>
      <c r="F23">
        <v>594</v>
      </c>
      <c r="G23" s="3">
        <v>0.40200000000000002</v>
      </c>
      <c r="H23" s="7">
        <v>6308712</v>
      </c>
      <c r="I23">
        <v>1</v>
      </c>
      <c r="J23" s="14">
        <f t="shared" si="3"/>
        <v>0</v>
      </c>
      <c r="K23" s="3">
        <v>0.52485879843619432</v>
      </c>
    </row>
    <row r="24" spans="1:11" ht="14.5" x14ac:dyDescent="0.35">
      <c r="A24" t="s">
        <v>36</v>
      </c>
      <c r="B24" t="s">
        <v>1118</v>
      </c>
      <c r="C24" s="14">
        <f t="shared" si="0"/>
        <v>0</v>
      </c>
      <c r="D24" s="14">
        <f t="shared" si="1"/>
        <v>0</v>
      </c>
      <c r="E24" s="14">
        <f t="shared" si="2"/>
        <v>0</v>
      </c>
      <c r="F24">
        <v>898</v>
      </c>
      <c r="G24" s="3">
        <v>0.46</v>
      </c>
      <c r="H24" s="7">
        <v>71997827</v>
      </c>
      <c r="I24">
        <v>1</v>
      </c>
      <c r="J24" s="14">
        <f t="shared" si="3"/>
        <v>1</v>
      </c>
      <c r="K24" s="3">
        <v>0.27270936940916285</v>
      </c>
    </row>
    <row r="25" spans="1:11" ht="14.5" x14ac:dyDescent="0.35">
      <c r="A25" t="s">
        <v>47</v>
      </c>
      <c r="B25" t="s">
        <v>1119</v>
      </c>
      <c r="C25" s="14">
        <f t="shared" si="0"/>
        <v>1</v>
      </c>
      <c r="D25" s="14">
        <f t="shared" si="1"/>
        <v>0</v>
      </c>
      <c r="E25" s="14">
        <f t="shared" si="2"/>
        <v>1</v>
      </c>
      <c r="F25">
        <v>755</v>
      </c>
      <c r="G25" s="3">
        <v>0.39200000000000002</v>
      </c>
      <c r="H25" s="7">
        <v>4089296</v>
      </c>
      <c r="I25">
        <v>1</v>
      </c>
      <c r="J25" s="14">
        <f t="shared" si="3"/>
        <v>0</v>
      </c>
      <c r="K25" s="3">
        <v>0.38296445158286413</v>
      </c>
    </row>
    <row r="26" spans="1:11" ht="14.5" x14ac:dyDescent="0.35">
      <c r="A26" t="s">
        <v>47</v>
      </c>
      <c r="B26" t="s">
        <v>1119</v>
      </c>
      <c r="C26" s="14">
        <f t="shared" si="0"/>
        <v>1</v>
      </c>
      <c r="D26" s="14">
        <f t="shared" si="1"/>
        <v>0</v>
      </c>
      <c r="E26" s="14">
        <f t="shared" si="2"/>
        <v>1</v>
      </c>
      <c r="F26">
        <v>354</v>
      </c>
      <c r="G26" s="3">
        <v>0.503</v>
      </c>
      <c r="H26" s="7">
        <v>1188745</v>
      </c>
      <c r="I26">
        <v>1</v>
      </c>
      <c r="J26" s="14">
        <f t="shared" si="3"/>
        <v>0</v>
      </c>
      <c r="K26" s="3">
        <v>0.53611581962489852</v>
      </c>
    </row>
    <row r="27" spans="1:11" ht="14.5" x14ac:dyDescent="0.35">
      <c r="A27" t="s">
        <v>36</v>
      </c>
      <c r="B27" t="s">
        <v>1117</v>
      </c>
      <c r="C27" s="14">
        <f t="shared" si="0"/>
        <v>0</v>
      </c>
      <c r="D27" s="14">
        <f t="shared" si="1"/>
        <v>1</v>
      </c>
      <c r="E27" s="14">
        <f t="shared" si="2"/>
        <v>0</v>
      </c>
      <c r="F27">
        <v>330</v>
      </c>
      <c r="G27" s="3">
        <v>0.33</v>
      </c>
      <c r="H27" s="7">
        <v>2659044</v>
      </c>
      <c r="I27">
        <v>1</v>
      </c>
      <c r="J27" s="14">
        <f t="shared" si="3"/>
        <v>0</v>
      </c>
      <c r="K27" s="3">
        <v>0.36495447235923889</v>
      </c>
    </row>
    <row r="28" spans="1:11" ht="14.5" x14ac:dyDescent="0.35">
      <c r="A28" t="s">
        <v>36</v>
      </c>
      <c r="B28" t="s">
        <v>1118</v>
      </c>
      <c r="C28" s="14">
        <f t="shared" si="0"/>
        <v>0</v>
      </c>
      <c r="D28" s="14">
        <f t="shared" si="1"/>
        <v>0</v>
      </c>
      <c r="E28" s="14">
        <f t="shared" si="2"/>
        <v>0</v>
      </c>
      <c r="F28">
        <v>482</v>
      </c>
      <c r="G28" s="3">
        <v>0.46899999999999997</v>
      </c>
      <c r="H28" s="7">
        <v>14353706</v>
      </c>
      <c r="I28">
        <v>1</v>
      </c>
      <c r="J28" s="14">
        <f t="shared" si="3"/>
        <v>1</v>
      </c>
      <c r="K28" s="3">
        <v>0.35471041416063559</v>
      </c>
    </row>
    <row r="29" spans="1:11" ht="14.5" x14ac:dyDescent="0.35">
      <c r="A29" t="s">
        <v>47</v>
      </c>
      <c r="B29" t="s">
        <v>1117</v>
      </c>
      <c r="C29" s="14">
        <f t="shared" si="0"/>
        <v>1</v>
      </c>
      <c r="D29" s="14">
        <f t="shared" si="1"/>
        <v>1</v>
      </c>
      <c r="E29" s="14">
        <f t="shared" si="2"/>
        <v>0</v>
      </c>
      <c r="F29">
        <v>496</v>
      </c>
      <c r="G29" s="3">
        <v>0.44400000000000001</v>
      </c>
      <c r="H29" s="7">
        <v>5113232</v>
      </c>
      <c r="I29">
        <v>1</v>
      </c>
      <c r="J29" s="14">
        <f t="shared" si="3"/>
        <v>0</v>
      </c>
      <c r="K29" s="3">
        <v>0.49486880313664627</v>
      </c>
    </row>
    <row r="30" spans="1:11" ht="14.5" x14ac:dyDescent="0.35">
      <c r="A30" t="s">
        <v>47</v>
      </c>
      <c r="B30" t="s">
        <v>1117</v>
      </c>
      <c r="C30" s="14">
        <f t="shared" si="0"/>
        <v>1</v>
      </c>
      <c r="D30" s="14">
        <f t="shared" si="1"/>
        <v>1</v>
      </c>
      <c r="E30" s="14">
        <f t="shared" si="2"/>
        <v>0</v>
      </c>
      <c r="F30">
        <v>276</v>
      </c>
      <c r="G30" s="3">
        <v>0.5</v>
      </c>
      <c r="H30" s="7">
        <v>5975133</v>
      </c>
      <c r="I30">
        <v>1</v>
      </c>
      <c r="J30" s="14">
        <f t="shared" si="3"/>
        <v>0</v>
      </c>
      <c r="K30" s="3">
        <v>0.59432735639524681</v>
      </c>
    </row>
    <row r="31" spans="1:11" ht="14.5" x14ac:dyDescent="0.35">
      <c r="A31" t="s">
        <v>47</v>
      </c>
      <c r="B31" t="s">
        <v>1118</v>
      </c>
      <c r="C31" s="14">
        <f t="shared" si="0"/>
        <v>1</v>
      </c>
      <c r="D31" s="14">
        <f t="shared" si="1"/>
        <v>0</v>
      </c>
      <c r="E31" s="14">
        <f t="shared" si="2"/>
        <v>0</v>
      </c>
      <c r="F31">
        <v>475</v>
      </c>
      <c r="G31" s="3">
        <v>0.52200000000000002</v>
      </c>
      <c r="H31" s="7">
        <v>19767665</v>
      </c>
      <c r="I31">
        <v>1</v>
      </c>
      <c r="J31" s="14">
        <f t="shared" si="3"/>
        <v>1</v>
      </c>
      <c r="K31" s="3">
        <v>0.40922263706917333</v>
      </c>
    </row>
    <row r="32" spans="1:11" ht="14.5" x14ac:dyDescent="0.35">
      <c r="A32" t="s">
        <v>36</v>
      </c>
      <c r="B32" t="s">
        <v>1119</v>
      </c>
      <c r="C32" s="14">
        <f t="shared" si="0"/>
        <v>0</v>
      </c>
      <c r="D32" s="14">
        <f t="shared" si="1"/>
        <v>0</v>
      </c>
      <c r="E32" s="14">
        <f t="shared" si="2"/>
        <v>1</v>
      </c>
      <c r="F32">
        <v>381</v>
      </c>
      <c r="G32" s="3">
        <v>0.50700000000000001</v>
      </c>
      <c r="H32" s="7">
        <v>1581178</v>
      </c>
      <c r="I32">
        <v>1</v>
      </c>
      <c r="J32" s="14">
        <f t="shared" si="3"/>
        <v>0</v>
      </c>
      <c r="K32" s="3">
        <v>0.53256116642149076</v>
      </c>
    </row>
    <row r="33" spans="1:11" ht="14.5" x14ac:dyDescent="0.35">
      <c r="A33" t="s">
        <v>36</v>
      </c>
      <c r="B33" t="s">
        <v>1117</v>
      </c>
      <c r="C33" s="14">
        <f t="shared" si="0"/>
        <v>0</v>
      </c>
      <c r="D33" s="14">
        <f t="shared" si="1"/>
        <v>1</v>
      </c>
      <c r="E33" s="14">
        <f t="shared" si="2"/>
        <v>0</v>
      </c>
      <c r="F33">
        <v>341</v>
      </c>
      <c r="G33" s="3">
        <v>0.59200000000000008</v>
      </c>
      <c r="H33" s="7">
        <v>4416654</v>
      </c>
      <c r="I33">
        <v>1</v>
      </c>
      <c r="J33" s="14">
        <f t="shared" si="3"/>
        <v>0</v>
      </c>
      <c r="K33" s="3">
        <v>0.55166286514633023</v>
      </c>
    </row>
    <row r="34" spans="1:11" ht="14.5" x14ac:dyDescent="0.35">
      <c r="A34" t="s">
        <v>47</v>
      </c>
      <c r="B34" t="s">
        <v>1118</v>
      </c>
      <c r="C34" s="14">
        <f t="shared" si="0"/>
        <v>1</v>
      </c>
      <c r="D34" s="14">
        <f t="shared" si="1"/>
        <v>0</v>
      </c>
      <c r="E34" s="14">
        <f t="shared" si="2"/>
        <v>0</v>
      </c>
      <c r="F34">
        <v>479</v>
      </c>
      <c r="G34" s="3">
        <v>0.52</v>
      </c>
      <c r="H34" s="7">
        <v>13894714</v>
      </c>
      <c r="I34">
        <v>1</v>
      </c>
      <c r="J34" s="14">
        <f t="shared" si="3"/>
        <v>1</v>
      </c>
      <c r="K34" s="3">
        <v>0.4997208290865145</v>
      </c>
    </row>
    <row r="35" spans="1:11" ht="14.5" x14ac:dyDescent="0.35">
      <c r="A35" t="s">
        <v>36</v>
      </c>
      <c r="B35" t="s">
        <v>1118</v>
      </c>
      <c r="C35" s="14">
        <f t="shared" si="0"/>
        <v>0</v>
      </c>
      <c r="D35" s="14">
        <f t="shared" si="1"/>
        <v>0</v>
      </c>
      <c r="E35" s="14">
        <f t="shared" si="2"/>
        <v>0</v>
      </c>
      <c r="F35">
        <v>415</v>
      </c>
      <c r="G35" s="3">
        <v>0.47000000000000003</v>
      </c>
      <c r="H35" s="7">
        <v>43152829</v>
      </c>
      <c r="I35">
        <v>1</v>
      </c>
      <c r="J35" s="14">
        <f t="shared" si="3"/>
        <v>1</v>
      </c>
      <c r="K35" s="3">
        <v>0.24496433362456954</v>
      </c>
    </row>
    <row r="36" spans="1:11" ht="14.5" x14ac:dyDescent="0.35">
      <c r="A36" t="s">
        <v>36</v>
      </c>
      <c r="B36" t="s">
        <v>1117</v>
      </c>
      <c r="C36" s="14">
        <f t="shared" si="0"/>
        <v>0</v>
      </c>
      <c r="D36" s="14">
        <f t="shared" si="1"/>
        <v>1</v>
      </c>
      <c r="E36" s="14">
        <f t="shared" si="2"/>
        <v>0</v>
      </c>
      <c r="F36">
        <v>472</v>
      </c>
      <c r="G36" s="3">
        <v>0.33299999999999996</v>
      </c>
      <c r="H36" s="7">
        <v>4285223</v>
      </c>
      <c r="I36">
        <v>1</v>
      </c>
      <c r="J36" s="14">
        <f t="shared" si="3"/>
        <v>0</v>
      </c>
      <c r="K36" s="3">
        <v>0.3082572365545504</v>
      </c>
    </row>
    <row r="37" spans="1:11" ht="14.5" x14ac:dyDescent="0.35">
      <c r="A37" t="s">
        <v>47</v>
      </c>
      <c r="B37" t="s">
        <v>1119</v>
      </c>
      <c r="C37" s="14">
        <f t="shared" si="0"/>
        <v>1</v>
      </c>
      <c r="D37" s="14">
        <f t="shared" si="1"/>
        <v>0</v>
      </c>
      <c r="E37" s="14">
        <f t="shared" si="2"/>
        <v>1</v>
      </c>
      <c r="F37">
        <v>386</v>
      </c>
      <c r="G37" s="3">
        <v>0.376</v>
      </c>
      <c r="H37" s="7">
        <v>1291292</v>
      </c>
      <c r="I37">
        <v>1</v>
      </c>
      <c r="J37" s="14">
        <f t="shared" si="3"/>
        <v>0</v>
      </c>
      <c r="K37" s="3">
        <v>0.40398995734504667</v>
      </c>
    </row>
    <row r="38" spans="1:11" ht="14.5" x14ac:dyDescent="0.35">
      <c r="A38" t="s">
        <v>36</v>
      </c>
      <c r="B38" t="s">
        <v>1118</v>
      </c>
      <c r="C38" s="14">
        <f t="shared" si="0"/>
        <v>0</v>
      </c>
      <c r="D38" s="14">
        <f t="shared" si="1"/>
        <v>0</v>
      </c>
      <c r="E38" s="14">
        <f t="shared" si="2"/>
        <v>0</v>
      </c>
      <c r="F38">
        <v>416</v>
      </c>
      <c r="G38" s="3">
        <v>0.38900000000000001</v>
      </c>
      <c r="H38" s="7">
        <v>8786653</v>
      </c>
      <c r="I38">
        <v>1</v>
      </c>
      <c r="J38" s="14">
        <f t="shared" si="3"/>
        <v>1</v>
      </c>
      <c r="K38" s="3">
        <v>0.34715255057870159</v>
      </c>
    </row>
    <row r="39" spans="1:11" ht="14.5" x14ac:dyDescent="0.35">
      <c r="A39" t="s">
        <v>36</v>
      </c>
      <c r="B39" t="s">
        <v>1118</v>
      </c>
      <c r="C39" s="14">
        <f t="shared" si="0"/>
        <v>0</v>
      </c>
      <c r="D39" s="14">
        <f t="shared" si="1"/>
        <v>0</v>
      </c>
      <c r="E39" s="14">
        <f t="shared" si="2"/>
        <v>0</v>
      </c>
      <c r="F39">
        <v>452</v>
      </c>
      <c r="G39" s="3">
        <v>0.41600000000000004</v>
      </c>
      <c r="H39" s="7">
        <v>12765375</v>
      </c>
      <c r="I39">
        <v>1</v>
      </c>
      <c r="J39" s="14">
        <f t="shared" si="3"/>
        <v>1</v>
      </c>
      <c r="K39" s="3">
        <v>0.39738950089597835</v>
      </c>
    </row>
    <row r="40" spans="1:11" ht="14.5" x14ac:dyDescent="0.35">
      <c r="A40" t="s">
        <v>36</v>
      </c>
      <c r="B40" t="s">
        <v>1118</v>
      </c>
      <c r="C40" s="14">
        <f t="shared" si="0"/>
        <v>0</v>
      </c>
      <c r="D40" s="14">
        <f t="shared" si="1"/>
        <v>0</v>
      </c>
      <c r="E40" s="14">
        <f t="shared" si="2"/>
        <v>0</v>
      </c>
      <c r="F40">
        <v>525</v>
      </c>
      <c r="G40" s="3">
        <v>0.47000000000000003</v>
      </c>
      <c r="H40" s="7">
        <v>25794623</v>
      </c>
      <c r="I40">
        <v>1</v>
      </c>
      <c r="J40" s="14">
        <f t="shared" si="3"/>
        <v>1</v>
      </c>
      <c r="K40" s="3">
        <v>0.26897353762448861</v>
      </c>
    </row>
    <row r="41" spans="1:11" ht="14.5" x14ac:dyDescent="0.35">
      <c r="A41" t="s">
        <v>47</v>
      </c>
      <c r="B41" t="s">
        <v>1119</v>
      </c>
      <c r="C41" s="14">
        <f t="shared" si="0"/>
        <v>1</v>
      </c>
      <c r="D41" s="14">
        <f t="shared" si="1"/>
        <v>0</v>
      </c>
      <c r="E41" s="14">
        <f t="shared" si="2"/>
        <v>1</v>
      </c>
      <c r="F41">
        <v>259</v>
      </c>
      <c r="G41" s="3">
        <v>0.43200000000000005</v>
      </c>
      <c r="H41" s="7">
        <v>1423732</v>
      </c>
      <c r="I41">
        <v>1</v>
      </c>
      <c r="J41" s="14">
        <f t="shared" si="3"/>
        <v>0</v>
      </c>
      <c r="K41" s="3">
        <v>0.4716168492384803</v>
      </c>
    </row>
    <row r="42" spans="1:11" ht="14.5" x14ac:dyDescent="0.35">
      <c r="A42" t="s">
        <v>36</v>
      </c>
      <c r="B42" t="s">
        <v>1118</v>
      </c>
      <c r="C42" s="14">
        <f t="shared" si="0"/>
        <v>0</v>
      </c>
      <c r="D42" s="14">
        <f t="shared" si="1"/>
        <v>0</v>
      </c>
      <c r="E42" s="14">
        <f t="shared" si="2"/>
        <v>0</v>
      </c>
      <c r="F42">
        <v>752</v>
      </c>
      <c r="G42" s="3">
        <v>0.45600000000000002</v>
      </c>
      <c r="H42" s="7">
        <v>72761856</v>
      </c>
      <c r="I42">
        <v>1</v>
      </c>
      <c r="J42" s="14">
        <f t="shared" si="3"/>
        <v>1</v>
      </c>
      <c r="K42" s="3">
        <v>0.29261778314176046</v>
      </c>
    </row>
    <row r="43" spans="1:11" ht="14.5" x14ac:dyDescent="0.35">
      <c r="A43" t="s">
        <v>47</v>
      </c>
      <c r="B43" t="s">
        <v>1119</v>
      </c>
      <c r="C43" s="14">
        <f t="shared" si="0"/>
        <v>1</v>
      </c>
      <c r="D43" s="14">
        <f t="shared" si="1"/>
        <v>0</v>
      </c>
      <c r="E43" s="14">
        <f t="shared" si="2"/>
        <v>1</v>
      </c>
      <c r="F43">
        <v>457</v>
      </c>
      <c r="G43" s="3">
        <v>0.438</v>
      </c>
      <c r="H43" s="7">
        <v>1908200</v>
      </c>
      <c r="I43">
        <v>1</v>
      </c>
      <c r="J43" s="14">
        <f t="shared" si="3"/>
        <v>0</v>
      </c>
      <c r="K43" s="3">
        <v>0.51606959438214028</v>
      </c>
    </row>
    <row r="44" spans="1:11" ht="14.5" x14ac:dyDescent="0.35">
      <c r="A44" t="s">
        <v>47</v>
      </c>
      <c r="B44" t="s">
        <v>1117</v>
      </c>
      <c r="C44" s="14">
        <f t="shared" si="0"/>
        <v>1</v>
      </c>
      <c r="D44" s="14">
        <f t="shared" si="1"/>
        <v>1</v>
      </c>
      <c r="E44" s="14">
        <f t="shared" si="2"/>
        <v>0</v>
      </c>
      <c r="F44">
        <v>554</v>
      </c>
      <c r="G44" s="3">
        <v>0.28199999999999997</v>
      </c>
      <c r="H44" s="7">
        <v>6918234</v>
      </c>
      <c r="I44">
        <v>1</v>
      </c>
      <c r="J44" s="14">
        <f t="shared" si="3"/>
        <v>0</v>
      </c>
      <c r="K44" s="3">
        <v>0.31469707442679734</v>
      </c>
    </row>
    <row r="45" spans="1:11" ht="14.5" x14ac:dyDescent="0.35">
      <c r="A45" t="s">
        <v>47</v>
      </c>
      <c r="B45" t="s">
        <v>1117</v>
      </c>
      <c r="C45" s="14">
        <f t="shared" si="0"/>
        <v>1</v>
      </c>
      <c r="D45" s="14">
        <f t="shared" si="1"/>
        <v>1</v>
      </c>
      <c r="E45" s="14">
        <f t="shared" si="2"/>
        <v>0</v>
      </c>
      <c r="F45">
        <v>272</v>
      </c>
      <c r="G45" s="3">
        <v>0.45200000000000001</v>
      </c>
      <c r="H45" s="7">
        <v>4186109</v>
      </c>
      <c r="I45">
        <v>1</v>
      </c>
      <c r="J45" s="14">
        <f t="shared" si="3"/>
        <v>0</v>
      </c>
      <c r="K45" s="3">
        <v>0.54614296952133834</v>
      </c>
    </row>
    <row r="46" spans="1:11" ht="14.5" x14ac:dyDescent="0.35">
      <c r="A46" t="s">
        <v>47</v>
      </c>
      <c r="B46" t="s">
        <v>1119</v>
      </c>
      <c r="C46" s="14">
        <f t="shared" si="0"/>
        <v>1</v>
      </c>
      <c r="D46" s="14">
        <f t="shared" si="1"/>
        <v>0</v>
      </c>
      <c r="E46" s="14">
        <f t="shared" si="2"/>
        <v>1</v>
      </c>
      <c r="F46">
        <v>337</v>
      </c>
      <c r="G46" s="3">
        <v>0.48399999999999999</v>
      </c>
      <c r="H46" s="7">
        <v>614250</v>
      </c>
      <c r="I46">
        <v>1</v>
      </c>
      <c r="J46" s="14">
        <f t="shared" si="3"/>
        <v>0</v>
      </c>
      <c r="K46" s="3">
        <v>0.53813105413105411</v>
      </c>
    </row>
    <row r="47" spans="1:11" ht="14.5" x14ac:dyDescent="0.35">
      <c r="A47" t="s">
        <v>36</v>
      </c>
      <c r="B47" t="s">
        <v>1117</v>
      </c>
      <c r="C47" s="14">
        <f t="shared" si="0"/>
        <v>0</v>
      </c>
      <c r="D47" s="14">
        <f t="shared" si="1"/>
        <v>1</v>
      </c>
      <c r="E47" s="14">
        <f t="shared" si="2"/>
        <v>0</v>
      </c>
      <c r="F47">
        <v>203</v>
      </c>
      <c r="G47" s="3">
        <v>0.49299999999999999</v>
      </c>
      <c r="H47" s="7">
        <v>3418783</v>
      </c>
      <c r="I47">
        <v>1</v>
      </c>
      <c r="J47" s="14">
        <f t="shared" si="3"/>
        <v>0</v>
      </c>
      <c r="K47" s="3">
        <v>0.50446460041482599</v>
      </c>
    </row>
    <row r="48" spans="1:11" ht="14.5" x14ac:dyDescent="0.35">
      <c r="A48" t="s">
        <v>47</v>
      </c>
      <c r="B48" t="s">
        <v>1117</v>
      </c>
      <c r="C48" s="14">
        <f t="shared" si="0"/>
        <v>1</v>
      </c>
      <c r="D48" s="14">
        <f t="shared" si="1"/>
        <v>1</v>
      </c>
      <c r="E48" s="14">
        <f t="shared" si="2"/>
        <v>0</v>
      </c>
      <c r="F48">
        <v>215</v>
      </c>
      <c r="G48" s="3">
        <v>0.53</v>
      </c>
      <c r="H48" s="7">
        <v>4642905</v>
      </c>
      <c r="I48">
        <v>1</v>
      </c>
      <c r="J48" s="14">
        <f t="shared" si="3"/>
        <v>0</v>
      </c>
      <c r="K48" s="3">
        <v>0.58409810237340631</v>
      </c>
    </row>
    <row r="49" spans="1:11" ht="14.5" x14ac:dyDescent="0.35">
      <c r="A49" t="s">
        <v>47</v>
      </c>
      <c r="B49" t="s">
        <v>1117</v>
      </c>
      <c r="C49" s="14">
        <f t="shared" si="0"/>
        <v>1</v>
      </c>
      <c r="D49" s="14">
        <f t="shared" si="1"/>
        <v>1</v>
      </c>
      <c r="E49" s="14">
        <f t="shared" si="2"/>
        <v>0</v>
      </c>
      <c r="F49">
        <v>421</v>
      </c>
      <c r="G49" s="3">
        <v>0.45799999999999996</v>
      </c>
      <c r="H49" s="7">
        <v>4151886</v>
      </c>
      <c r="I49">
        <v>1</v>
      </c>
      <c r="J49" s="14">
        <f t="shared" si="3"/>
        <v>0</v>
      </c>
      <c r="K49" s="3">
        <v>0.51520826920585006</v>
      </c>
    </row>
    <row r="50" spans="1:11" ht="14.5" x14ac:dyDescent="0.35">
      <c r="A50" t="s">
        <v>36</v>
      </c>
      <c r="B50" t="s">
        <v>1119</v>
      </c>
      <c r="C50" s="14">
        <f t="shared" si="0"/>
        <v>0</v>
      </c>
      <c r="D50" s="14">
        <f t="shared" si="1"/>
        <v>0</v>
      </c>
      <c r="E50" s="14">
        <f t="shared" si="2"/>
        <v>1</v>
      </c>
      <c r="F50">
        <v>795</v>
      </c>
      <c r="G50" s="3">
        <v>0.39900000000000002</v>
      </c>
      <c r="H50" s="7">
        <v>3510734</v>
      </c>
      <c r="I50">
        <v>1</v>
      </c>
      <c r="J50" s="14">
        <f t="shared" si="3"/>
        <v>0</v>
      </c>
      <c r="K50" s="3">
        <v>0.40470511294789069</v>
      </c>
    </row>
    <row r="51" spans="1:11" ht="14.5" x14ac:dyDescent="0.35">
      <c r="A51" t="s">
        <v>47</v>
      </c>
      <c r="B51" t="s">
        <v>1119</v>
      </c>
      <c r="C51" s="14">
        <f t="shared" si="0"/>
        <v>1</v>
      </c>
      <c r="D51" s="14">
        <f t="shared" si="1"/>
        <v>0</v>
      </c>
      <c r="E51" s="14">
        <f t="shared" si="2"/>
        <v>1</v>
      </c>
      <c r="F51">
        <v>501</v>
      </c>
      <c r="G51" s="3">
        <v>0.47500000000000003</v>
      </c>
      <c r="H51" s="7">
        <v>1335767</v>
      </c>
      <c r="I51">
        <v>1</v>
      </c>
      <c r="J51" s="14">
        <f t="shared" si="3"/>
        <v>0</v>
      </c>
      <c r="K51" s="3">
        <v>0.49659858343558422</v>
      </c>
    </row>
    <row r="52" spans="1:11" ht="14.5" x14ac:dyDescent="0.35">
      <c r="A52" t="s">
        <v>36</v>
      </c>
      <c r="B52" t="s">
        <v>1118</v>
      </c>
      <c r="C52" s="14">
        <f t="shared" si="0"/>
        <v>0</v>
      </c>
      <c r="D52" s="14">
        <f t="shared" si="1"/>
        <v>0</v>
      </c>
      <c r="E52" s="14">
        <f t="shared" si="2"/>
        <v>0</v>
      </c>
      <c r="F52">
        <v>720</v>
      </c>
      <c r="G52" s="3">
        <v>0.48799999999999999</v>
      </c>
      <c r="H52" s="7">
        <v>80631180</v>
      </c>
      <c r="I52">
        <v>1</v>
      </c>
      <c r="J52" s="14">
        <f t="shared" si="3"/>
        <v>1</v>
      </c>
      <c r="K52" s="3">
        <v>0.25677233050539505</v>
      </c>
    </row>
    <row r="53" spans="1:11" ht="14.5" x14ac:dyDescent="0.35">
      <c r="A53" t="s">
        <v>36</v>
      </c>
      <c r="B53" t="s">
        <v>1118</v>
      </c>
      <c r="C53" s="14">
        <f t="shared" si="0"/>
        <v>0</v>
      </c>
      <c r="D53" s="14">
        <f t="shared" si="1"/>
        <v>0</v>
      </c>
      <c r="E53" s="14">
        <f t="shared" si="2"/>
        <v>0</v>
      </c>
      <c r="F53">
        <v>321</v>
      </c>
      <c r="G53" s="3">
        <v>0.53900000000000003</v>
      </c>
      <c r="H53" s="7">
        <v>8542548</v>
      </c>
      <c r="I53">
        <v>1</v>
      </c>
      <c r="J53" s="14">
        <f t="shared" si="3"/>
        <v>1</v>
      </c>
      <c r="K53" s="3">
        <v>0.51713551975359107</v>
      </c>
    </row>
    <row r="54" spans="1:11" ht="14.5" x14ac:dyDescent="0.35">
      <c r="A54" t="s">
        <v>47</v>
      </c>
      <c r="B54" t="s">
        <v>1118</v>
      </c>
      <c r="C54" s="14">
        <f t="shared" si="0"/>
        <v>1</v>
      </c>
      <c r="D54" s="14">
        <f t="shared" si="1"/>
        <v>0</v>
      </c>
      <c r="E54" s="14">
        <f t="shared" si="2"/>
        <v>0</v>
      </c>
      <c r="F54">
        <v>464</v>
      </c>
      <c r="G54" s="3">
        <v>0.46100000000000002</v>
      </c>
      <c r="H54" s="7">
        <v>12386814</v>
      </c>
      <c r="I54">
        <v>1</v>
      </c>
      <c r="J54" s="14">
        <f t="shared" si="3"/>
        <v>1</v>
      </c>
      <c r="K54" s="3">
        <v>0.50755949027732228</v>
      </c>
    </row>
    <row r="55" spans="1:11" ht="14.5" x14ac:dyDescent="0.35">
      <c r="A55" t="s">
        <v>36</v>
      </c>
      <c r="B55" t="s">
        <v>1117</v>
      </c>
      <c r="C55" s="14">
        <f t="shared" si="0"/>
        <v>0</v>
      </c>
      <c r="D55" s="14">
        <f t="shared" si="1"/>
        <v>1</v>
      </c>
      <c r="E55" s="14">
        <f t="shared" si="2"/>
        <v>0</v>
      </c>
      <c r="F55">
        <v>292</v>
      </c>
      <c r="G55" s="3">
        <v>0.46200000000000002</v>
      </c>
      <c r="H55" s="7">
        <v>1116865</v>
      </c>
      <c r="I55">
        <v>1</v>
      </c>
      <c r="J55" s="14">
        <f t="shared" si="3"/>
        <v>0</v>
      </c>
      <c r="K55" s="3">
        <v>0.48403164214117195</v>
      </c>
    </row>
    <row r="56" spans="1:11" ht="14.5" x14ac:dyDescent="0.35">
      <c r="A56" t="s">
        <v>36</v>
      </c>
      <c r="B56" t="s">
        <v>1118</v>
      </c>
      <c r="C56" s="14">
        <f t="shared" si="0"/>
        <v>0</v>
      </c>
      <c r="D56" s="14">
        <f t="shared" si="1"/>
        <v>0</v>
      </c>
      <c r="E56" s="14">
        <f t="shared" si="2"/>
        <v>0</v>
      </c>
      <c r="F56">
        <v>608</v>
      </c>
      <c r="G56" s="3">
        <v>0.433</v>
      </c>
      <c r="H56" s="7">
        <v>52735058</v>
      </c>
      <c r="I56">
        <v>1</v>
      </c>
      <c r="J56" s="14">
        <f t="shared" si="3"/>
        <v>1</v>
      </c>
      <c r="K56" s="3">
        <v>0.26037420874743328</v>
      </c>
    </row>
    <row r="57" spans="1:11" ht="14.5" x14ac:dyDescent="0.35">
      <c r="A57" t="s">
        <v>36</v>
      </c>
      <c r="B57" t="s">
        <v>1118</v>
      </c>
      <c r="C57" s="14">
        <f t="shared" si="0"/>
        <v>0</v>
      </c>
      <c r="D57" s="14">
        <f t="shared" si="1"/>
        <v>0</v>
      </c>
      <c r="E57" s="14">
        <f t="shared" si="2"/>
        <v>0</v>
      </c>
      <c r="F57">
        <v>606</v>
      </c>
      <c r="G57" s="3">
        <v>0.502</v>
      </c>
      <c r="H57" s="7">
        <v>51713559</v>
      </c>
      <c r="I57">
        <v>1</v>
      </c>
      <c r="J57" s="14">
        <f t="shared" si="3"/>
        <v>1</v>
      </c>
      <c r="K57" s="3">
        <v>0.22690381839702814</v>
      </c>
    </row>
    <row r="58" spans="1:11" ht="14.5" x14ac:dyDescent="0.35">
      <c r="A58" t="s">
        <v>47</v>
      </c>
      <c r="B58" t="s">
        <v>1117</v>
      </c>
      <c r="C58" s="14">
        <f t="shared" si="0"/>
        <v>1</v>
      </c>
      <c r="D58" s="14">
        <f t="shared" si="1"/>
        <v>1</v>
      </c>
      <c r="E58" s="14">
        <f t="shared" si="2"/>
        <v>0</v>
      </c>
      <c r="F58">
        <v>454</v>
      </c>
      <c r="G58" s="3">
        <v>0.42100000000000004</v>
      </c>
      <c r="H58" s="7">
        <v>6549507</v>
      </c>
      <c r="I58">
        <v>1</v>
      </c>
      <c r="J58" s="14">
        <f t="shared" si="3"/>
        <v>0</v>
      </c>
      <c r="K58" s="3">
        <v>0.47711346823509004</v>
      </c>
    </row>
    <row r="59" spans="1:11" ht="14.5" x14ac:dyDescent="0.35">
      <c r="A59" t="s">
        <v>36</v>
      </c>
      <c r="B59" t="s">
        <v>1117</v>
      </c>
      <c r="C59" s="14">
        <f t="shared" si="0"/>
        <v>0</v>
      </c>
      <c r="D59" s="14">
        <f t="shared" si="1"/>
        <v>1</v>
      </c>
      <c r="E59" s="14">
        <f t="shared" si="2"/>
        <v>0</v>
      </c>
      <c r="F59">
        <v>240</v>
      </c>
      <c r="G59" s="3">
        <v>0.57100000000000006</v>
      </c>
      <c r="H59" s="7">
        <v>3858415</v>
      </c>
      <c r="I59">
        <v>1</v>
      </c>
      <c r="J59" s="14">
        <f t="shared" si="3"/>
        <v>0</v>
      </c>
      <c r="K59" s="3">
        <v>0.502801798147685</v>
      </c>
    </row>
    <row r="60" spans="1:11" ht="14.5" x14ac:dyDescent="0.35">
      <c r="A60" t="s">
        <v>47</v>
      </c>
      <c r="B60" t="s">
        <v>1117</v>
      </c>
      <c r="C60" s="14">
        <f t="shared" si="0"/>
        <v>1</v>
      </c>
      <c r="D60" s="14">
        <f t="shared" si="1"/>
        <v>1</v>
      </c>
      <c r="E60" s="14">
        <f t="shared" si="2"/>
        <v>0</v>
      </c>
      <c r="F60">
        <v>559</v>
      </c>
      <c r="G60" s="3">
        <v>0.36499999999999999</v>
      </c>
      <c r="H60" s="7">
        <v>5739417</v>
      </c>
      <c r="I60">
        <v>1</v>
      </c>
      <c r="J60" s="14">
        <f t="shared" si="3"/>
        <v>0</v>
      </c>
      <c r="K60" s="3">
        <v>0.38441796440300469</v>
      </c>
    </row>
    <row r="61" spans="1:11" ht="14.5" x14ac:dyDescent="0.35">
      <c r="A61" t="s">
        <v>36</v>
      </c>
      <c r="B61" t="s">
        <v>1118</v>
      </c>
      <c r="C61" s="14">
        <f t="shared" si="0"/>
        <v>0</v>
      </c>
      <c r="D61" s="14">
        <f t="shared" si="1"/>
        <v>0</v>
      </c>
      <c r="E61" s="14">
        <f t="shared" si="2"/>
        <v>0</v>
      </c>
      <c r="F61">
        <v>480</v>
      </c>
      <c r="G61" s="3">
        <v>0.5</v>
      </c>
      <c r="H61" s="7">
        <v>11882284</v>
      </c>
      <c r="I61">
        <v>1</v>
      </c>
      <c r="J61" s="14">
        <f t="shared" si="3"/>
        <v>1</v>
      </c>
      <c r="K61" s="3">
        <v>0.38218342534145794</v>
      </c>
    </row>
    <row r="62" spans="1:11" ht="14.5" x14ac:dyDescent="0.35">
      <c r="A62" t="s">
        <v>36</v>
      </c>
      <c r="B62" t="s">
        <v>1117</v>
      </c>
      <c r="C62" s="14">
        <f t="shared" si="0"/>
        <v>0</v>
      </c>
      <c r="D62" s="14">
        <f t="shared" si="1"/>
        <v>1</v>
      </c>
      <c r="E62" s="14">
        <f t="shared" si="2"/>
        <v>0</v>
      </c>
      <c r="F62">
        <v>128</v>
      </c>
      <c r="G62" s="3">
        <v>0.46899999999999997</v>
      </c>
      <c r="H62" s="7">
        <v>3296000</v>
      </c>
      <c r="I62">
        <v>1</v>
      </c>
      <c r="J62" s="14">
        <f t="shared" si="3"/>
        <v>0</v>
      </c>
      <c r="K62" s="3">
        <v>0.48998968446601943</v>
      </c>
    </row>
    <row r="63" spans="1:11" ht="14.5" x14ac:dyDescent="0.35">
      <c r="A63" t="s">
        <v>36</v>
      </c>
      <c r="B63" t="s">
        <v>1117</v>
      </c>
      <c r="C63" s="14">
        <f t="shared" si="0"/>
        <v>0</v>
      </c>
      <c r="D63" s="14">
        <f t="shared" si="1"/>
        <v>1</v>
      </c>
      <c r="E63" s="14">
        <f t="shared" si="2"/>
        <v>0</v>
      </c>
      <c r="F63">
        <v>194</v>
      </c>
      <c r="G63" s="3">
        <v>0.47899999999999998</v>
      </c>
      <c r="H63" s="7">
        <v>2000067</v>
      </c>
      <c r="I63">
        <v>1</v>
      </c>
      <c r="J63" s="14">
        <f t="shared" si="3"/>
        <v>0</v>
      </c>
      <c r="K63" s="3">
        <v>0.43966177133066042</v>
      </c>
    </row>
    <row r="64" spans="1:11" ht="14.5" x14ac:dyDescent="0.35">
      <c r="A64" t="s">
        <v>47</v>
      </c>
      <c r="B64" t="s">
        <v>1118</v>
      </c>
      <c r="C64" s="14">
        <f t="shared" si="0"/>
        <v>1</v>
      </c>
      <c r="D64" s="14">
        <f t="shared" si="1"/>
        <v>0</v>
      </c>
      <c r="E64" s="14">
        <f t="shared" si="2"/>
        <v>0</v>
      </c>
      <c r="F64">
        <v>796</v>
      </c>
      <c r="G64" s="3">
        <v>0.42100000000000004</v>
      </c>
      <c r="H64" s="7">
        <v>101627591</v>
      </c>
      <c r="I64">
        <v>1</v>
      </c>
      <c r="J64" s="14">
        <f t="shared" si="3"/>
        <v>1</v>
      </c>
      <c r="K64" s="3">
        <v>0.23571595827751146</v>
      </c>
    </row>
    <row r="65" spans="1:11" ht="14.5" x14ac:dyDescent="0.35">
      <c r="A65" t="s">
        <v>47</v>
      </c>
      <c r="B65" t="s">
        <v>1119</v>
      </c>
      <c r="C65" s="14">
        <f t="shared" si="0"/>
        <v>1</v>
      </c>
      <c r="D65" s="14">
        <f t="shared" si="1"/>
        <v>0</v>
      </c>
      <c r="E65" s="14">
        <f t="shared" si="2"/>
        <v>1</v>
      </c>
      <c r="F65">
        <v>371</v>
      </c>
      <c r="G65" s="3">
        <v>0.32100000000000001</v>
      </c>
      <c r="H65" s="7">
        <v>1849317</v>
      </c>
      <c r="I65">
        <v>1</v>
      </c>
      <c r="J65" s="14">
        <f t="shared" si="3"/>
        <v>0</v>
      </c>
      <c r="K65" s="3">
        <v>0.33878832022849514</v>
      </c>
    </row>
    <row r="66" spans="1:11" ht="14.5" x14ac:dyDescent="0.35">
      <c r="A66" t="s">
        <v>47</v>
      </c>
      <c r="B66" t="s">
        <v>1119</v>
      </c>
      <c r="C66" s="14">
        <f t="shared" ref="C66:C129" si="4">IF(A66="Private",1,0)</f>
        <v>1</v>
      </c>
      <c r="D66" s="14">
        <f t="shared" ref="D66:D129" si="5">IF(B66="Two",1,0)</f>
        <v>0</v>
      </c>
      <c r="E66" s="14">
        <f t="shared" ref="E66:E129" si="6">IF(B66="Three",1,0)</f>
        <v>1</v>
      </c>
      <c r="F66">
        <v>596</v>
      </c>
      <c r="G66" s="3">
        <v>0.38400000000000001</v>
      </c>
      <c r="H66" s="7">
        <v>3029389</v>
      </c>
      <c r="I66">
        <v>1</v>
      </c>
      <c r="J66" s="14">
        <f t="shared" ref="J66:J129" si="7">IF(B66="One",1,0)</f>
        <v>0</v>
      </c>
      <c r="K66" s="3">
        <v>0.38608841584887249</v>
      </c>
    </row>
    <row r="67" spans="1:11" ht="14.5" x14ac:dyDescent="0.35">
      <c r="A67" t="s">
        <v>36</v>
      </c>
      <c r="B67" t="s">
        <v>1117</v>
      </c>
      <c r="C67" s="14">
        <f t="shared" si="4"/>
        <v>0</v>
      </c>
      <c r="D67" s="14">
        <f t="shared" si="5"/>
        <v>1</v>
      </c>
      <c r="E67" s="14">
        <f t="shared" si="6"/>
        <v>0</v>
      </c>
      <c r="F67">
        <v>314</v>
      </c>
      <c r="G67" s="3">
        <v>0.433</v>
      </c>
      <c r="H67" s="7">
        <v>3672052</v>
      </c>
      <c r="I67">
        <v>1</v>
      </c>
      <c r="J67" s="14">
        <f t="shared" si="7"/>
        <v>0</v>
      </c>
      <c r="K67" s="3">
        <v>0.43271146487032319</v>
      </c>
    </row>
    <row r="68" spans="1:11" ht="14.5" x14ac:dyDescent="0.35">
      <c r="A68" t="s">
        <v>47</v>
      </c>
      <c r="B68" t="s">
        <v>1118</v>
      </c>
      <c r="C68" s="14">
        <f t="shared" si="4"/>
        <v>1</v>
      </c>
      <c r="D68" s="14">
        <f t="shared" si="5"/>
        <v>0</v>
      </c>
      <c r="E68" s="14">
        <f t="shared" si="6"/>
        <v>0</v>
      </c>
      <c r="F68">
        <v>427</v>
      </c>
      <c r="G68" s="3">
        <v>0.51500000000000001</v>
      </c>
      <c r="H68" s="7">
        <v>10417036</v>
      </c>
      <c r="I68">
        <v>1</v>
      </c>
      <c r="J68" s="14">
        <f t="shared" si="7"/>
        <v>1</v>
      </c>
      <c r="K68" s="3">
        <v>0.4780039158931581</v>
      </c>
    </row>
    <row r="69" spans="1:11" ht="14.5" x14ac:dyDescent="0.35">
      <c r="A69" t="s">
        <v>47</v>
      </c>
      <c r="B69" t="s">
        <v>1119</v>
      </c>
      <c r="C69" s="14">
        <f t="shared" si="4"/>
        <v>1</v>
      </c>
      <c r="D69" s="14">
        <f t="shared" si="5"/>
        <v>0</v>
      </c>
      <c r="E69" s="14">
        <f t="shared" si="6"/>
        <v>1</v>
      </c>
      <c r="F69">
        <v>460</v>
      </c>
      <c r="G69" s="3">
        <v>0.38300000000000001</v>
      </c>
      <c r="H69" s="7">
        <v>2088018</v>
      </c>
      <c r="I69">
        <v>1</v>
      </c>
      <c r="J69" s="14">
        <f t="shared" si="7"/>
        <v>0</v>
      </c>
      <c r="K69" s="3">
        <v>0.37581285218805582</v>
      </c>
    </row>
    <row r="70" spans="1:11" ht="14.5" x14ac:dyDescent="0.35">
      <c r="A70" t="s">
        <v>47</v>
      </c>
      <c r="B70" t="s">
        <v>1118</v>
      </c>
      <c r="C70" s="14">
        <f t="shared" si="4"/>
        <v>1</v>
      </c>
      <c r="D70" s="14">
        <f t="shared" si="5"/>
        <v>0</v>
      </c>
      <c r="E70" s="14">
        <f t="shared" si="6"/>
        <v>0</v>
      </c>
      <c r="F70">
        <v>402</v>
      </c>
      <c r="G70" s="3">
        <v>0.49</v>
      </c>
      <c r="H70" s="7">
        <v>17044487</v>
      </c>
      <c r="I70">
        <v>1</v>
      </c>
      <c r="J70" s="14">
        <f t="shared" si="7"/>
        <v>1</v>
      </c>
      <c r="K70" s="3">
        <v>0.47869243585917254</v>
      </c>
    </row>
    <row r="71" spans="1:11" ht="14.5" x14ac:dyDescent="0.35">
      <c r="A71" t="s">
        <v>36</v>
      </c>
      <c r="B71" t="s">
        <v>1119</v>
      </c>
      <c r="C71" s="14">
        <f t="shared" si="4"/>
        <v>0</v>
      </c>
      <c r="D71" s="14">
        <f t="shared" si="5"/>
        <v>0</v>
      </c>
      <c r="E71" s="14">
        <f t="shared" si="6"/>
        <v>1</v>
      </c>
      <c r="F71">
        <v>113</v>
      </c>
      <c r="G71" s="3">
        <v>0.46899999999999997</v>
      </c>
      <c r="H71" s="7">
        <v>303545</v>
      </c>
      <c r="I71">
        <v>1</v>
      </c>
      <c r="J71" s="14">
        <f t="shared" si="7"/>
        <v>0</v>
      </c>
      <c r="K71" s="3">
        <v>0.50442932678844987</v>
      </c>
    </row>
    <row r="72" spans="1:11" ht="14.5" x14ac:dyDescent="0.35">
      <c r="A72" t="s">
        <v>36</v>
      </c>
      <c r="B72" t="s">
        <v>1117</v>
      </c>
      <c r="C72" s="14">
        <f t="shared" si="4"/>
        <v>0</v>
      </c>
      <c r="D72" s="14">
        <f t="shared" si="5"/>
        <v>1</v>
      </c>
      <c r="E72" s="14">
        <f t="shared" si="6"/>
        <v>0</v>
      </c>
      <c r="F72">
        <v>398</v>
      </c>
      <c r="G72" s="3">
        <v>0.34700000000000003</v>
      </c>
      <c r="H72" s="7">
        <v>4010897</v>
      </c>
      <c r="I72">
        <v>1</v>
      </c>
      <c r="J72" s="14">
        <f t="shared" si="7"/>
        <v>0</v>
      </c>
      <c r="K72" s="3">
        <v>0.41017981763181655</v>
      </c>
    </row>
    <row r="73" spans="1:11" ht="14.5" x14ac:dyDescent="0.35">
      <c r="A73" t="s">
        <v>36</v>
      </c>
      <c r="B73" t="s">
        <v>1119</v>
      </c>
      <c r="C73" s="14">
        <f t="shared" si="4"/>
        <v>0</v>
      </c>
      <c r="D73" s="14">
        <f t="shared" si="5"/>
        <v>0</v>
      </c>
      <c r="E73" s="14">
        <f t="shared" si="6"/>
        <v>1</v>
      </c>
      <c r="F73">
        <v>737</v>
      </c>
      <c r="G73" s="3">
        <v>0.48700000000000004</v>
      </c>
      <c r="H73" s="7">
        <v>2824403</v>
      </c>
      <c r="I73">
        <v>1</v>
      </c>
      <c r="J73" s="14">
        <f t="shared" si="7"/>
        <v>0</v>
      </c>
      <c r="K73" s="3">
        <v>0.44537164136987534</v>
      </c>
    </row>
    <row r="74" spans="1:11" ht="14.5" x14ac:dyDescent="0.35">
      <c r="A74" t="s">
        <v>47</v>
      </c>
      <c r="B74" t="s">
        <v>1119</v>
      </c>
      <c r="C74" s="14">
        <f t="shared" si="4"/>
        <v>1</v>
      </c>
      <c r="D74" s="14">
        <f t="shared" si="5"/>
        <v>0</v>
      </c>
      <c r="E74" s="14">
        <f t="shared" si="6"/>
        <v>1</v>
      </c>
      <c r="F74">
        <v>796</v>
      </c>
      <c r="G74" s="3">
        <v>0.45600000000000002</v>
      </c>
      <c r="H74" s="7">
        <v>4268961</v>
      </c>
      <c r="I74">
        <v>1</v>
      </c>
      <c r="J74" s="14">
        <f t="shared" si="7"/>
        <v>0</v>
      </c>
      <c r="K74" s="3">
        <v>0.44578036669812632</v>
      </c>
    </row>
    <row r="75" spans="1:11" ht="14.5" x14ac:dyDescent="0.35">
      <c r="A75" t="s">
        <v>36</v>
      </c>
      <c r="B75" t="s">
        <v>1118</v>
      </c>
      <c r="C75" s="14">
        <f t="shared" si="4"/>
        <v>0</v>
      </c>
      <c r="D75" s="14">
        <f t="shared" si="5"/>
        <v>0</v>
      </c>
      <c r="E75" s="14">
        <f t="shared" si="6"/>
        <v>0</v>
      </c>
      <c r="F75">
        <v>377</v>
      </c>
      <c r="G75" s="3">
        <v>0.43</v>
      </c>
      <c r="H75" s="7">
        <v>21164677</v>
      </c>
      <c r="I75">
        <v>1</v>
      </c>
      <c r="J75" s="14">
        <f t="shared" si="7"/>
        <v>1</v>
      </c>
      <c r="K75" s="3">
        <v>0.33413668443888844</v>
      </c>
    </row>
    <row r="76" spans="1:11" ht="14.5" x14ac:dyDescent="0.35">
      <c r="A76" t="s">
        <v>36</v>
      </c>
      <c r="B76" t="s">
        <v>1118</v>
      </c>
      <c r="C76" s="14">
        <f t="shared" si="4"/>
        <v>0</v>
      </c>
      <c r="D76" s="14">
        <f t="shared" si="5"/>
        <v>0</v>
      </c>
      <c r="E76" s="14">
        <f t="shared" si="6"/>
        <v>0</v>
      </c>
      <c r="F76">
        <v>481</v>
      </c>
      <c r="G76" s="3">
        <v>0.39500000000000002</v>
      </c>
      <c r="H76" s="7">
        <v>28809882</v>
      </c>
      <c r="I76">
        <v>1</v>
      </c>
      <c r="J76" s="14">
        <f t="shared" si="7"/>
        <v>1</v>
      </c>
      <c r="K76" s="3">
        <v>0.28716198837607182</v>
      </c>
    </row>
    <row r="77" spans="1:11" ht="14.5" x14ac:dyDescent="0.35">
      <c r="A77" t="s">
        <v>47</v>
      </c>
      <c r="B77" t="s">
        <v>1119</v>
      </c>
      <c r="C77" s="14">
        <f t="shared" si="4"/>
        <v>1</v>
      </c>
      <c r="D77" s="14">
        <f t="shared" si="5"/>
        <v>0</v>
      </c>
      <c r="E77" s="14">
        <f t="shared" si="6"/>
        <v>1</v>
      </c>
      <c r="F77">
        <v>811</v>
      </c>
      <c r="G77" s="3">
        <v>0.35499999999999998</v>
      </c>
      <c r="H77" s="7">
        <v>3033895</v>
      </c>
      <c r="I77">
        <v>1</v>
      </c>
      <c r="J77" s="14">
        <f t="shared" si="7"/>
        <v>0</v>
      </c>
      <c r="K77" s="3">
        <v>0.34080678467778219</v>
      </c>
    </row>
    <row r="78" spans="1:11" ht="14.5" x14ac:dyDescent="0.35">
      <c r="A78" t="s">
        <v>47</v>
      </c>
      <c r="B78" t="s">
        <v>1119</v>
      </c>
      <c r="C78" s="14">
        <f t="shared" si="4"/>
        <v>1</v>
      </c>
      <c r="D78" s="14">
        <f t="shared" si="5"/>
        <v>0</v>
      </c>
      <c r="E78" s="14">
        <f t="shared" si="6"/>
        <v>1</v>
      </c>
      <c r="F78">
        <v>298</v>
      </c>
      <c r="G78" s="3">
        <v>0.55400000000000005</v>
      </c>
      <c r="H78" s="7">
        <v>719237</v>
      </c>
      <c r="I78">
        <v>1</v>
      </c>
      <c r="J78" s="14">
        <f t="shared" si="7"/>
        <v>0</v>
      </c>
      <c r="K78" s="3">
        <v>0.53388938555719467</v>
      </c>
    </row>
    <row r="79" spans="1:11" ht="14.5" x14ac:dyDescent="0.35">
      <c r="A79" t="s">
        <v>47</v>
      </c>
      <c r="B79" t="s">
        <v>1119</v>
      </c>
      <c r="C79" s="14">
        <f t="shared" si="4"/>
        <v>1</v>
      </c>
      <c r="D79" s="14">
        <f t="shared" si="5"/>
        <v>0</v>
      </c>
      <c r="E79" s="14">
        <f t="shared" si="6"/>
        <v>1</v>
      </c>
      <c r="F79">
        <v>386</v>
      </c>
      <c r="G79" s="3">
        <v>0.48399999999999999</v>
      </c>
      <c r="H79" s="7">
        <v>828075</v>
      </c>
      <c r="I79">
        <v>1</v>
      </c>
      <c r="J79" s="14">
        <f t="shared" si="7"/>
        <v>0</v>
      </c>
      <c r="K79" s="3">
        <v>0.43727681671346197</v>
      </c>
    </row>
    <row r="80" spans="1:11" ht="14.5" x14ac:dyDescent="0.35">
      <c r="A80" t="s">
        <v>36</v>
      </c>
      <c r="B80" t="s">
        <v>1117</v>
      </c>
      <c r="C80" s="14">
        <f t="shared" si="4"/>
        <v>0</v>
      </c>
      <c r="D80" s="14">
        <f t="shared" si="5"/>
        <v>1</v>
      </c>
      <c r="E80" s="14">
        <f t="shared" si="6"/>
        <v>0</v>
      </c>
      <c r="F80">
        <v>358</v>
      </c>
      <c r="G80" s="3">
        <v>0.26300000000000001</v>
      </c>
      <c r="H80" s="7">
        <v>3549181</v>
      </c>
      <c r="I80">
        <v>1</v>
      </c>
      <c r="J80" s="14">
        <f t="shared" si="7"/>
        <v>0</v>
      </c>
      <c r="K80" s="3">
        <v>0.25820830214069107</v>
      </c>
    </row>
    <row r="81" spans="1:11" ht="14.5" x14ac:dyDescent="0.35">
      <c r="A81" t="s">
        <v>47</v>
      </c>
      <c r="B81" t="s">
        <v>1118</v>
      </c>
      <c r="C81" s="14">
        <f t="shared" si="4"/>
        <v>1</v>
      </c>
      <c r="D81" s="14">
        <f t="shared" si="5"/>
        <v>0</v>
      </c>
      <c r="E81" s="14">
        <f t="shared" si="6"/>
        <v>0</v>
      </c>
      <c r="F81">
        <v>447</v>
      </c>
      <c r="G81" s="3">
        <v>0.45</v>
      </c>
      <c r="H81" s="7">
        <v>14258775</v>
      </c>
      <c r="I81">
        <v>1</v>
      </c>
      <c r="J81" s="14">
        <f t="shared" si="7"/>
        <v>1</v>
      </c>
      <c r="K81" s="3">
        <v>0.47214280329130659</v>
      </c>
    </row>
    <row r="82" spans="1:11" ht="14.5" x14ac:dyDescent="0.35">
      <c r="A82" t="s">
        <v>47</v>
      </c>
      <c r="B82" t="s">
        <v>1117</v>
      </c>
      <c r="C82" s="14">
        <f t="shared" si="4"/>
        <v>1</v>
      </c>
      <c r="D82" s="14">
        <f t="shared" si="5"/>
        <v>1</v>
      </c>
      <c r="E82" s="14">
        <f t="shared" si="6"/>
        <v>0</v>
      </c>
      <c r="F82">
        <v>499</v>
      </c>
      <c r="G82" s="3">
        <v>0.51100000000000001</v>
      </c>
      <c r="H82" s="7">
        <v>7836144</v>
      </c>
      <c r="I82">
        <v>1</v>
      </c>
      <c r="J82" s="14">
        <f t="shared" si="7"/>
        <v>0</v>
      </c>
      <c r="K82" s="3">
        <v>0.51073563732366323</v>
      </c>
    </row>
    <row r="83" spans="1:11" ht="14.5" x14ac:dyDescent="0.35">
      <c r="A83" t="s">
        <v>47</v>
      </c>
      <c r="B83" t="s">
        <v>1119</v>
      </c>
      <c r="C83" s="14">
        <f t="shared" si="4"/>
        <v>1</v>
      </c>
      <c r="D83" s="14">
        <f t="shared" si="5"/>
        <v>0</v>
      </c>
      <c r="E83" s="14">
        <f t="shared" si="6"/>
        <v>1</v>
      </c>
      <c r="F83">
        <v>474</v>
      </c>
      <c r="G83" s="3">
        <v>0.39200000000000002</v>
      </c>
      <c r="H83" s="7">
        <v>2683821</v>
      </c>
      <c r="I83">
        <v>1</v>
      </c>
      <c r="J83" s="14">
        <f t="shared" si="7"/>
        <v>0</v>
      </c>
      <c r="K83" s="3">
        <v>0.36821867032115779</v>
      </c>
    </row>
    <row r="84" spans="1:11" ht="14.5" x14ac:dyDescent="0.35">
      <c r="A84" t="s">
        <v>47</v>
      </c>
      <c r="B84" t="s">
        <v>1118</v>
      </c>
      <c r="C84" s="14">
        <f t="shared" si="4"/>
        <v>1</v>
      </c>
      <c r="D84" s="14">
        <f t="shared" si="5"/>
        <v>0</v>
      </c>
      <c r="E84" s="14">
        <f t="shared" si="6"/>
        <v>0</v>
      </c>
      <c r="F84">
        <v>549</v>
      </c>
      <c r="G84" s="3">
        <v>0.37200000000000005</v>
      </c>
      <c r="H84" s="7">
        <v>12333372</v>
      </c>
      <c r="I84">
        <v>1</v>
      </c>
      <c r="J84" s="14">
        <f t="shared" si="7"/>
        <v>1</v>
      </c>
      <c r="K84" s="3">
        <v>0.3850633873688396</v>
      </c>
    </row>
    <row r="85" spans="1:11" ht="14.5" x14ac:dyDescent="0.35">
      <c r="A85" t="s">
        <v>47</v>
      </c>
      <c r="B85" t="s">
        <v>1118</v>
      </c>
      <c r="C85" s="14">
        <f t="shared" si="4"/>
        <v>1</v>
      </c>
      <c r="D85" s="14">
        <f t="shared" si="5"/>
        <v>0</v>
      </c>
      <c r="E85" s="14">
        <f t="shared" si="6"/>
        <v>0</v>
      </c>
      <c r="F85">
        <v>571</v>
      </c>
      <c r="G85" s="3">
        <v>0.48499999999999999</v>
      </c>
      <c r="H85" s="7">
        <v>18045694</v>
      </c>
      <c r="I85">
        <v>1</v>
      </c>
      <c r="J85" s="14">
        <f t="shared" si="7"/>
        <v>1</v>
      </c>
      <c r="K85" s="3">
        <v>0.42194464784784669</v>
      </c>
    </row>
    <row r="86" spans="1:11" ht="14.5" x14ac:dyDescent="0.35">
      <c r="A86" t="s">
        <v>47</v>
      </c>
      <c r="B86" t="s">
        <v>1117</v>
      </c>
      <c r="C86" s="14">
        <f t="shared" si="4"/>
        <v>1</v>
      </c>
      <c r="D86" s="14">
        <f t="shared" si="5"/>
        <v>1</v>
      </c>
      <c r="E86" s="14">
        <f t="shared" si="6"/>
        <v>0</v>
      </c>
      <c r="F86">
        <v>320</v>
      </c>
      <c r="G86" s="3">
        <v>0.46299999999999997</v>
      </c>
      <c r="H86" s="7">
        <v>3095117</v>
      </c>
      <c r="I86">
        <v>1</v>
      </c>
      <c r="J86" s="14">
        <f t="shared" si="7"/>
        <v>0</v>
      </c>
      <c r="K86" s="3">
        <v>0.50060078504302097</v>
      </c>
    </row>
    <row r="87" spans="1:11" ht="14.5" x14ac:dyDescent="0.35">
      <c r="A87" t="s">
        <v>47</v>
      </c>
      <c r="B87" t="s">
        <v>1119</v>
      </c>
      <c r="C87" s="14">
        <f t="shared" si="4"/>
        <v>1</v>
      </c>
      <c r="D87" s="14">
        <f t="shared" si="5"/>
        <v>0</v>
      </c>
      <c r="E87" s="14">
        <f t="shared" si="6"/>
        <v>1</v>
      </c>
      <c r="F87">
        <v>368</v>
      </c>
      <c r="G87" s="3">
        <v>0.47000000000000003</v>
      </c>
      <c r="H87" s="7">
        <v>705952</v>
      </c>
      <c r="I87">
        <v>1</v>
      </c>
      <c r="J87" s="14">
        <f t="shared" si="7"/>
        <v>0</v>
      </c>
      <c r="K87" s="3">
        <v>0.49396559539458773</v>
      </c>
    </row>
    <row r="88" spans="1:11" ht="14.5" x14ac:dyDescent="0.35">
      <c r="A88" t="s">
        <v>47</v>
      </c>
      <c r="B88" t="s">
        <v>1118</v>
      </c>
      <c r="C88" s="14">
        <f t="shared" si="4"/>
        <v>1</v>
      </c>
      <c r="D88" s="14">
        <f t="shared" si="5"/>
        <v>0</v>
      </c>
      <c r="E88" s="14">
        <f t="shared" si="6"/>
        <v>0</v>
      </c>
      <c r="F88">
        <v>1007</v>
      </c>
      <c r="G88" s="3">
        <v>0.47399999999999998</v>
      </c>
      <c r="H88" s="7">
        <v>17022019</v>
      </c>
      <c r="I88">
        <v>1</v>
      </c>
      <c r="J88" s="14">
        <f t="shared" si="7"/>
        <v>1</v>
      </c>
      <c r="K88" s="3">
        <v>0.3804243785651984</v>
      </c>
    </row>
    <row r="89" spans="1:11" ht="14.5" x14ac:dyDescent="0.35">
      <c r="A89" t="s">
        <v>36</v>
      </c>
      <c r="B89" t="s">
        <v>1117</v>
      </c>
      <c r="C89" s="14">
        <f t="shared" si="4"/>
        <v>0</v>
      </c>
      <c r="D89" s="14">
        <f t="shared" si="5"/>
        <v>1</v>
      </c>
      <c r="E89" s="14">
        <f t="shared" si="6"/>
        <v>0</v>
      </c>
      <c r="F89">
        <v>514</v>
      </c>
      <c r="G89" s="3">
        <v>0.57399999999999995</v>
      </c>
      <c r="H89" s="7">
        <v>4648360</v>
      </c>
      <c r="I89">
        <v>1</v>
      </c>
      <c r="J89" s="14">
        <f t="shared" si="7"/>
        <v>0</v>
      </c>
      <c r="K89" s="3">
        <v>0.50812867333855383</v>
      </c>
    </row>
    <row r="90" spans="1:11" ht="14.5" x14ac:dyDescent="0.35">
      <c r="A90" t="s">
        <v>36</v>
      </c>
      <c r="B90" t="s">
        <v>1118</v>
      </c>
      <c r="C90" s="14">
        <f t="shared" si="4"/>
        <v>0</v>
      </c>
      <c r="D90" s="14">
        <f t="shared" si="5"/>
        <v>0</v>
      </c>
      <c r="E90" s="14">
        <f t="shared" si="6"/>
        <v>0</v>
      </c>
      <c r="F90">
        <v>693</v>
      </c>
      <c r="G90" s="3">
        <v>0.51400000000000001</v>
      </c>
      <c r="H90" s="7">
        <v>22344165</v>
      </c>
      <c r="I90">
        <v>1</v>
      </c>
      <c r="J90" s="14">
        <f t="shared" si="7"/>
        <v>1</v>
      </c>
      <c r="K90" s="3">
        <v>0.47231086952678697</v>
      </c>
    </row>
    <row r="91" spans="1:11" ht="14.5" x14ac:dyDescent="0.35">
      <c r="A91" t="s">
        <v>36</v>
      </c>
      <c r="B91" t="s">
        <v>1119</v>
      </c>
      <c r="C91" s="14">
        <f t="shared" si="4"/>
        <v>0</v>
      </c>
      <c r="D91" s="14">
        <f t="shared" si="5"/>
        <v>0</v>
      </c>
      <c r="E91" s="14">
        <f t="shared" si="6"/>
        <v>1</v>
      </c>
      <c r="F91">
        <v>477</v>
      </c>
      <c r="G91" s="3">
        <v>0.44</v>
      </c>
      <c r="H91" s="7">
        <v>1211938</v>
      </c>
      <c r="I91">
        <v>1</v>
      </c>
      <c r="J91" s="14">
        <f t="shared" si="7"/>
        <v>0</v>
      </c>
      <c r="K91" s="3">
        <v>0.50249517714602565</v>
      </c>
    </row>
    <row r="92" spans="1:11" ht="14.5" x14ac:dyDescent="0.35">
      <c r="A92" t="s">
        <v>47</v>
      </c>
      <c r="B92" t="s">
        <v>1119</v>
      </c>
      <c r="C92" s="14">
        <f t="shared" si="4"/>
        <v>1</v>
      </c>
      <c r="D92" s="14">
        <f t="shared" si="5"/>
        <v>0</v>
      </c>
      <c r="E92" s="14">
        <f t="shared" si="6"/>
        <v>1</v>
      </c>
      <c r="F92">
        <v>223</v>
      </c>
      <c r="G92" s="3">
        <v>0.42600000000000005</v>
      </c>
      <c r="H92" s="7">
        <v>846593</v>
      </c>
      <c r="I92">
        <v>1</v>
      </c>
      <c r="J92" s="14">
        <f t="shared" si="7"/>
        <v>0</v>
      </c>
      <c r="K92" s="3">
        <v>0.48548121706652431</v>
      </c>
    </row>
    <row r="93" spans="1:11" ht="14.5" x14ac:dyDescent="0.35">
      <c r="A93" t="s">
        <v>36</v>
      </c>
      <c r="B93" t="s">
        <v>1118</v>
      </c>
      <c r="C93" s="14">
        <f t="shared" si="4"/>
        <v>0</v>
      </c>
      <c r="D93" s="14">
        <f t="shared" si="5"/>
        <v>0</v>
      </c>
      <c r="E93" s="14">
        <f t="shared" si="6"/>
        <v>0</v>
      </c>
      <c r="F93">
        <v>450</v>
      </c>
      <c r="G93" s="3">
        <v>0.48200000000000004</v>
      </c>
      <c r="H93" s="7">
        <v>9456989</v>
      </c>
      <c r="I93">
        <v>1</v>
      </c>
      <c r="J93" s="14">
        <f t="shared" si="7"/>
        <v>1</v>
      </c>
      <c r="K93" s="3">
        <v>0.46808587807387741</v>
      </c>
    </row>
    <row r="94" spans="1:11" ht="14.5" x14ac:dyDescent="0.35">
      <c r="A94" t="s">
        <v>36</v>
      </c>
      <c r="B94" t="s">
        <v>1119</v>
      </c>
      <c r="C94" s="14">
        <f t="shared" si="4"/>
        <v>0</v>
      </c>
      <c r="D94" s="14">
        <f t="shared" si="5"/>
        <v>0</v>
      </c>
      <c r="E94" s="14">
        <f t="shared" si="6"/>
        <v>1</v>
      </c>
      <c r="F94">
        <v>426</v>
      </c>
      <c r="G94" s="3">
        <v>0.48600000000000004</v>
      </c>
      <c r="H94" s="7">
        <v>2571335</v>
      </c>
      <c r="I94">
        <v>1</v>
      </c>
      <c r="J94" s="14">
        <f t="shared" si="7"/>
        <v>0</v>
      </c>
      <c r="K94" s="3">
        <v>0.50654815494674943</v>
      </c>
    </row>
    <row r="95" spans="1:11" ht="14.5" x14ac:dyDescent="0.35">
      <c r="A95" t="s">
        <v>47</v>
      </c>
      <c r="B95" t="s">
        <v>1118</v>
      </c>
      <c r="C95" s="14">
        <f t="shared" si="4"/>
        <v>1</v>
      </c>
      <c r="D95" s="14">
        <f t="shared" si="5"/>
        <v>0</v>
      </c>
      <c r="E95" s="14">
        <f t="shared" si="6"/>
        <v>0</v>
      </c>
      <c r="F95">
        <v>574</v>
      </c>
      <c r="G95" s="3">
        <v>0.43700000000000006</v>
      </c>
      <c r="H95" s="7">
        <v>10968228</v>
      </c>
      <c r="I95">
        <v>1</v>
      </c>
      <c r="J95" s="14">
        <f t="shared" si="7"/>
        <v>1</v>
      </c>
      <c r="K95" s="3">
        <v>0.44019298285921848</v>
      </c>
    </row>
    <row r="96" spans="1:11" ht="14.5" x14ac:dyDescent="0.35">
      <c r="A96" t="s">
        <v>36</v>
      </c>
      <c r="B96" t="s">
        <v>1119</v>
      </c>
      <c r="C96" s="14">
        <f t="shared" si="4"/>
        <v>0</v>
      </c>
      <c r="D96" s="14">
        <f t="shared" si="5"/>
        <v>0</v>
      </c>
      <c r="E96" s="14">
        <f t="shared" si="6"/>
        <v>1</v>
      </c>
      <c r="F96">
        <v>330</v>
      </c>
      <c r="G96" s="3">
        <v>0.49700000000000005</v>
      </c>
      <c r="H96" s="7">
        <v>797743</v>
      </c>
      <c r="I96">
        <v>1</v>
      </c>
      <c r="J96" s="14">
        <f t="shared" si="7"/>
        <v>0</v>
      </c>
      <c r="K96" s="3">
        <v>0.52127188831490845</v>
      </c>
    </row>
    <row r="97" spans="1:11" ht="14.5" x14ac:dyDescent="0.35">
      <c r="A97" t="s">
        <v>36</v>
      </c>
      <c r="B97" t="s">
        <v>1118</v>
      </c>
      <c r="C97" s="14">
        <f t="shared" si="4"/>
        <v>0</v>
      </c>
      <c r="D97" s="14">
        <f t="shared" si="5"/>
        <v>0</v>
      </c>
      <c r="E97" s="14">
        <f t="shared" si="6"/>
        <v>0</v>
      </c>
      <c r="F97">
        <v>460</v>
      </c>
      <c r="G97" s="3">
        <v>0.42200000000000004</v>
      </c>
      <c r="H97" s="7">
        <v>12034064</v>
      </c>
      <c r="I97">
        <v>1</v>
      </c>
      <c r="J97" s="14">
        <f t="shared" si="7"/>
        <v>1</v>
      </c>
      <c r="K97" s="3">
        <v>0.37151148606156659</v>
      </c>
    </row>
    <row r="98" spans="1:11" ht="14.5" x14ac:dyDescent="0.35">
      <c r="A98" t="s">
        <v>47</v>
      </c>
      <c r="B98" t="s">
        <v>1119</v>
      </c>
      <c r="C98" s="14">
        <f t="shared" si="4"/>
        <v>1</v>
      </c>
      <c r="D98" s="14">
        <f t="shared" si="5"/>
        <v>0</v>
      </c>
      <c r="E98" s="14">
        <f t="shared" si="6"/>
        <v>1</v>
      </c>
      <c r="F98">
        <v>906</v>
      </c>
      <c r="G98" s="3">
        <v>0.32299999999999995</v>
      </c>
      <c r="H98" s="7">
        <v>3136616</v>
      </c>
      <c r="I98">
        <v>1</v>
      </c>
      <c r="J98" s="14">
        <f t="shared" si="7"/>
        <v>0</v>
      </c>
      <c r="K98" s="3">
        <v>0.37382102240121201</v>
      </c>
    </row>
    <row r="99" spans="1:11" ht="14.5" x14ac:dyDescent="0.35">
      <c r="A99" t="s">
        <v>47</v>
      </c>
      <c r="B99" t="s">
        <v>1118</v>
      </c>
      <c r="C99" s="14">
        <f t="shared" si="4"/>
        <v>1</v>
      </c>
      <c r="D99" s="14">
        <f t="shared" si="5"/>
        <v>0</v>
      </c>
      <c r="E99" s="14">
        <f t="shared" si="6"/>
        <v>0</v>
      </c>
      <c r="F99">
        <v>425</v>
      </c>
      <c r="G99" s="3">
        <v>0.51500000000000001</v>
      </c>
      <c r="H99" s="7">
        <v>84330744</v>
      </c>
      <c r="I99">
        <v>1</v>
      </c>
      <c r="J99" s="14">
        <f t="shared" si="7"/>
        <v>1</v>
      </c>
      <c r="K99" s="3">
        <v>0.2187982238126584</v>
      </c>
    </row>
    <row r="100" spans="1:11" ht="14.5" x14ac:dyDescent="0.35">
      <c r="A100" t="s">
        <v>47</v>
      </c>
      <c r="B100" t="s">
        <v>1117</v>
      </c>
      <c r="C100" s="14">
        <f t="shared" si="4"/>
        <v>1</v>
      </c>
      <c r="D100" s="14">
        <f t="shared" si="5"/>
        <v>1</v>
      </c>
      <c r="E100" s="14">
        <f t="shared" si="6"/>
        <v>0</v>
      </c>
      <c r="F100">
        <v>274</v>
      </c>
      <c r="G100" s="3">
        <v>0.36499999999999999</v>
      </c>
      <c r="H100" s="7">
        <v>2411340</v>
      </c>
      <c r="I100">
        <v>1</v>
      </c>
      <c r="J100" s="14">
        <f t="shared" si="7"/>
        <v>0</v>
      </c>
      <c r="K100" s="3">
        <v>0.3102088465334627</v>
      </c>
    </row>
    <row r="101" spans="1:11" ht="14.5" x14ac:dyDescent="0.35">
      <c r="A101" t="s">
        <v>36</v>
      </c>
      <c r="B101" t="s">
        <v>1118</v>
      </c>
      <c r="C101" s="14">
        <f t="shared" si="4"/>
        <v>0</v>
      </c>
      <c r="D101" s="14">
        <f t="shared" si="5"/>
        <v>0</v>
      </c>
      <c r="E101" s="14">
        <f t="shared" si="6"/>
        <v>0</v>
      </c>
      <c r="F101">
        <v>545</v>
      </c>
      <c r="G101" s="3">
        <v>0.39100000000000001</v>
      </c>
      <c r="H101" s="7">
        <v>44745806</v>
      </c>
      <c r="I101">
        <v>1</v>
      </c>
      <c r="J101" s="14">
        <f t="shared" si="7"/>
        <v>1</v>
      </c>
      <c r="K101" s="3">
        <v>0.18402576098416912</v>
      </c>
    </row>
    <row r="102" spans="1:11" ht="14.5" x14ac:dyDescent="0.35">
      <c r="A102" t="s">
        <v>47</v>
      </c>
      <c r="B102" t="s">
        <v>1119</v>
      </c>
      <c r="C102" s="14">
        <f t="shared" si="4"/>
        <v>1</v>
      </c>
      <c r="D102" s="14">
        <f t="shared" si="5"/>
        <v>0</v>
      </c>
      <c r="E102" s="14">
        <f t="shared" si="6"/>
        <v>1</v>
      </c>
      <c r="F102">
        <v>354</v>
      </c>
      <c r="G102" s="3">
        <v>0.49700000000000005</v>
      </c>
      <c r="H102" s="7">
        <v>1218797</v>
      </c>
      <c r="I102">
        <v>1</v>
      </c>
      <c r="J102" s="14">
        <f t="shared" si="7"/>
        <v>0</v>
      </c>
      <c r="K102" s="3">
        <v>0.48477802291932126</v>
      </c>
    </row>
    <row r="103" spans="1:11" ht="14.5" x14ac:dyDescent="0.35">
      <c r="A103" t="s">
        <v>47</v>
      </c>
      <c r="B103" t="s">
        <v>1119</v>
      </c>
      <c r="C103" s="14">
        <f t="shared" si="4"/>
        <v>1</v>
      </c>
      <c r="D103" s="14">
        <f t="shared" si="5"/>
        <v>0</v>
      </c>
      <c r="E103" s="14">
        <f t="shared" si="6"/>
        <v>1</v>
      </c>
      <c r="F103">
        <v>359</v>
      </c>
      <c r="G103" s="3">
        <v>0.51500000000000001</v>
      </c>
      <c r="H103" s="7">
        <v>816915</v>
      </c>
      <c r="I103">
        <v>1</v>
      </c>
      <c r="J103" s="14">
        <f t="shared" si="7"/>
        <v>0</v>
      </c>
      <c r="K103" s="3">
        <v>0.42949021624036771</v>
      </c>
    </row>
    <row r="104" spans="1:11" ht="14.5" x14ac:dyDescent="0.35">
      <c r="A104" t="s">
        <v>36</v>
      </c>
      <c r="B104" t="s">
        <v>1118</v>
      </c>
      <c r="C104" s="14">
        <f t="shared" si="4"/>
        <v>0</v>
      </c>
      <c r="D104" s="14">
        <f t="shared" si="5"/>
        <v>0</v>
      </c>
      <c r="E104" s="14">
        <f t="shared" si="6"/>
        <v>0</v>
      </c>
      <c r="F104">
        <v>353</v>
      </c>
      <c r="G104" s="3">
        <v>0.58600000000000008</v>
      </c>
      <c r="H104" s="7">
        <v>9711258</v>
      </c>
      <c r="I104">
        <v>1</v>
      </c>
      <c r="J104" s="14">
        <f t="shared" si="7"/>
        <v>1</v>
      </c>
      <c r="K104" s="3">
        <v>0.49103936894684497</v>
      </c>
    </row>
    <row r="105" spans="1:11" ht="14.5" x14ac:dyDescent="0.35">
      <c r="A105" t="s">
        <v>47</v>
      </c>
      <c r="B105" t="s">
        <v>1119</v>
      </c>
      <c r="C105" s="14">
        <f t="shared" si="4"/>
        <v>1</v>
      </c>
      <c r="D105" s="14">
        <f t="shared" si="5"/>
        <v>0</v>
      </c>
      <c r="E105" s="14">
        <f t="shared" si="6"/>
        <v>1</v>
      </c>
      <c r="F105">
        <v>321</v>
      </c>
      <c r="G105" s="3">
        <v>0.498</v>
      </c>
      <c r="H105" s="7">
        <v>577835</v>
      </c>
      <c r="I105">
        <v>1</v>
      </c>
      <c r="J105" s="14">
        <f t="shared" si="7"/>
        <v>0</v>
      </c>
      <c r="K105" s="3">
        <v>0.49344709129768877</v>
      </c>
    </row>
    <row r="106" spans="1:11" ht="14.5" x14ac:dyDescent="0.35">
      <c r="A106" t="s">
        <v>47</v>
      </c>
      <c r="B106" t="s">
        <v>1117</v>
      </c>
      <c r="C106" s="14">
        <f t="shared" si="4"/>
        <v>1</v>
      </c>
      <c r="D106" s="14">
        <f t="shared" si="5"/>
        <v>1</v>
      </c>
      <c r="E106" s="14">
        <f t="shared" si="6"/>
        <v>0</v>
      </c>
      <c r="F106">
        <v>502</v>
      </c>
      <c r="G106" s="3">
        <v>0.41000000000000003</v>
      </c>
      <c r="H106" s="7">
        <v>5013233</v>
      </c>
      <c r="I106">
        <v>1</v>
      </c>
      <c r="J106" s="14">
        <f t="shared" si="7"/>
        <v>0</v>
      </c>
      <c r="K106" s="3">
        <v>0.45773356235387425</v>
      </c>
    </row>
    <row r="107" spans="1:11" ht="14.5" x14ac:dyDescent="0.35">
      <c r="A107" t="s">
        <v>36</v>
      </c>
      <c r="B107" t="s">
        <v>1118</v>
      </c>
      <c r="C107" s="14">
        <f t="shared" si="4"/>
        <v>0</v>
      </c>
      <c r="D107" s="14">
        <f t="shared" si="5"/>
        <v>0</v>
      </c>
      <c r="E107" s="14">
        <f t="shared" si="6"/>
        <v>0</v>
      </c>
      <c r="F107">
        <v>488</v>
      </c>
      <c r="G107" s="3">
        <v>0.58200000000000007</v>
      </c>
      <c r="H107" s="7">
        <v>15346032</v>
      </c>
      <c r="I107">
        <v>0</v>
      </c>
      <c r="J107" s="14">
        <f t="shared" si="7"/>
        <v>1</v>
      </c>
      <c r="K107" s="3">
        <v>0.38056052535274265</v>
      </c>
    </row>
    <row r="108" spans="1:11" ht="14.5" x14ac:dyDescent="0.35">
      <c r="A108" t="s">
        <v>36</v>
      </c>
      <c r="B108" t="s">
        <v>1119</v>
      </c>
      <c r="C108" s="14">
        <f t="shared" si="4"/>
        <v>0</v>
      </c>
      <c r="D108" s="14">
        <f t="shared" si="5"/>
        <v>0</v>
      </c>
      <c r="E108" s="14">
        <f t="shared" si="6"/>
        <v>1</v>
      </c>
      <c r="F108">
        <v>446</v>
      </c>
      <c r="G108" s="3">
        <v>0.48200000000000004</v>
      </c>
      <c r="H108" s="7">
        <v>2148214</v>
      </c>
      <c r="I108">
        <v>0</v>
      </c>
      <c r="J108" s="14">
        <f t="shared" si="7"/>
        <v>0</v>
      </c>
      <c r="K108" s="3">
        <v>0.51610640280716913</v>
      </c>
    </row>
    <row r="109" spans="1:11" ht="14.5" x14ac:dyDescent="0.35">
      <c r="A109" t="s">
        <v>47</v>
      </c>
      <c r="B109" t="s">
        <v>1119</v>
      </c>
      <c r="C109" s="14">
        <f t="shared" si="4"/>
        <v>1</v>
      </c>
      <c r="D109" s="14">
        <f t="shared" si="5"/>
        <v>0</v>
      </c>
      <c r="E109" s="14">
        <f t="shared" si="6"/>
        <v>1</v>
      </c>
      <c r="F109">
        <v>608</v>
      </c>
      <c r="G109" s="3">
        <v>0.42100000000000004</v>
      </c>
      <c r="H109" s="7">
        <v>4328227</v>
      </c>
      <c r="I109">
        <v>0</v>
      </c>
      <c r="J109" s="14">
        <f t="shared" si="7"/>
        <v>0</v>
      </c>
      <c r="K109" s="3">
        <v>0.46964935064635011</v>
      </c>
    </row>
    <row r="110" spans="1:11" ht="14.5" x14ac:dyDescent="0.35">
      <c r="A110" t="s">
        <v>36</v>
      </c>
      <c r="B110" t="s">
        <v>1117</v>
      </c>
      <c r="C110" s="14">
        <f t="shared" si="4"/>
        <v>0</v>
      </c>
      <c r="D110" s="14">
        <f t="shared" si="5"/>
        <v>1</v>
      </c>
      <c r="E110" s="14">
        <f t="shared" si="6"/>
        <v>0</v>
      </c>
      <c r="F110">
        <v>450</v>
      </c>
      <c r="G110" s="3">
        <v>0.504</v>
      </c>
      <c r="H110" s="7">
        <v>4582583</v>
      </c>
      <c r="I110">
        <v>0</v>
      </c>
      <c r="J110" s="14">
        <f t="shared" si="7"/>
        <v>0</v>
      </c>
      <c r="K110" s="3">
        <v>0.5473432777976962</v>
      </c>
    </row>
    <row r="111" spans="1:11" ht="14.5" x14ac:dyDescent="0.35">
      <c r="A111" t="s">
        <v>36</v>
      </c>
      <c r="B111" t="s">
        <v>1117</v>
      </c>
      <c r="C111" s="14">
        <f t="shared" si="4"/>
        <v>0</v>
      </c>
      <c r="D111" s="14">
        <f t="shared" si="5"/>
        <v>1</v>
      </c>
      <c r="E111" s="14">
        <f t="shared" si="6"/>
        <v>0</v>
      </c>
      <c r="F111">
        <v>451</v>
      </c>
      <c r="G111" s="3">
        <v>0.51900000000000002</v>
      </c>
      <c r="H111" s="7">
        <v>5213193</v>
      </c>
      <c r="I111">
        <v>0</v>
      </c>
      <c r="J111" s="14">
        <f t="shared" si="7"/>
        <v>0</v>
      </c>
      <c r="K111" s="3">
        <v>0.65213795077220427</v>
      </c>
    </row>
    <row r="112" spans="1:11" ht="14.5" x14ac:dyDescent="0.35">
      <c r="A112" t="s">
        <v>36</v>
      </c>
      <c r="B112" t="s">
        <v>1117</v>
      </c>
      <c r="C112" s="14">
        <f t="shared" si="4"/>
        <v>0</v>
      </c>
      <c r="D112" s="14">
        <f t="shared" si="5"/>
        <v>1</v>
      </c>
      <c r="E112" s="14">
        <f t="shared" si="6"/>
        <v>0</v>
      </c>
      <c r="F112">
        <v>183</v>
      </c>
      <c r="G112" s="3">
        <v>0.54600000000000004</v>
      </c>
      <c r="H112" s="7">
        <v>7379063</v>
      </c>
      <c r="I112">
        <v>0</v>
      </c>
      <c r="J112" s="14">
        <f t="shared" si="7"/>
        <v>0</v>
      </c>
      <c r="K112" s="3">
        <v>0.45598811122767213</v>
      </c>
    </row>
    <row r="113" spans="1:11" ht="14.5" x14ac:dyDescent="0.35">
      <c r="A113" t="s">
        <v>47</v>
      </c>
      <c r="B113" t="s">
        <v>1117</v>
      </c>
      <c r="C113" s="14">
        <f t="shared" si="4"/>
        <v>1</v>
      </c>
      <c r="D113" s="14">
        <f t="shared" si="5"/>
        <v>1</v>
      </c>
      <c r="E113" s="14">
        <f t="shared" si="6"/>
        <v>0</v>
      </c>
      <c r="F113">
        <v>546</v>
      </c>
      <c r="G113" s="3">
        <v>0.56600000000000006</v>
      </c>
      <c r="H113" s="7">
        <v>6939737</v>
      </c>
      <c r="I113">
        <v>0</v>
      </c>
      <c r="J113" s="14">
        <f t="shared" si="7"/>
        <v>0</v>
      </c>
      <c r="K113" s="3">
        <v>0.53689268051512617</v>
      </c>
    </row>
    <row r="114" spans="1:11" ht="14.5" x14ac:dyDescent="0.35">
      <c r="A114" t="s">
        <v>47</v>
      </c>
      <c r="B114" t="s">
        <v>1119</v>
      </c>
      <c r="C114" s="14">
        <f t="shared" si="4"/>
        <v>1</v>
      </c>
      <c r="D114" s="14">
        <f t="shared" si="5"/>
        <v>0</v>
      </c>
      <c r="E114" s="14">
        <f t="shared" si="6"/>
        <v>1</v>
      </c>
      <c r="F114">
        <v>505</v>
      </c>
      <c r="G114" s="3">
        <v>0.39200000000000002</v>
      </c>
      <c r="H114" s="7">
        <v>2026466</v>
      </c>
      <c r="I114">
        <v>0</v>
      </c>
      <c r="J114" s="14">
        <f t="shared" si="7"/>
        <v>0</v>
      </c>
      <c r="K114" s="3">
        <v>0.38120600098891372</v>
      </c>
    </row>
    <row r="115" spans="1:11" ht="14.5" x14ac:dyDescent="0.35">
      <c r="A115" t="s">
        <v>47</v>
      </c>
      <c r="B115" t="s">
        <v>1117</v>
      </c>
      <c r="C115" s="14">
        <f t="shared" si="4"/>
        <v>1</v>
      </c>
      <c r="D115" s="14">
        <f t="shared" si="5"/>
        <v>1</v>
      </c>
      <c r="E115" s="14">
        <f t="shared" si="6"/>
        <v>0</v>
      </c>
      <c r="F115">
        <v>221</v>
      </c>
      <c r="G115" s="3">
        <v>0.43</v>
      </c>
      <c r="H115" s="7">
        <v>4217557</v>
      </c>
      <c r="I115">
        <v>0</v>
      </c>
      <c r="J115" s="14">
        <f t="shared" si="7"/>
        <v>0</v>
      </c>
      <c r="K115" s="3">
        <v>0.49027505733769572</v>
      </c>
    </row>
    <row r="116" spans="1:11" ht="14.5" x14ac:dyDescent="0.35">
      <c r="A116" t="s">
        <v>36</v>
      </c>
      <c r="B116" t="s">
        <v>1118</v>
      </c>
      <c r="C116" s="14">
        <f t="shared" si="4"/>
        <v>0</v>
      </c>
      <c r="D116" s="14">
        <f t="shared" si="5"/>
        <v>0</v>
      </c>
      <c r="E116" s="14">
        <f t="shared" si="6"/>
        <v>0</v>
      </c>
      <c r="F116">
        <v>448</v>
      </c>
      <c r="G116" s="3">
        <v>0.42899999999999999</v>
      </c>
      <c r="H116" s="7">
        <v>11134589</v>
      </c>
      <c r="I116">
        <v>0</v>
      </c>
      <c r="J116" s="14">
        <f t="shared" si="7"/>
        <v>1</v>
      </c>
      <c r="K116" s="3">
        <v>0.45618064573375811</v>
      </c>
    </row>
    <row r="117" spans="1:11" ht="14.5" x14ac:dyDescent="0.35">
      <c r="A117" t="s">
        <v>47</v>
      </c>
      <c r="B117" t="s">
        <v>1119</v>
      </c>
      <c r="C117" s="14">
        <f t="shared" si="4"/>
        <v>1</v>
      </c>
      <c r="D117" s="14">
        <f t="shared" si="5"/>
        <v>0</v>
      </c>
      <c r="E117" s="14">
        <f t="shared" si="6"/>
        <v>1</v>
      </c>
      <c r="F117">
        <v>386</v>
      </c>
      <c r="G117" s="3">
        <v>0.26900000000000002</v>
      </c>
      <c r="H117" s="7">
        <v>1620709</v>
      </c>
      <c r="I117">
        <v>0</v>
      </c>
      <c r="J117" s="14">
        <f t="shared" si="7"/>
        <v>0</v>
      </c>
      <c r="K117" s="3">
        <v>0.31220286923809271</v>
      </c>
    </row>
    <row r="118" spans="1:11" ht="14.5" x14ac:dyDescent="0.35">
      <c r="A118" t="s">
        <v>47</v>
      </c>
      <c r="B118" t="s">
        <v>1117</v>
      </c>
      <c r="C118" s="14">
        <f t="shared" si="4"/>
        <v>1</v>
      </c>
      <c r="D118" s="14">
        <f t="shared" si="5"/>
        <v>1</v>
      </c>
      <c r="E118" s="14">
        <f t="shared" si="6"/>
        <v>0</v>
      </c>
      <c r="F118">
        <v>471</v>
      </c>
      <c r="G118" s="3">
        <v>0.46899999999999997</v>
      </c>
      <c r="H118" s="7">
        <v>6679239</v>
      </c>
      <c r="I118">
        <v>0</v>
      </c>
      <c r="J118" s="14">
        <f t="shared" si="7"/>
        <v>0</v>
      </c>
      <c r="K118" s="3">
        <v>0.54773635140170907</v>
      </c>
    </row>
    <row r="119" spans="1:11" ht="14.5" x14ac:dyDescent="0.35">
      <c r="A119" t="s">
        <v>36</v>
      </c>
      <c r="B119" t="s">
        <v>1118</v>
      </c>
      <c r="C119" s="14">
        <f t="shared" si="4"/>
        <v>0</v>
      </c>
      <c r="D119" s="14">
        <f t="shared" si="5"/>
        <v>0</v>
      </c>
      <c r="E119" s="14">
        <f t="shared" si="6"/>
        <v>0</v>
      </c>
      <c r="F119">
        <v>509</v>
      </c>
      <c r="G119" s="3">
        <v>0.46600000000000003</v>
      </c>
      <c r="H119" s="7">
        <v>24959807</v>
      </c>
      <c r="I119">
        <v>0</v>
      </c>
      <c r="J119" s="14">
        <f t="shared" si="7"/>
        <v>1</v>
      </c>
      <c r="K119" s="3">
        <v>0.31393588099459263</v>
      </c>
    </row>
    <row r="120" spans="1:11" ht="14.5" x14ac:dyDescent="0.35">
      <c r="A120" t="s">
        <v>47</v>
      </c>
      <c r="B120" t="s">
        <v>1118</v>
      </c>
      <c r="C120" s="14">
        <f t="shared" si="4"/>
        <v>1</v>
      </c>
      <c r="D120" s="14">
        <f t="shared" si="5"/>
        <v>0</v>
      </c>
      <c r="E120" s="14">
        <f t="shared" si="6"/>
        <v>0</v>
      </c>
      <c r="F120">
        <v>482</v>
      </c>
      <c r="G120" s="3">
        <v>0.39200000000000002</v>
      </c>
      <c r="H120" s="7">
        <v>10959152</v>
      </c>
      <c r="I120">
        <v>0</v>
      </c>
      <c r="J120" s="14">
        <f t="shared" si="7"/>
        <v>1</v>
      </c>
      <c r="K120" s="3">
        <v>0.42669925556283916</v>
      </c>
    </row>
    <row r="121" spans="1:11" ht="14.5" x14ac:dyDescent="0.35">
      <c r="A121" t="s">
        <v>47</v>
      </c>
      <c r="B121" t="s">
        <v>1119</v>
      </c>
      <c r="C121" s="14">
        <f t="shared" si="4"/>
        <v>1</v>
      </c>
      <c r="D121" s="14">
        <f t="shared" si="5"/>
        <v>0</v>
      </c>
      <c r="E121" s="14">
        <f t="shared" si="6"/>
        <v>1</v>
      </c>
      <c r="F121">
        <v>227</v>
      </c>
      <c r="G121" s="3">
        <v>0.61699999999999999</v>
      </c>
      <c r="H121" s="7">
        <v>357459</v>
      </c>
      <c r="I121">
        <v>0</v>
      </c>
      <c r="J121" s="14">
        <f t="shared" si="7"/>
        <v>0</v>
      </c>
      <c r="K121" s="3">
        <v>0.57261112463247532</v>
      </c>
    </row>
    <row r="122" spans="1:11" ht="14.5" x14ac:dyDescent="0.35">
      <c r="A122" t="s">
        <v>47</v>
      </c>
      <c r="B122" t="s">
        <v>1119</v>
      </c>
      <c r="C122" s="14">
        <f t="shared" si="4"/>
        <v>1</v>
      </c>
      <c r="D122" s="14">
        <f t="shared" si="5"/>
        <v>0</v>
      </c>
      <c r="E122" s="14">
        <f t="shared" si="6"/>
        <v>1</v>
      </c>
      <c r="F122">
        <v>292</v>
      </c>
      <c r="G122" s="3">
        <v>0.46600000000000003</v>
      </c>
      <c r="H122" s="7">
        <v>1107410</v>
      </c>
      <c r="I122">
        <v>0</v>
      </c>
      <c r="J122" s="14">
        <f t="shared" si="7"/>
        <v>0</v>
      </c>
      <c r="K122" s="3">
        <v>0.52215078426237793</v>
      </c>
    </row>
    <row r="123" spans="1:11" ht="14.5" x14ac:dyDescent="0.35">
      <c r="A123" t="s">
        <v>36</v>
      </c>
      <c r="B123" t="s">
        <v>1118</v>
      </c>
      <c r="C123" s="14">
        <f t="shared" si="4"/>
        <v>0</v>
      </c>
      <c r="D123" s="14">
        <f t="shared" si="5"/>
        <v>0</v>
      </c>
      <c r="E123" s="14">
        <f t="shared" si="6"/>
        <v>0</v>
      </c>
      <c r="F123">
        <v>255</v>
      </c>
      <c r="G123" s="3">
        <v>0.49</v>
      </c>
      <c r="H123" s="7">
        <v>4122237</v>
      </c>
      <c r="I123">
        <v>0</v>
      </c>
      <c r="J123" s="14">
        <f t="shared" si="7"/>
        <v>1</v>
      </c>
      <c r="K123" s="3">
        <v>0.55197408591500197</v>
      </c>
    </row>
    <row r="124" spans="1:11" ht="14.5" x14ac:dyDescent="0.35">
      <c r="A124" t="s">
        <v>47</v>
      </c>
      <c r="B124" t="s">
        <v>1119</v>
      </c>
      <c r="C124" s="14">
        <f t="shared" si="4"/>
        <v>1</v>
      </c>
      <c r="D124" s="14">
        <f t="shared" si="5"/>
        <v>0</v>
      </c>
      <c r="E124" s="14">
        <f t="shared" si="6"/>
        <v>1</v>
      </c>
      <c r="F124">
        <v>933</v>
      </c>
      <c r="G124" s="3">
        <v>0.33</v>
      </c>
      <c r="H124" s="7">
        <v>2832463</v>
      </c>
      <c r="I124">
        <v>0</v>
      </c>
      <c r="J124" s="14">
        <f t="shared" si="7"/>
        <v>0</v>
      </c>
      <c r="K124" s="3">
        <v>0.32445790112704032</v>
      </c>
    </row>
    <row r="125" spans="1:11" ht="14.5" x14ac:dyDescent="0.35">
      <c r="A125" t="s">
        <v>47</v>
      </c>
      <c r="B125" t="s">
        <v>1117</v>
      </c>
      <c r="C125" s="14">
        <f t="shared" si="4"/>
        <v>1</v>
      </c>
      <c r="D125" s="14">
        <f t="shared" si="5"/>
        <v>1</v>
      </c>
      <c r="E125" s="14">
        <f t="shared" si="6"/>
        <v>0</v>
      </c>
      <c r="F125">
        <v>337</v>
      </c>
      <c r="G125" s="3">
        <v>0.46899999999999997</v>
      </c>
      <c r="H125" s="7">
        <v>4303941</v>
      </c>
      <c r="I125">
        <v>0</v>
      </c>
      <c r="J125" s="14">
        <f t="shared" si="7"/>
        <v>0</v>
      </c>
      <c r="K125" s="3">
        <v>0.52530808391657791</v>
      </c>
    </row>
    <row r="126" spans="1:11" ht="14.5" x14ac:dyDescent="0.35">
      <c r="A126" t="s">
        <v>47</v>
      </c>
      <c r="B126" t="s">
        <v>1117</v>
      </c>
      <c r="C126" s="14">
        <f t="shared" si="4"/>
        <v>1</v>
      </c>
      <c r="D126" s="14">
        <f t="shared" si="5"/>
        <v>1</v>
      </c>
      <c r="E126" s="14">
        <f t="shared" si="6"/>
        <v>0</v>
      </c>
      <c r="F126">
        <v>333</v>
      </c>
      <c r="G126" s="3">
        <v>0.39900000000000002</v>
      </c>
      <c r="H126" s="7">
        <v>3403074</v>
      </c>
      <c r="I126">
        <v>0</v>
      </c>
      <c r="J126" s="14">
        <f t="shared" si="7"/>
        <v>0</v>
      </c>
      <c r="K126" s="3">
        <v>0.47835045608764309</v>
      </c>
    </row>
    <row r="127" spans="1:11" ht="14.5" x14ac:dyDescent="0.35">
      <c r="A127" t="s">
        <v>36</v>
      </c>
      <c r="B127" t="s">
        <v>1119</v>
      </c>
      <c r="C127" s="14">
        <f t="shared" si="4"/>
        <v>0</v>
      </c>
      <c r="D127" s="14">
        <f t="shared" si="5"/>
        <v>0</v>
      </c>
      <c r="E127" s="14">
        <f t="shared" si="6"/>
        <v>1</v>
      </c>
      <c r="F127">
        <v>402</v>
      </c>
      <c r="G127" s="3">
        <v>0.52500000000000002</v>
      </c>
      <c r="H127" s="7">
        <v>2562929</v>
      </c>
      <c r="I127">
        <v>0</v>
      </c>
      <c r="J127" s="14">
        <f t="shared" si="7"/>
        <v>0</v>
      </c>
      <c r="K127" s="3">
        <v>0.5693282958677357</v>
      </c>
    </row>
    <row r="128" spans="1:11" ht="14.5" x14ac:dyDescent="0.35">
      <c r="A128" t="s">
        <v>36</v>
      </c>
      <c r="B128" t="s">
        <v>1119</v>
      </c>
      <c r="C128" s="14">
        <f t="shared" si="4"/>
        <v>0</v>
      </c>
      <c r="D128" s="14">
        <f t="shared" si="5"/>
        <v>0</v>
      </c>
      <c r="E128" s="14">
        <f t="shared" si="6"/>
        <v>1</v>
      </c>
      <c r="F128">
        <v>46</v>
      </c>
      <c r="G128" s="3">
        <v>0.30399999999999999</v>
      </c>
      <c r="H128" s="7">
        <v>74370</v>
      </c>
      <c r="I128">
        <v>0</v>
      </c>
      <c r="J128" s="14">
        <f t="shared" si="7"/>
        <v>0</v>
      </c>
      <c r="K128" s="3">
        <v>0.35498184751916095</v>
      </c>
    </row>
    <row r="129" spans="1:11" ht="14.5" x14ac:dyDescent="0.35">
      <c r="A129" t="s">
        <v>47</v>
      </c>
      <c r="B129" t="s">
        <v>1118</v>
      </c>
      <c r="C129" s="14">
        <f t="shared" si="4"/>
        <v>1</v>
      </c>
      <c r="D129" s="14">
        <f t="shared" si="5"/>
        <v>0</v>
      </c>
      <c r="E129" s="14">
        <f t="shared" si="6"/>
        <v>0</v>
      </c>
      <c r="F129">
        <v>627</v>
      </c>
      <c r="G129" s="3">
        <v>0.58899999999999997</v>
      </c>
      <c r="H129" s="7">
        <v>79719731</v>
      </c>
      <c r="I129">
        <v>0</v>
      </c>
      <c r="J129" s="14">
        <f t="shared" si="7"/>
        <v>1</v>
      </c>
      <c r="K129" s="3">
        <v>0.32916537312450289</v>
      </c>
    </row>
    <row r="130" spans="1:11" ht="14.5" x14ac:dyDescent="0.35">
      <c r="A130" t="s">
        <v>36</v>
      </c>
      <c r="B130" t="s">
        <v>1117</v>
      </c>
      <c r="C130" s="14">
        <f t="shared" ref="C130:C193" si="8">IF(A130="Private",1,0)</f>
        <v>0</v>
      </c>
      <c r="D130" s="14">
        <f t="shared" ref="D130:D193" si="9">IF(B130="Two",1,0)</f>
        <v>1</v>
      </c>
      <c r="E130" s="14">
        <f t="shared" ref="E130:E193" si="10">IF(B130="Three",1,0)</f>
        <v>0</v>
      </c>
      <c r="F130">
        <v>216</v>
      </c>
      <c r="G130" s="3">
        <v>0.49100000000000005</v>
      </c>
      <c r="H130" s="7">
        <v>3653764</v>
      </c>
      <c r="I130">
        <v>0</v>
      </c>
      <c r="J130" s="14">
        <f t="shared" ref="J130:J193" si="11">IF(B130="One",1,0)</f>
        <v>0</v>
      </c>
      <c r="K130" s="3">
        <v>0.50665259168353516</v>
      </c>
    </row>
    <row r="131" spans="1:11" ht="14.5" x14ac:dyDescent="0.35">
      <c r="A131" t="s">
        <v>47</v>
      </c>
      <c r="B131" t="s">
        <v>1119</v>
      </c>
      <c r="C131" s="14">
        <f t="shared" si="8"/>
        <v>1</v>
      </c>
      <c r="D131" s="14">
        <f t="shared" si="9"/>
        <v>0</v>
      </c>
      <c r="E131" s="14">
        <f t="shared" si="10"/>
        <v>1</v>
      </c>
      <c r="F131">
        <v>364</v>
      </c>
      <c r="G131" s="3">
        <v>0.48899999999999999</v>
      </c>
      <c r="H131" s="7">
        <v>1789311</v>
      </c>
      <c r="I131">
        <v>0</v>
      </c>
      <c r="J131" s="14">
        <f t="shared" si="11"/>
        <v>0</v>
      </c>
      <c r="K131" s="3">
        <v>0.49277291650249733</v>
      </c>
    </row>
    <row r="132" spans="1:11" ht="14.5" x14ac:dyDescent="0.35">
      <c r="A132" t="s">
        <v>36</v>
      </c>
      <c r="B132" t="s">
        <v>1117</v>
      </c>
      <c r="C132" s="14">
        <f t="shared" si="8"/>
        <v>0</v>
      </c>
      <c r="D132" s="14">
        <f t="shared" si="9"/>
        <v>1</v>
      </c>
      <c r="E132" s="14">
        <f t="shared" si="10"/>
        <v>0</v>
      </c>
      <c r="F132">
        <v>313</v>
      </c>
      <c r="G132" s="3">
        <v>0.45700000000000002</v>
      </c>
      <c r="H132" s="7">
        <v>3004339</v>
      </c>
      <c r="I132">
        <v>0</v>
      </c>
      <c r="J132" s="14">
        <f t="shared" si="11"/>
        <v>0</v>
      </c>
      <c r="K132" s="3">
        <v>0.50831014742344327</v>
      </c>
    </row>
    <row r="133" spans="1:11" ht="14.5" x14ac:dyDescent="0.35">
      <c r="A133" t="s">
        <v>36</v>
      </c>
      <c r="B133" t="s">
        <v>1119</v>
      </c>
      <c r="C133" s="14">
        <f t="shared" si="8"/>
        <v>0</v>
      </c>
      <c r="D133" s="14">
        <f t="shared" si="9"/>
        <v>0</v>
      </c>
      <c r="E133" s="14">
        <f t="shared" si="10"/>
        <v>1</v>
      </c>
      <c r="F133">
        <v>685</v>
      </c>
      <c r="G133" s="3">
        <v>0.45700000000000002</v>
      </c>
      <c r="H133" s="7">
        <v>3098688</v>
      </c>
      <c r="I133">
        <v>0</v>
      </c>
      <c r="J133" s="14">
        <f t="shared" si="11"/>
        <v>0</v>
      </c>
      <c r="K133" s="3">
        <v>0.42024463256707356</v>
      </c>
    </row>
    <row r="134" spans="1:11" ht="14.5" x14ac:dyDescent="0.35">
      <c r="A134" t="s">
        <v>47</v>
      </c>
      <c r="B134" t="s">
        <v>1119</v>
      </c>
      <c r="C134" s="14">
        <f t="shared" si="8"/>
        <v>1</v>
      </c>
      <c r="D134" s="14">
        <f t="shared" si="9"/>
        <v>0</v>
      </c>
      <c r="E134" s="14">
        <f t="shared" si="10"/>
        <v>1</v>
      </c>
      <c r="F134">
        <v>685</v>
      </c>
      <c r="G134" s="3">
        <v>0.33100000000000002</v>
      </c>
      <c r="H134" s="7">
        <v>1884240</v>
      </c>
      <c r="I134">
        <v>0</v>
      </c>
      <c r="J134" s="14">
        <f t="shared" si="11"/>
        <v>0</v>
      </c>
      <c r="K134" s="3">
        <v>0.36791650745128007</v>
      </c>
    </row>
    <row r="135" spans="1:11" ht="14.5" x14ac:dyDescent="0.35">
      <c r="A135" t="s">
        <v>36</v>
      </c>
      <c r="B135" t="s">
        <v>1117</v>
      </c>
      <c r="C135" s="14">
        <f t="shared" si="8"/>
        <v>0</v>
      </c>
      <c r="D135" s="14">
        <f t="shared" si="9"/>
        <v>1</v>
      </c>
      <c r="E135" s="14">
        <f t="shared" si="10"/>
        <v>0</v>
      </c>
      <c r="F135">
        <v>324</v>
      </c>
      <c r="G135" s="3">
        <v>0.29600000000000004</v>
      </c>
      <c r="H135" s="7">
        <v>4018248</v>
      </c>
      <c r="I135">
        <v>0</v>
      </c>
      <c r="J135" s="14">
        <f t="shared" si="11"/>
        <v>0</v>
      </c>
      <c r="K135" s="3">
        <v>0.35872250791887411</v>
      </c>
    </row>
    <row r="136" spans="1:11" ht="14.5" x14ac:dyDescent="0.35">
      <c r="A136" t="s">
        <v>36</v>
      </c>
      <c r="B136" t="s">
        <v>1118</v>
      </c>
      <c r="C136" s="14">
        <f t="shared" si="8"/>
        <v>0</v>
      </c>
      <c r="D136" s="14">
        <f t="shared" si="9"/>
        <v>0</v>
      </c>
      <c r="E136" s="14">
        <f t="shared" si="10"/>
        <v>0</v>
      </c>
      <c r="F136">
        <v>443</v>
      </c>
      <c r="G136" s="3">
        <v>0.49700000000000005</v>
      </c>
      <c r="H136" s="7">
        <v>18703190</v>
      </c>
      <c r="I136">
        <v>0</v>
      </c>
      <c r="J136" s="14">
        <f t="shared" si="11"/>
        <v>1</v>
      </c>
      <c r="K136" s="3">
        <v>0.37486733546523349</v>
      </c>
    </row>
    <row r="137" spans="1:11" ht="14.5" x14ac:dyDescent="0.35">
      <c r="A137" t="s">
        <v>47</v>
      </c>
      <c r="B137" t="s">
        <v>1119</v>
      </c>
      <c r="C137" s="14">
        <f t="shared" si="8"/>
        <v>1</v>
      </c>
      <c r="D137" s="14">
        <f t="shared" si="9"/>
        <v>0</v>
      </c>
      <c r="E137" s="14">
        <f t="shared" si="10"/>
        <v>1</v>
      </c>
      <c r="F137">
        <v>264</v>
      </c>
      <c r="G137" s="3">
        <v>0.46200000000000002</v>
      </c>
      <c r="H137" s="7">
        <v>1482726</v>
      </c>
      <c r="I137">
        <v>0</v>
      </c>
      <c r="J137" s="14">
        <f t="shared" si="11"/>
        <v>0</v>
      </c>
      <c r="K137" s="3">
        <v>0.469748287950707</v>
      </c>
    </row>
    <row r="138" spans="1:11" ht="14.5" x14ac:dyDescent="0.35">
      <c r="A138" t="s">
        <v>36</v>
      </c>
      <c r="B138" t="s">
        <v>1117</v>
      </c>
      <c r="C138" s="14">
        <f t="shared" si="8"/>
        <v>0</v>
      </c>
      <c r="D138" s="14">
        <f t="shared" si="9"/>
        <v>1</v>
      </c>
      <c r="E138" s="14">
        <f t="shared" si="10"/>
        <v>0</v>
      </c>
      <c r="F138">
        <v>769</v>
      </c>
      <c r="G138" s="3">
        <v>0.33799999999999997</v>
      </c>
      <c r="H138" s="7">
        <v>4854278</v>
      </c>
      <c r="I138">
        <v>0</v>
      </c>
      <c r="J138" s="14">
        <f t="shared" si="11"/>
        <v>0</v>
      </c>
      <c r="K138" s="3">
        <v>0.42035272804730178</v>
      </c>
    </row>
    <row r="139" spans="1:11" ht="14.5" x14ac:dyDescent="0.35">
      <c r="A139" t="s">
        <v>36</v>
      </c>
      <c r="B139" t="s">
        <v>1119</v>
      </c>
      <c r="C139" s="14">
        <f t="shared" si="8"/>
        <v>0</v>
      </c>
      <c r="D139" s="14">
        <f t="shared" si="9"/>
        <v>0</v>
      </c>
      <c r="E139" s="14">
        <f t="shared" si="10"/>
        <v>1</v>
      </c>
      <c r="F139">
        <v>545</v>
      </c>
      <c r="G139" s="3">
        <v>0.34100000000000003</v>
      </c>
      <c r="H139" s="7">
        <v>2641910</v>
      </c>
      <c r="I139">
        <v>0</v>
      </c>
      <c r="J139" s="14">
        <f t="shared" si="11"/>
        <v>0</v>
      </c>
      <c r="K139" s="3">
        <v>0.38754121071497516</v>
      </c>
    </row>
    <row r="140" spans="1:11" ht="14.5" x14ac:dyDescent="0.35">
      <c r="A140" t="s">
        <v>47</v>
      </c>
      <c r="B140" t="s">
        <v>1119</v>
      </c>
      <c r="C140" s="14">
        <f t="shared" si="8"/>
        <v>1</v>
      </c>
      <c r="D140" s="14">
        <f t="shared" si="9"/>
        <v>0</v>
      </c>
      <c r="E140" s="14">
        <f t="shared" si="10"/>
        <v>1</v>
      </c>
      <c r="F140">
        <v>605</v>
      </c>
      <c r="G140" s="3">
        <v>0.41000000000000003</v>
      </c>
      <c r="H140" s="7">
        <v>3016591</v>
      </c>
      <c r="I140">
        <v>0</v>
      </c>
      <c r="J140" s="14">
        <f t="shared" si="11"/>
        <v>0</v>
      </c>
      <c r="K140" s="3">
        <v>0.45927605034955021</v>
      </c>
    </row>
    <row r="141" spans="1:11" ht="14.5" x14ac:dyDescent="0.35">
      <c r="A141" t="s">
        <v>47</v>
      </c>
      <c r="B141" t="s">
        <v>1119</v>
      </c>
      <c r="C141" s="14">
        <f t="shared" si="8"/>
        <v>1</v>
      </c>
      <c r="D141" s="14">
        <f t="shared" si="9"/>
        <v>0</v>
      </c>
      <c r="E141" s="14">
        <f t="shared" si="10"/>
        <v>1</v>
      </c>
      <c r="F141">
        <v>211</v>
      </c>
      <c r="G141" s="3">
        <v>0.24600000000000002</v>
      </c>
      <c r="H141" s="7">
        <v>695585</v>
      </c>
      <c r="I141">
        <v>0</v>
      </c>
      <c r="J141" s="14">
        <f t="shared" si="11"/>
        <v>0</v>
      </c>
      <c r="K141" s="3">
        <v>0.34315432333934748</v>
      </c>
    </row>
    <row r="142" spans="1:11" ht="14.5" x14ac:dyDescent="0.35">
      <c r="A142" t="s">
        <v>36</v>
      </c>
      <c r="B142" t="s">
        <v>1119</v>
      </c>
      <c r="C142" s="14">
        <f t="shared" si="8"/>
        <v>0</v>
      </c>
      <c r="D142" s="14">
        <f t="shared" si="9"/>
        <v>0</v>
      </c>
      <c r="E142" s="14">
        <f t="shared" si="10"/>
        <v>1</v>
      </c>
      <c r="F142">
        <v>308</v>
      </c>
      <c r="G142" s="3">
        <v>0.40899999999999997</v>
      </c>
      <c r="H142" s="7">
        <v>742945</v>
      </c>
      <c r="I142">
        <v>0</v>
      </c>
      <c r="J142" s="14">
        <f t="shared" si="11"/>
        <v>0</v>
      </c>
      <c r="K142" s="3">
        <v>0.50855985301738349</v>
      </c>
    </row>
    <row r="143" spans="1:11" ht="14.5" x14ac:dyDescent="0.35">
      <c r="A143" t="s">
        <v>36</v>
      </c>
      <c r="B143" t="s">
        <v>1119</v>
      </c>
      <c r="C143" s="14">
        <f t="shared" si="8"/>
        <v>0</v>
      </c>
      <c r="D143" s="14">
        <f t="shared" si="9"/>
        <v>0</v>
      </c>
      <c r="E143" s="14">
        <f t="shared" si="10"/>
        <v>1</v>
      </c>
      <c r="F143">
        <v>165</v>
      </c>
      <c r="G143" s="3">
        <v>0.503</v>
      </c>
      <c r="H143" s="7">
        <v>428383</v>
      </c>
      <c r="I143">
        <v>0</v>
      </c>
      <c r="J143" s="14">
        <f t="shared" si="11"/>
        <v>0</v>
      </c>
      <c r="K143" s="3">
        <v>0.56225853967127548</v>
      </c>
    </row>
    <row r="144" spans="1:11" ht="14.5" x14ac:dyDescent="0.35">
      <c r="A144" t="s">
        <v>47</v>
      </c>
      <c r="B144" t="s">
        <v>1117</v>
      </c>
      <c r="C144" s="14">
        <f t="shared" si="8"/>
        <v>1</v>
      </c>
      <c r="D144" s="14">
        <f t="shared" si="9"/>
        <v>1</v>
      </c>
      <c r="E144" s="14">
        <f t="shared" si="10"/>
        <v>0</v>
      </c>
      <c r="F144">
        <v>744</v>
      </c>
      <c r="G144" s="3">
        <v>0.45</v>
      </c>
      <c r="H144" s="7">
        <v>5348776</v>
      </c>
      <c r="I144">
        <v>0</v>
      </c>
      <c r="J144" s="14">
        <f t="shared" si="11"/>
        <v>0</v>
      </c>
      <c r="K144" s="3">
        <v>0.44147333894707874</v>
      </c>
    </row>
    <row r="145" spans="1:11" ht="14.5" x14ac:dyDescent="0.35">
      <c r="A145" t="s">
        <v>36</v>
      </c>
      <c r="B145" t="s">
        <v>1117</v>
      </c>
      <c r="C145" s="14">
        <f t="shared" si="8"/>
        <v>0</v>
      </c>
      <c r="D145" s="14">
        <f t="shared" si="9"/>
        <v>1</v>
      </c>
      <c r="E145" s="14">
        <f t="shared" si="10"/>
        <v>0</v>
      </c>
      <c r="F145">
        <v>383</v>
      </c>
      <c r="G145" s="3">
        <v>0.51200000000000001</v>
      </c>
      <c r="H145" s="7">
        <v>5078906</v>
      </c>
      <c r="I145">
        <v>0</v>
      </c>
      <c r="J145" s="14">
        <f t="shared" si="11"/>
        <v>0</v>
      </c>
      <c r="K145" s="3">
        <v>0.4854478503835275</v>
      </c>
    </row>
    <row r="146" spans="1:11" ht="14.5" x14ac:dyDescent="0.35">
      <c r="A146" t="s">
        <v>36</v>
      </c>
      <c r="B146" t="s">
        <v>1119</v>
      </c>
      <c r="C146" s="14">
        <f t="shared" si="8"/>
        <v>0</v>
      </c>
      <c r="D146" s="14">
        <f t="shared" si="9"/>
        <v>0</v>
      </c>
      <c r="E146" s="14">
        <f t="shared" si="10"/>
        <v>1</v>
      </c>
      <c r="F146">
        <v>407</v>
      </c>
      <c r="G146" s="3">
        <v>0.378</v>
      </c>
      <c r="H146" s="7">
        <v>1293005</v>
      </c>
      <c r="I146">
        <v>0</v>
      </c>
      <c r="J146" s="14">
        <f t="shared" si="11"/>
        <v>0</v>
      </c>
      <c r="K146" s="3">
        <v>0.41529305764478869</v>
      </c>
    </row>
    <row r="147" spans="1:11" ht="14.5" x14ac:dyDescent="0.35">
      <c r="A147" t="s">
        <v>47</v>
      </c>
      <c r="B147" t="s">
        <v>1117</v>
      </c>
      <c r="C147" s="14">
        <f t="shared" si="8"/>
        <v>1</v>
      </c>
      <c r="D147" s="14">
        <f t="shared" si="9"/>
        <v>1</v>
      </c>
      <c r="E147" s="14">
        <f t="shared" si="10"/>
        <v>0</v>
      </c>
      <c r="F147">
        <v>821</v>
      </c>
      <c r="G147" s="3">
        <v>0.36299999999999999</v>
      </c>
      <c r="H147" s="7">
        <v>8046322</v>
      </c>
      <c r="I147">
        <v>0</v>
      </c>
      <c r="J147" s="14">
        <f t="shared" si="11"/>
        <v>0</v>
      </c>
      <c r="K147" s="3">
        <v>0.36043262996434894</v>
      </c>
    </row>
    <row r="148" spans="1:11" ht="14.5" x14ac:dyDescent="0.35">
      <c r="A148" t="s">
        <v>36</v>
      </c>
      <c r="B148" t="s">
        <v>1118</v>
      </c>
      <c r="C148" s="14">
        <f t="shared" si="8"/>
        <v>0</v>
      </c>
      <c r="D148" s="14">
        <f t="shared" si="9"/>
        <v>0</v>
      </c>
      <c r="E148" s="14">
        <f t="shared" si="10"/>
        <v>0</v>
      </c>
      <c r="F148">
        <v>530</v>
      </c>
      <c r="G148" s="3">
        <v>0.54300000000000004</v>
      </c>
      <c r="H148" s="7">
        <v>18956826</v>
      </c>
      <c r="I148">
        <v>0</v>
      </c>
      <c r="J148" s="14">
        <f t="shared" si="11"/>
        <v>1</v>
      </c>
      <c r="K148" s="3">
        <v>0.46494207416368122</v>
      </c>
    </row>
    <row r="149" spans="1:11" ht="14.5" x14ac:dyDescent="0.35">
      <c r="A149" t="s">
        <v>47</v>
      </c>
      <c r="B149" t="s">
        <v>1119</v>
      </c>
      <c r="C149" s="14">
        <f t="shared" si="8"/>
        <v>1</v>
      </c>
      <c r="D149" s="14">
        <f t="shared" si="9"/>
        <v>0</v>
      </c>
      <c r="E149" s="14">
        <f t="shared" si="10"/>
        <v>1</v>
      </c>
      <c r="F149">
        <v>737</v>
      </c>
      <c r="G149" s="3">
        <v>0.42600000000000005</v>
      </c>
      <c r="H149" s="7">
        <v>3748170</v>
      </c>
      <c r="I149">
        <v>0</v>
      </c>
      <c r="J149" s="14">
        <f t="shared" si="11"/>
        <v>0</v>
      </c>
      <c r="K149" s="3">
        <v>0.44404095865449006</v>
      </c>
    </row>
    <row r="150" spans="1:11" ht="14.5" x14ac:dyDescent="0.35">
      <c r="A150" t="s">
        <v>36</v>
      </c>
      <c r="B150" t="s">
        <v>1117</v>
      </c>
      <c r="C150" s="14">
        <f t="shared" si="8"/>
        <v>0</v>
      </c>
      <c r="D150" s="14">
        <f t="shared" si="9"/>
        <v>1</v>
      </c>
      <c r="E150" s="14">
        <f t="shared" si="10"/>
        <v>0</v>
      </c>
      <c r="F150">
        <v>461</v>
      </c>
      <c r="G150" s="3">
        <v>0.44900000000000001</v>
      </c>
      <c r="H150" s="7">
        <v>4068710</v>
      </c>
      <c r="I150">
        <v>0</v>
      </c>
      <c r="J150" s="14">
        <f t="shared" si="11"/>
        <v>0</v>
      </c>
      <c r="K150" s="3">
        <v>0.4388206581447191</v>
      </c>
    </row>
    <row r="151" spans="1:11" ht="14.5" x14ac:dyDescent="0.35">
      <c r="A151" t="s">
        <v>36</v>
      </c>
      <c r="B151" t="s">
        <v>1119</v>
      </c>
      <c r="C151" s="14">
        <f t="shared" si="8"/>
        <v>0</v>
      </c>
      <c r="D151" s="14">
        <f t="shared" si="9"/>
        <v>0</v>
      </c>
      <c r="E151" s="14">
        <f t="shared" si="10"/>
        <v>1</v>
      </c>
      <c r="F151">
        <v>274</v>
      </c>
      <c r="G151" s="3">
        <v>0.39100000000000001</v>
      </c>
      <c r="H151" s="7">
        <v>1646320</v>
      </c>
      <c r="I151">
        <v>0</v>
      </c>
      <c r="J151" s="14">
        <f t="shared" si="11"/>
        <v>0</v>
      </c>
      <c r="K151" s="3">
        <v>0.52650092327129594</v>
      </c>
    </row>
    <row r="152" spans="1:11" ht="14.5" x14ac:dyDescent="0.35">
      <c r="A152" t="s">
        <v>36</v>
      </c>
      <c r="B152" t="s">
        <v>1118</v>
      </c>
      <c r="C152" s="14">
        <f t="shared" si="8"/>
        <v>0</v>
      </c>
      <c r="D152" s="14">
        <f t="shared" si="9"/>
        <v>0</v>
      </c>
      <c r="E152" s="14">
        <f t="shared" si="10"/>
        <v>0</v>
      </c>
      <c r="F152">
        <v>313</v>
      </c>
      <c r="G152" s="3">
        <v>0.51800000000000002</v>
      </c>
      <c r="H152" s="7">
        <v>9345986</v>
      </c>
      <c r="I152">
        <v>0</v>
      </c>
      <c r="J152" s="14">
        <f t="shared" si="11"/>
        <v>1</v>
      </c>
      <c r="K152" s="3">
        <v>0.53185463791621346</v>
      </c>
    </row>
    <row r="153" spans="1:11" ht="14.5" x14ac:dyDescent="0.35">
      <c r="A153" t="s">
        <v>36</v>
      </c>
      <c r="B153" t="s">
        <v>1119</v>
      </c>
      <c r="C153" s="14">
        <f t="shared" si="8"/>
        <v>0</v>
      </c>
      <c r="D153" s="14">
        <f t="shared" si="9"/>
        <v>0</v>
      </c>
      <c r="E153" s="14">
        <f t="shared" si="10"/>
        <v>1</v>
      </c>
      <c r="F153">
        <v>593</v>
      </c>
      <c r="G153" s="3">
        <v>0.46899999999999997</v>
      </c>
      <c r="H153" s="7">
        <v>2997108</v>
      </c>
      <c r="I153">
        <v>0</v>
      </c>
      <c r="J153" s="14">
        <f t="shared" si="11"/>
        <v>0</v>
      </c>
      <c r="K153" s="3">
        <v>0.4918167780406979</v>
      </c>
    </row>
    <row r="154" spans="1:11" ht="14.5" x14ac:dyDescent="0.35">
      <c r="A154" t="s">
        <v>36</v>
      </c>
      <c r="B154" t="s">
        <v>1117</v>
      </c>
      <c r="C154" s="14">
        <f t="shared" si="8"/>
        <v>0</v>
      </c>
      <c r="D154" s="14">
        <f t="shared" si="9"/>
        <v>1</v>
      </c>
      <c r="E154" s="14">
        <f t="shared" si="10"/>
        <v>0</v>
      </c>
      <c r="F154">
        <v>448</v>
      </c>
      <c r="G154" s="3">
        <v>0.42899999999999999</v>
      </c>
      <c r="H154" s="7">
        <v>5005471</v>
      </c>
      <c r="I154">
        <v>0</v>
      </c>
      <c r="J154" s="14">
        <f t="shared" si="11"/>
        <v>0</v>
      </c>
      <c r="K154" s="3">
        <v>0.42862499852661218</v>
      </c>
    </row>
    <row r="155" spans="1:11" ht="14.5" x14ac:dyDescent="0.35">
      <c r="A155" t="s">
        <v>47</v>
      </c>
      <c r="B155" t="s">
        <v>1119</v>
      </c>
      <c r="C155" s="14">
        <f t="shared" si="8"/>
        <v>1</v>
      </c>
      <c r="D155" s="14">
        <f t="shared" si="9"/>
        <v>0</v>
      </c>
      <c r="E155" s="14">
        <f t="shared" si="10"/>
        <v>1</v>
      </c>
      <c r="F155">
        <v>495</v>
      </c>
      <c r="G155" s="3">
        <v>0.501</v>
      </c>
      <c r="H155" s="7">
        <v>2464943</v>
      </c>
      <c r="I155">
        <v>0</v>
      </c>
      <c r="J155" s="14">
        <f t="shared" si="11"/>
        <v>0</v>
      </c>
      <c r="K155" s="3">
        <v>0.47990318640228191</v>
      </c>
    </row>
    <row r="156" spans="1:11" ht="14.5" x14ac:dyDescent="0.35">
      <c r="A156" t="s">
        <v>47</v>
      </c>
      <c r="B156" t="s">
        <v>1119</v>
      </c>
      <c r="C156" s="14">
        <f t="shared" si="8"/>
        <v>1</v>
      </c>
      <c r="D156" s="14">
        <f t="shared" si="9"/>
        <v>0</v>
      </c>
      <c r="E156" s="14">
        <f t="shared" si="10"/>
        <v>1</v>
      </c>
      <c r="F156">
        <v>364</v>
      </c>
      <c r="G156" s="3">
        <v>0.379</v>
      </c>
      <c r="H156" s="7">
        <v>1860167</v>
      </c>
      <c r="I156">
        <v>0</v>
      </c>
      <c r="J156" s="14">
        <f t="shared" si="11"/>
        <v>0</v>
      </c>
      <c r="K156" s="3">
        <v>0.34836012035478536</v>
      </c>
    </row>
    <row r="157" spans="1:11" ht="14.5" x14ac:dyDescent="0.35">
      <c r="A157" t="s">
        <v>36</v>
      </c>
      <c r="B157" t="s">
        <v>1117</v>
      </c>
      <c r="C157" s="14">
        <f t="shared" si="8"/>
        <v>0</v>
      </c>
      <c r="D157" s="14">
        <f t="shared" si="9"/>
        <v>1</v>
      </c>
      <c r="E157" s="14">
        <f t="shared" si="10"/>
        <v>0</v>
      </c>
      <c r="F157">
        <v>280</v>
      </c>
      <c r="G157" s="3">
        <v>0.311</v>
      </c>
      <c r="H157" s="7">
        <v>3466028</v>
      </c>
      <c r="I157">
        <v>0</v>
      </c>
      <c r="J157" s="14">
        <f t="shared" si="11"/>
        <v>0</v>
      </c>
      <c r="K157" s="3">
        <v>0.3776083170707219</v>
      </c>
    </row>
    <row r="158" spans="1:11" ht="14.5" x14ac:dyDescent="0.35">
      <c r="A158" t="s">
        <v>47</v>
      </c>
      <c r="B158" t="s">
        <v>1118</v>
      </c>
      <c r="C158" s="14">
        <f t="shared" si="8"/>
        <v>1</v>
      </c>
      <c r="D158" s="14">
        <f t="shared" si="9"/>
        <v>0</v>
      </c>
      <c r="E158" s="14">
        <f t="shared" si="10"/>
        <v>0</v>
      </c>
      <c r="F158">
        <v>885</v>
      </c>
      <c r="G158" s="3">
        <v>0.52</v>
      </c>
      <c r="H158" s="7">
        <v>21453064</v>
      </c>
      <c r="I158">
        <v>0</v>
      </c>
      <c r="J158" s="14">
        <f t="shared" si="11"/>
        <v>1</v>
      </c>
      <c r="K158" s="3">
        <v>0.41269125939306384</v>
      </c>
    </row>
    <row r="159" spans="1:11" ht="14.5" x14ac:dyDescent="0.35">
      <c r="A159" t="s">
        <v>36</v>
      </c>
      <c r="B159" t="s">
        <v>1119</v>
      </c>
      <c r="C159" s="14">
        <f t="shared" si="8"/>
        <v>0</v>
      </c>
      <c r="D159" s="14">
        <f t="shared" si="9"/>
        <v>0</v>
      </c>
      <c r="E159" s="14">
        <f t="shared" si="10"/>
        <v>1</v>
      </c>
      <c r="F159">
        <v>722</v>
      </c>
      <c r="G159" s="3">
        <v>0.45400000000000001</v>
      </c>
      <c r="H159" s="7">
        <v>2905881</v>
      </c>
      <c r="I159">
        <v>0</v>
      </c>
      <c r="J159" s="14">
        <f t="shared" si="11"/>
        <v>0</v>
      </c>
      <c r="K159" s="3">
        <v>0.42441689800786747</v>
      </c>
    </row>
    <row r="160" spans="1:11" ht="14.5" x14ac:dyDescent="0.35">
      <c r="A160" t="s">
        <v>47</v>
      </c>
      <c r="B160" t="s">
        <v>1117</v>
      </c>
      <c r="C160" s="14">
        <f t="shared" si="8"/>
        <v>1</v>
      </c>
      <c r="D160" s="14">
        <f t="shared" si="9"/>
        <v>1</v>
      </c>
      <c r="E160" s="14">
        <f t="shared" si="10"/>
        <v>0</v>
      </c>
      <c r="F160">
        <v>676</v>
      </c>
      <c r="G160" s="3">
        <v>0.36700000000000005</v>
      </c>
      <c r="H160" s="7">
        <v>8453326</v>
      </c>
      <c r="I160">
        <v>0</v>
      </c>
      <c r="J160" s="14">
        <f t="shared" si="11"/>
        <v>0</v>
      </c>
      <c r="K160" s="3">
        <v>0.33870609036017302</v>
      </c>
    </row>
    <row r="161" spans="1:11" ht="14.5" x14ac:dyDescent="0.35">
      <c r="A161" t="s">
        <v>47</v>
      </c>
      <c r="B161" t="s">
        <v>1117</v>
      </c>
      <c r="C161" s="14">
        <f t="shared" si="8"/>
        <v>1</v>
      </c>
      <c r="D161" s="14">
        <f t="shared" si="9"/>
        <v>1</v>
      </c>
      <c r="E161" s="14">
        <f t="shared" si="10"/>
        <v>0</v>
      </c>
      <c r="F161">
        <v>419</v>
      </c>
      <c r="G161" s="3">
        <v>0.46100000000000002</v>
      </c>
      <c r="H161" s="7">
        <v>5494696</v>
      </c>
      <c r="I161">
        <v>0</v>
      </c>
      <c r="J161" s="14">
        <f t="shared" si="11"/>
        <v>0</v>
      </c>
      <c r="K161" s="3">
        <v>0.44915205499994904</v>
      </c>
    </row>
    <row r="162" spans="1:11" ht="14.5" x14ac:dyDescent="0.35">
      <c r="A162" t="s">
        <v>36</v>
      </c>
      <c r="B162" t="s">
        <v>1118</v>
      </c>
      <c r="C162" s="14">
        <f t="shared" si="8"/>
        <v>0</v>
      </c>
      <c r="D162" s="14">
        <f t="shared" si="9"/>
        <v>0</v>
      </c>
      <c r="E162" s="14">
        <f t="shared" si="10"/>
        <v>0</v>
      </c>
      <c r="F162">
        <v>268</v>
      </c>
      <c r="G162" s="3">
        <v>0.47000000000000003</v>
      </c>
      <c r="H162" s="7">
        <v>4105328</v>
      </c>
      <c r="I162">
        <v>0</v>
      </c>
      <c r="J162" s="14">
        <f t="shared" si="11"/>
        <v>1</v>
      </c>
      <c r="K162" s="3">
        <v>0.45884811152726407</v>
      </c>
    </row>
    <row r="163" spans="1:11" ht="14.5" x14ac:dyDescent="0.35">
      <c r="A163" t="s">
        <v>47</v>
      </c>
      <c r="B163" t="s">
        <v>1117</v>
      </c>
      <c r="C163" s="14">
        <f t="shared" si="8"/>
        <v>1</v>
      </c>
      <c r="D163" s="14">
        <f t="shared" si="9"/>
        <v>1</v>
      </c>
      <c r="E163" s="14">
        <f t="shared" si="10"/>
        <v>0</v>
      </c>
      <c r="F163">
        <v>277</v>
      </c>
      <c r="G163" s="3">
        <v>0.314</v>
      </c>
      <c r="H163" s="7">
        <v>3349138</v>
      </c>
      <c r="I163">
        <v>0</v>
      </c>
      <c r="J163" s="14">
        <f t="shared" si="11"/>
        <v>0</v>
      </c>
      <c r="K163" s="3">
        <v>0.3397327909450133</v>
      </c>
    </row>
    <row r="164" spans="1:11" ht="14.5" x14ac:dyDescent="0.35">
      <c r="A164" t="s">
        <v>47</v>
      </c>
      <c r="B164" t="s">
        <v>1119</v>
      </c>
      <c r="C164" s="14">
        <f t="shared" si="8"/>
        <v>1</v>
      </c>
      <c r="D164" s="14">
        <f t="shared" si="9"/>
        <v>0</v>
      </c>
      <c r="E164" s="14">
        <f t="shared" si="10"/>
        <v>1</v>
      </c>
      <c r="F164">
        <v>367</v>
      </c>
      <c r="G164" s="3">
        <v>0.436</v>
      </c>
      <c r="H164" s="7">
        <v>2583155</v>
      </c>
      <c r="I164">
        <v>0</v>
      </c>
      <c r="J164" s="14">
        <f t="shared" si="11"/>
        <v>0</v>
      </c>
      <c r="K164" s="3">
        <v>0.43946995050626075</v>
      </c>
    </row>
    <row r="165" spans="1:11" ht="14.5" x14ac:dyDescent="0.35">
      <c r="A165" t="s">
        <v>47</v>
      </c>
      <c r="B165" t="s">
        <v>1119</v>
      </c>
      <c r="C165" s="14">
        <f t="shared" si="8"/>
        <v>1</v>
      </c>
      <c r="D165" s="14">
        <f t="shared" si="9"/>
        <v>0</v>
      </c>
      <c r="E165" s="14">
        <f t="shared" si="10"/>
        <v>1</v>
      </c>
      <c r="F165">
        <v>461</v>
      </c>
      <c r="G165" s="3">
        <v>0.35399999999999998</v>
      </c>
      <c r="H165" s="7">
        <v>3172039</v>
      </c>
      <c r="I165">
        <v>0</v>
      </c>
      <c r="J165" s="14">
        <f t="shared" si="11"/>
        <v>0</v>
      </c>
      <c r="K165" s="3">
        <v>0.36767360048221348</v>
      </c>
    </row>
    <row r="166" spans="1:11" ht="14.5" x14ac:dyDescent="0.35">
      <c r="A166" t="s">
        <v>36</v>
      </c>
      <c r="B166" t="s">
        <v>1117</v>
      </c>
      <c r="C166" s="14">
        <f t="shared" si="8"/>
        <v>0</v>
      </c>
      <c r="D166" s="14">
        <f t="shared" si="9"/>
        <v>1</v>
      </c>
      <c r="E166" s="14">
        <f t="shared" si="10"/>
        <v>0</v>
      </c>
      <c r="F166">
        <v>586</v>
      </c>
      <c r="G166" s="3">
        <v>0.44700000000000006</v>
      </c>
      <c r="H166" s="7">
        <v>5660679</v>
      </c>
      <c r="I166">
        <v>0</v>
      </c>
      <c r="J166" s="14">
        <f t="shared" si="11"/>
        <v>0</v>
      </c>
      <c r="K166" s="3">
        <v>0.46622834469151136</v>
      </c>
    </row>
    <row r="167" spans="1:11" ht="14.5" x14ac:dyDescent="0.35">
      <c r="A167" t="s">
        <v>36</v>
      </c>
      <c r="B167" t="s">
        <v>1117</v>
      </c>
      <c r="C167" s="14">
        <f t="shared" si="8"/>
        <v>0</v>
      </c>
      <c r="D167" s="14">
        <f t="shared" si="9"/>
        <v>1</v>
      </c>
      <c r="E167" s="14">
        <f t="shared" si="10"/>
        <v>0</v>
      </c>
      <c r="F167">
        <v>492</v>
      </c>
      <c r="G167" s="3">
        <v>0.49200000000000005</v>
      </c>
      <c r="H167" s="7">
        <v>5203694</v>
      </c>
      <c r="I167">
        <v>0</v>
      </c>
      <c r="J167" s="14">
        <f t="shared" si="11"/>
        <v>0</v>
      </c>
      <c r="K167" s="3">
        <v>0.48493185802239719</v>
      </c>
    </row>
    <row r="168" spans="1:11" ht="14.5" x14ac:dyDescent="0.35">
      <c r="A168" t="s">
        <v>47</v>
      </c>
      <c r="B168" t="s">
        <v>1118</v>
      </c>
      <c r="C168" s="14">
        <f t="shared" si="8"/>
        <v>1</v>
      </c>
      <c r="D168" s="14">
        <f t="shared" si="9"/>
        <v>0</v>
      </c>
      <c r="E168" s="14">
        <f t="shared" si="10"/>
        <v>0</v>
      </c>
      <c r="F168">
        <v>917</v>
      </c>
      <c r="G168" s="3">
        <v>0.46200000000000002</v>
      </c>
      <c r="H168" s="7">
        <v>16671563</v>
      </c>
      <c r="I168">
        <v>0</v>
      </c>
      <c r="J168" s="14">
        <f t="shared" si="11"/>
        <v>1</v>
      </c>
      <c r="K168" s="3">
        <v>0.34769877305445207</v>
      </c>
    </row>
    <row r="169" spans="1:11" ht="14.5" x14ac:dyDescent="0.35">
      <c r="A169" t="s">
        <v>47</v>
      </c>
      <c r="B169" t="s">
        <v>1117</v>
      </c>
      <c r="C169" s="14">
        <f t="shared" si="8"/>
        <v>1</v>
      </c>
      <c r="D169" s="14">
        <f t="shared" si="9"/>
        <v>1</v>
      </c>
      <c r="E169" s="14">
        <f t="shared" si="10"/>
        <v>0</v>
      </c>
      <c r="F169">
        <v>385</v>
      </c>
      <c r="G169" s="3">
        <v>0.51900000000000002</v>
      </c>
      <c r="H169" s="7">
        <v>6587786</v>
      </c>
      <c r="I169">
        <v>0</v>
      </c>
      <c r="J169" s="14">
        <f t="shared" si="11"/>
        <v>0</v>
      </c>
      <c r="K169" s="3">
        <v>0.52829873344398259</v>
      </c>
    </row>
    <row r="170" spans="1:11" ht="14.5" x14ac:dyDescent="0.35">
      <c r="A170" t="s">
        <v>47</v>
      </c>
      <c r="B170" t="s">
        <v>1117</v>
      </c>
      <c r="C170" s="14">
        <f t="shared" si="8"/>
        <v>1</v>
      </c>
      <c r="D170" s="14">
        <f t="shared" si="9"/>
        <v>1</v>
      </c>
      <c r="E170" s="14">
        <f t="shared" si="10"/>
        <v>0</v>
      </c>
      <c r="F170">
        <v>254</v>
      </c>
      <c r="G170" s="3">
        <v>0.45700000000000002</v>
      </c>
      <c r="H170" s="7">
        <v>4407349</v>
      </c>
      <c r="I170">
        <v>0</v>
      </c>
      <c r="J170" s="14">
        <f t="shared" si="11"/>
        <v>0</v>
      </c>
      <c r="K170" s="3">
        <v>0.52396554028283215</v>
      </c>
    </row>
    <row r="171" spans="1:11" ht="14.5" x14ac:dyDescent="0.35">
      <c r="A171" t="s">
        <v>47</v>
      </c>
      <c r="B171" t="s">
        <v>1119</v>
      </c>
      <c r="C171" s="14">
        <f t="shared" si="8"/>
        <v>1</v>
      </c>
      <c r="D171" s="14">
        <f t="shared" si="9"/>
        <v>0</v>
      </c>
      <c r="E171" s="14">
        <f t="shared" si="10"/>
        <v>1</v>
      </c>
      <c r="F171">
        <v>465</v>
      </c>
      <c r="G171" s="3">
        <v>0.35700000000000004</v>
      </c>
      <c r="H171" s="7">
        <v>2722577</v>
      </c>
      <c r="I171">
        <v>0</v>
      </c>
      <c r="J171" s="14">
        <f t="shared" si="11"/>
        <v>0</v>
      </c>
      <c r="K171" s="3">
        <v>0.3352026407333934</v>
      </c>
    </row>
    <row r="172" spans="1:11" ht="14.5" x14ac:dyDescent="0.35">
      <c r="A172" t="s">
        <v>47</v>
      </c>
      <c r="B172" t="s">
        <v>1119</v>
      </c>
      <c r="C172" s="14">
        <f t="shared" si="8"/>
        <v>1</v>
      </c>
      <c r="D172" s="14">
        <f t="shared" si="9"/>
        <v>0</v>
      </c>
      <c r="E172" s="14">
        <f t="shared" si="10"/>
        <v>1</v>
      </c>
      <c r="F172">
        <v>427</v>
      </c>
      <c r="G172" s="3">
        <v>0.36799999999999999</v>
      </c>
      <c r="H172" s="7">
        <v>1323325</v>
      </c>
      <c r="I172">
        <v>0</v>
      </c>
      <c r="J172" s="14">
        <f t="shared" si="11"/>
        <v>0</v>
      </c>
      <c r="K172" s="3">
        <v>0.4344465645249655</v>
      </c>
    </row>
    <row r="173" spans="1:11" ht="14.5" x14ac:dyDescent="0.35">
      <c r="A173" t="s">
        <v>36</v>
      </c>
      <c r="B173" t="s">
        <v>1118</v>
      </c>
      <c r="C173" s="14">
        <f t="shared" si="8"/>
        <v>0</v>
      </c>
      <c r="D173" s="14">
        <f t="shared" si="9"/>
        <v>0</v>
      </c>
      <c r="E173" s="14">
        <f t="shared" si="10"/>
        <v>0</v>
      </c>
      <c r="F173">
        <v>472</v>
      </c>
      <c r="G173" s="3">
        <v>0.38100000000000001</v>
      </c>
      <c r="H173" s="7">
        <v>11567115</v>
      </c>
      <c r="I173">
        <v>0</v>
      </c>
      <c r="J173" s="14">
        <f t="shared" si="11"/>
        <v>1</v>
      </c>
      <c r="K173" s="3">
        <v>0.35696195637373712</v>
      </c>
    </row>
    <row r="174" spans="1:11" ht="14.5" x14ac:dyDescent="0.35">
      <c r="A174" t="s">
        <v>36</v>
      </c>
      <c r="B174" t="s">
        <v>1119</v>
      </c>
      <c r="C174" s="14">
        <f t="shared" si="8"/>
        <v>0</v>
      </c>
      <c r="D174" s="14">
        <f t="shared" si="9"/>
        <v>0</v>
      </c>
      <c r="E174" s="14">
        <f t="shared" si="10"/>
        <v>1</v>
      </c>
      <c r="F174">
        <v>203</v>
      </c>
      <c r="G174" s="3">
        <v>0.433</v>
      </c>
      <c r="H174" s="7">
        <v>542206</v>
      </c>
      <c r="I174">
        <v>0</v>
      </c>
      <c r="J174" s="14">
        <f t="shared" si="11"/>
        <v>0</v>
      </c>
      <c r="K174" s="3">
        <v>0.38688432071943135</v>
      </c>
    </row>
    <row r="175" spans="1:11" ht="14.5" x14ac:dyDescent="0.35">
      <c r="A175" t="s">
        <v>36</v>
      </c>
      <c r="B175" t="s">
        <v>1119</v>
      </c>
      <c r="C175" s="14">
        <f t="shared" si="8"/>
        <v>0</v>
      </c>
      <c r="D175" s="14">
        <f t="shared" si="9"/>
        <v>0</v>
      </c>
      <c r="E175" s="14">
        <f t="shared" si="10"/>
        <v>1</v>
      </c>
      <c r="F175">
        <v>496</v>
      </c>
      <c r="G175" s="3">
        <v>0.47200000000000003</v>
      </c>
      <c r="H175" s="7">
        <v>1175569</v>
      </c>
      <c r="I175">
        <v>0</v>
      </c>
      <c r="J175" s="14">
        <f t="shared" si="11"/>
        <v>0</v>
      </c>
      <c r="K175" s="3">
        <v>0.44711369558060821</v>
      </c>
    </row>
    <row r="176" spans="1:11" ht="14.5" x14ac:dyDescent="0.35">
      <c r="A176" t="s">
        <v>47</v>
      </c>
      <c r="B176" t="s">
        <v>1118</v>
      </c>
      <c r="C176" s="14">
        <f t="shared" si="8"/>
        <v>1</v>
      </c>
      <c r="D176" s="14">
        <f t="shared" si="9"/>
        <v>0</v>
      </c>
      <c r="E176" s="14">
        <f t="shared" si="10"/>
        <v>0</v>
      </c>
      <c r="F176">
        <v>424</v>
      </c>
      <c r="G176" s="3">
        <v>0.50700000000000001</v>
      </c>
      <c r="H176" s="7">
        <v>11600522</v>
      </c>
      <c r="I176">
        <v>0</v>
      </c>
      <c r="J176" s="14">
        <f t="shared" si="11"/>
        <v>1</v>
      </c>
      <c r="K176" s="3">
        <v>0.50136416275060725</v>
      </c>
    </row>
    <row r="177" spans="1:11" ht="14.5" x14ac:dyDescent="0.35">
      <c r="A177" t="s">
        <v>36</v>
      </c>
      <c r="B177" t="s">
        <v>1118</v>
      </c>
      <c r="C177" s="14">
        <f t="shared" si="8"/>
        <v>0</v>
      </c>
      <c r="D177" s="14">
        <f t="shared" si="9"/>
        <v>0</v>
      </c>
      <c r="E177" s="14">
        <f t="shared" si="10"/>
        <v>0</v>
      </c>
      <c r="F177">
        <v>480</v>
      </c>
      <c r="G177" s="3">
        <v>0.50600000000000001</v>
      </c>
      <c r="H177" s="7">
        <v>25694253</v>
      </c>
      <c r="I177">
        <v>0</v>
      </c>
      <c r="J177" s="14">
        <f t="shared" si="11"/>
        <v>1</v>
      </c>
      <c r="K177" s="3">
        <v>0.28047248542310221</v>
      </c>
    </row>
    <row r="178" spans="1:11" ht="14.5" x14ac:dyDescent="0.35">
      <c r="A178" t="s">
        <v>36</v>
      </c>
      <c r="B178" t="s">
        <v>1119</v>
      </c>
      <c r="C178" s="14">
        <f t="shared" si="8"/>
        <v>0</v>
      </c>
      <c r="D178" s="14">
        <f t="shared" si="9"/>
        <v>0</v>
      </c>
      <c r="E178" s="14">
        <f t="shared" si="10"/>
        <v>1</v>
      </c>
      <c r="F178">
        <v>616</v>
      </c>
      <c r="G178" s="3">
        <v>0.36499999999999999</v>
      </c>
      <c r="H178" s="7">
        <v>1895180</v>
      </c>
      <c r="I178">
        <v>0</v>
      </c>
      <c r="J178" s="14">
        <f t="shared" si="11"/>
        <v>0</v>
      </c>
      <c r="K178" s="3">
        <v>0.4032962568199327</v>
      </c>
    </row>
    <row r="179" spans="1:11" ht="14.5" x14ac:dyDescent="0.35">
      <c r="A179" t="s">
        <v>47</v>
      </c>
      <c r="B179" t="s">
        <v>1119</v>
      </c>
      <c r="C179" s="14">
        <f t="shared" si="8"/>
        <v>1</v>
      </c>
      <c r="D179" s="14">
        <f t="shared" si="9"/>
        <v>0</v>
      </c>
      <c r="E179" s="14">
        <f t="shared" si="10"/>
        <v>1</v>
      </c>
      <c r="F179">
        <v>795</v>
      </c>
      <c r="G179" s="3">
        <v>0.40399999999999997</v>
      </c>
      <c r="H179" s="7">
        <v>4409626</v>
      </c>
      <c r="I179">
        <v>0</v>
      </c>
      <c r="J179" s="14">
        <f t="shared" si="11"/>
        <v>0</v>
      </c>
      <c r="K179" s="3">
        <v>0.39992779432994996</v>
      </c>
    </row>
    <row r="180" spans="1:11" ht="14.5" x14ac:dyDescent="0.35">
      <c r="A180" t="s">
        <v>36</v>
      </c>
      <c r="B180" t="s">
        <v>1119</v>
      </c>
      <c r="C180" s="14">
        <f t="shared" si="8"/>
        <v>0</v>
      </c>
      <c r="D180" s="14">
        <f t="shared" si="9"/>
        <v>0</v>
      </c>
      <c r="E180" s="14">
        <f t="shared" si="10"/>
        <v>1</v>
      </c>
      <c r="F180">
        <v>505</v>
      </c>
      <c r="G180" s="3">
        <v>0.45299999999999996</v>
      </c>
      <c r="H180" s="7">
        <v>1950716</v>
      </c>
      <c r="I180">
        <v>0</v>
      </c>
      <c r="J180" s="14">
        <f t="shared" si="11"/>
        <v>0</v>
      </c>
      <c r="K180" s="3">
        <v>0.5220647188006865</v>
      </c>
    </row>
    <row r="181" spans="1:11" ht="14.5" x14ac:dyDescent="0.35">
      <c r="A181" t="s">
        <v>47</v>
      </c>
      <c r="B181" t="s">
        <v>1119</v>
      </c>
      <c r="C181" s="14">
        <f t="shared" si="8"/>
        <v>1</v>
      </c>
      <c r="D181" s="14">
        <f t="shared" si="9"/>
        <v>0</v>
      </c>
      <c r="E181" s="14">
        <f t="shared" si="10"/>
        <v>1</v>
      </c>
      <c r="F181">
        <v>596</v>
      </c>
      <c r="G181" s="3">
        <v>0.435</v>
      </c>
      <c r="H181" s="7">
        <v>2542251</v>
      </c>
      <c r="I181">
        <v>0</v>
      </c>
      <c r="J181" s="14">
        <f t="shared" si="11"/>
        <v>0</v>
      </c>
      <c r="K181" s="3">
        <v>0.4350534231277714</v>
      </c>
    </row>
    <row r="182" spans="1:11" ht="14.5" x14ac:dyDescent="0.35">
      <c r="A182" t="s">
        <v>47</v>
      </c>
      <c r="B182" t="s">
        <v>1119</v>
      </c>
      <c r="C182" s="14">
        <f t="shared" si="8"/>
        <v>1</v>
      </c>
      <c r="D182" s="14">
        <f t="shared" si="9"/>
        <v>0</v>
      </c>
      <c r="E182" s="14">
        <f t="shared" si="10"/>
        <v>1</v>
      </c>
      <c r="F182">
        <v>608</v>
      </c>
      <c r="G182" s="3">
        <v>0.42799999999999999</v>
      </c>
      <c r="H182" s="7">
        <v>3648281</v>
      </c>
      <c r="I182">
        <v>0</v>
      </c>
      <c r="J182" s="14">
        <f t="shared" si="11"/>
        <v>0</v>
      </c>
      <c r="K182" s="3">
        <v>0.40848964210815997</v>
      </c>
    </row>
    <row r="183" spans="1:11" ht="14.5" x14ac:dyDescent="0.35">
      <c r="A183" t="s">
        <v>47</v>
      </c>
      <c r="B183" t="s">
        <v>1119</v>
      </c>
      <c r="C183" s="14">
        <f t="shared" si="8"/>
        <v>1</v>
      </c>
      <c r="D183" s="14">
        <f t="shared" si="9"/>
        <v>0</v>
      </c>
      <c r="E183" s="14">
        <f t="shared" si="10"/>
        <v>1</v>
      </c>
      <c r="F183">
        <v>228</v>
      </c>
      <c r="G183" s="3">
        <v>0.58799999999999997</v>
      </c>
      <c r="H183" s="7">
        <v>779287</v>
      </c>
      <c r="I183">
        <v>0</v>
      </c>
      <c r="J183" s="14">
        <f t="shared" si="11"/>
        <v>0</v>
      </c>
      <c r="K183" s="3">
        <v>0.60658525036347333</v>
      </c>
    </row>
    <row r="184" spans="1:11" ht="14.5" x14ac:dyDescent="0.35">
      <c r="A184" t="s">
        <v>47</v>
      </c>
      <c r="B184" t="s">
        <v>1119</v>
      </c>
      <c r="C184" s="14">
        <f t="shared" si="8"/>
        <v>1</v>
      </c>
      <c r="D184" s="14">
        <f t="shared" si="9"/>
        <v>0</v>
      </c>
      <c r="E184" s="14">
        <f t="shared" si="10"/>
        <v>1</v>
      </c>
      <c r="F184">
        <v>661</v>
      </c>
      <c r="G184" s="3">
        <v>0.40399999999999997</v>
      </c>
      <c r="H184" s="7">
        <v>5149358</v>
      </c>
      <c r="I184">
        <v>0</v>
      </c>
      <c r="J184" s="14">
        <f t="shared" si="11"/>
        <v>0</v>
      </c>
      <c r="K184" s="3">
        <v>0.40061965006123096</v>
      </c>
    </row>
    <row r="185" spans="1:11" ht="14.5" x14ac:dyDescent="0.35">
      <c r="A185" t="s">
        <v>47</v>
      </c>
      <c r="B185" t="s">
        <v>1119</v>
      </c>
      <c r="C185" s="14">
        <f t="shared" si="8"/>
        <v>1</v>
      </c>
      <c r="D185" s="14">
        <f t="shared" si="9"/>
        <v>0</v>
      </c>
      <c r="E185" s="14">
        <f t="shared" si="10"/>
        <v>1</v>
      </c>
      <c r="F185">
        <v>299</v>
      </c>
      <c r="G185" s="3">
        <v>0.52500000000000002</v>
      </c>
      <c r="H185" s="7">
        <v>920005</v>
      </c>
      <c r="I185">
        <v>0</v>
      </c>
      <c r="J185" s="14">
        <f t="shared" si="11"/>
        <v>0</v>
      </c>
      <c r="K185" s="3">
        <v>0.5657175776218607</v>
      </c>
    </row>
    <row r="186" spans="1:11" ht="14.5" x14ac:dyDescent="0.35">
      <c r="A186" t="s">
        <v>47</v>
      </c>
      <c r="B186" t="s">
        <v>1119</v>
      </c>
      <c r="C186" s="14">
        <f t="shared" si="8"/>
        <v>1</v>
      </c>
      <c r="D186" s="14">
        <f t="shared" si="9"/>
        <v>0</v>
      </c>
      <c r="E186" s="14">
        <f t="shared" si="10"/>
        <v>1</v>
      </c>
      <c r="F186">
        <v>248</v>
      </c>
      <c r="G186" s="3">
        <v>0.41899999999999998</v>
      </c>
      <c r="H186" s="7">
        <v>817583</v>
      </c>
      <c r="I186">
        <v>0</v>
      </c>
      <c r="J186" s="14">
        <f t="shared" si="11"/>
        <v>0</v>
      </c>
      <c r="K186" s="3">
        <v>0.43677400337335781</v>
      </c>
    </row>
    <row r="187" spans="1:11" ht="14.5" x14ac:dyDescent="0.35">
      <c r="A187" t="s">
        <v>47</v>
      </c>
      <c r="B187" t="s">
        <v>1119</v>
      </c>
      <c r="C187" s="14">
        <f t="shared" si="8"/>
        <v>1</v>
      </c>
      <c r="D187" s="14">
        <f t="shared" si="9"/>
        <v>0</v>
      </c>
      <c r="E187" s="14">
        <f t="shared" si="10"/>
        <v>1</v>
      </c>
      <c r="F187">
        <v>559</v>
      </c>
      <c r="G187" s="3">
        <v>0.33500000000000002</v>
      </c>
      <c r="H187" s="7">
        <v>2526131</v>
      </c>
      <c r="I187">
        <v>0</v>
      </c>
      <c r="J187" s="14">
        <f t="shared" si="11"/>
        <v>0</v>
      </c>
      <c r="K187" s="3">
        <v>0.36080591228245884</v>
      </c>
    </row>
    <row r="188" spans="1:11" ht="14.5" x14ac:dyDescent="0.35">
      <c r="A188" t="s">
        <v>47</v>
      </c>
      <c r="B188" t="s">
        <v>1117</v>
      </c>
      <c r="C188" s="14">
        <f t="shared" si="8"/>
        <v>1</v>
      </c>
      <c r="D188" s="14">
        <f t="shared" si="9"/>
        <v>1</v>
      </c>
      <c r="E188" s="14">
        <f t="shared" si="10"/>
        <v>0</v>
      </c>
      <c r="F188">
        <v>362</v>
      </c>
      <c r="G188" s="3">
        <v>0.503</v>
      </c>
      <c r="H188" s="7">
        <v>4862764</v>
      </c>
      <c r="I188">
        <v>0</v>
      </c>
      <c r="J188" s="14">
        <f t="shared" si="11"/>
        <v>0</v>
      </c>
      <c r="K188" s="3">
        <v>0.53330245925979547</v>
      </c>
    </row>
    <row r="189" spans="1:11" ht="14.5" x14ac:dyDescent="0.35">
      <c r="A189" t="s">
        <v>47</v>
      </c>
      <c r="B189" t="s">
        <v>1117</v>
      </c>
      <c r="C189" s="14">
        <f t="shared" si="8"/>
        <v>1</v>
      </c>
      <c r="D189" s="14">
        <f t="shared" si="9"/>
        <v>1</v>
      </c>
      <c r="E189" s="14">
        <f t="shared" si="10"/>
        <v>0</v>
      </c>
      <c r="F189">
        <v>272</v>
      </c>
      <c r="G189" s="3">
        <v>0.36399999999999999</v>
      </c>
      <c r="H189" s="7">
        <v>3889136</v>
      </c>
      <c r="I189">
        <v>0</v>
      </c>
      <c r="J189" s="14">
        <f t="shared" si="11"/>
        <v>0</v>
      </c>
      <c r="K189" s="3">
        <v>0.25485249165881574</v>
      </c>
    </row>
    <row r="190" spans="1:11" ht="14.5" x14ac:dyDescent="0.35">
      <c r="A190" t="s">
        <v>47</v>
      </c>
      <c r="B190" t="s">
        <v>1117</v>
      </c>
      <c r="C190" s="14">
        <f t="shared" si="8"/>
        <v>1</v>
      </c>
      <c r="D190" s="14">
        <f t="shared" si="9"/>
        <v>1</v>
      </c>
      <c r="E190" s="14">
        <f t="shared" si="10"/>
        <v>0</v>
      </c>
      <c r="F190">
        <v>473</v>
      </c>
      <c r="G190" s="3">
        <v>0.27100000000000002</v>
      </c>
      <c r="H190" s="7">
        <v>5230213</v>
      </c>
      <c r="I190">
        <v>0</v>
      </c>
      <c r="J190" s="14">
        <f t="shared" si="11"/>
        <v>0</v>
      </c>
      <c r="K190" s="3">
        <v>0.31654676396544462</v>
      </c>
    </row>
    <row r="191" spans="1:11" ht="14.5" x14ac:dyDescent="0.35">
      <c r="A191" t="s">
        <v>36</v>
      </c>
      <c r="B191" t="s">
        <v>1117</v>
      </c>
      <c r="C191" s="14">
        <f t="shared" si="8"/>
        <v>0</v>
      </c>
      <c r="D191" s="14">
        <f t="shared" si="9"/>
        <v>1</v>
      </c>
      <c r="E191" s="14">
        <f t="shared" si="10"/>
        <v>0</v>
      </c>
      <c r="F191">
        <v>270</v>
      </c>
      <c r="G191" s="3">
        <v>0.57799999999999996</v>
      </c>
      <c r="H191" s="7">
        <v>2986937</v>
      </c>
      <c r="I191">
        <v>0</v>
      </c>
      <c r="J191" s="14">
        <f t="shared" si="11"/>
        <v>0</v>
      </c>
      <c r="K191" s="3">
        <v>0.65246973739318903</v>
      </c>
    </row>
    <row r="192" spans="1:11" ht="14.5" x14ac:dyDescent="0.35">
      <c r="A192" t="s">
        <v>47</v>
      </c>
      <c r="B192" t="s">
        <v>1117</v>
      </c>
      <c r="C192" s="14">
        <f t="shared" si="8"/>
        <v>1</v>
      </c>
      <c r="D192" s="14">
        <f t="shared" si="9"/>
        <v>1</v>
      </c>
      <c r="E192" s="14">
        <f t="shared" si="10"/>
        <v>0</v>
      </c>
      <c r="F192">
        <v>431</v>
      </c>
      <c r="G192" s="3">
        <v>0.47600000000000003</v>
      </c>
      <c r="H192" s="7">
        <v>5789418</v>
      </c>
      <c r="I192">
        <v>0</v>
      </c>
      <c r="J192" s="14">
        <f t="shared" si="11"/>
        <v>0</v>
      </c>
      <c r="K192" s="3">
        <v>0.51360862179928968</v>
      </c>
    </row>
    <row r="193" spans="1:11" ht="14.5" x14ac:dyDescent="0.35">
      <c r="A193" t="s">
        <v>47</v>
      </c>
      <c r="B193" t="s">
        <v>1117</v>
      </c>
      <c r="C193" s="14">
        <f t="shared" si="8"/>
        <v>1</v>
      </c>
      <c r="D193" s="14">
        <f t="shared" si="9"/>
        <v>1</v>
      </c>
      <c r="E193" s="14">
        <f t="shared" si="10"/>
        <v>0</v>
      </c>
      <c r="F193">
        <v>240</v>
      </c>
      <c r="G193" s="3">
        <v>0.504</v>
      </c>
      <c r="H193" s="7">
        <v>2894046</v>
      </c>
      <c r="I193">
        <v>0</v>
      </c>
      <c r="J193" s="14">
        <f t="shared" si="11"/>
        <v>0</v>
      </c>
      <c r="K193" s="3">
        <v>0.49134637113577323</v>
      </c>
    </row>
    <row r="194" spans="1:11" ht="14.5" x14ac:dyDescent="0.35">
      <c r="A194" t="s">
        <v>36</v>
      </c>
      <c r="B194" t="s">
        <v>1118</v>
      </c>
      <c r="C194" s="14">
        <f t="shared" ref="C194:C251" si="12">IF(A194="Private",1,0)</f>
        <v>0</v>
      </c>
      <c r="D194" s="14">
        <f t="shared" ref="D194:D251" si="13">IF(B194="Two",1,0)</f>
        <v>0</v>
      </c>
      <c r="E194" s="14">
        <f t="shared" ref="E194:E251" si="14">IF(B194="Three",1,0)</f>
        <v>0</v>
      </c>
      <c r="F194">
        <v>449</v>
      </c>
      <c r="G194" s="3">
        <v>0.57899999999999996</v>
      </c>
      <c r="H194" s="7">
        <v>13298777</v>
      </c>
      <c r="I194">
        <v>0</v>
      </c>
      <c r="J194" s="14">
        <f t="shared" ref="J194:J251" si="15">IF(B194="One",1,0)</f>
        <v>1</v>
      </c>
      <c r="K194" s="3">
        <v>0.52246706595651615</v>
      </c>
    </row>
    <row r="195" spans="1:11" ht="14.5" x14ac:dyDescent="0.35">
      <c r="A195" t="s">
        <v>36</v>
      </c>
      <c r="B195" t="s">
        <v>1118</v>
      </c>
      <c r="C195" s="14">
        <f t="shared" si="12"/>
        <v>0</v>
      </c>
      <c r="D195" s="14">
        <f t="shared" si="13"/>
        <v>0</v>
      </c>
      <c r="E195" s="14">
        <f t="shared" si="14"/>
        <v>0</v>
      </c>
      <c r="F195">
        <v>461</v>
      </c>
      <c r="G195" s="3">
        <v>0.52700000000000002</v>
      </c>
      <c r="H195" s="7">
        <v>22461499</v>
      </c>
      <c r="I195">
        <v>0</v>
      </c>
      <c r="J195" s="14">
        <f t="shared" si="15"/>
        <v>1</v>
      </c>
      <c r="K195" s="3">
        <v>0.33821478254857346</v>
      </c>
    </row>
    <row r="196" spans="1:11" ht="14.5" x14ac:dyDescent="0.35">
      <c r="A196" t="s">
        <v>47</v>
      </c>
      <c r="B196" t="s">
        <v>1119</v>
      </c>
      <c r="C196" s="14">
        <f t="shared" si="12"/>
        <v>1</v>
      </c>
      <c r="D196" s="14">
        <f t="shared" si="13"/>
        <v>0</v>
      </c>
      <c r="E196" s="14">
        <f t="shared" si="14"/>
        <v>1</v>
      </c>
      <c r="F196">
        <v>315</v>
      </c>
      <c r="G196" s="3">
        <v>0.42499999999999999</v>
      </c>
      <c r="H196" s="7">
        <v>1136275</v>
      </c>
      <c r="I196">
        <v>0</v>
      </c>
      <c r="J196" s="14">
        <f t="shared" si="15"/>
        <v>0</v>
      </c>
      <c r="K196" s="3">
        <v>0.50315900640249944</v>
      </c>
    </row>
    <row r="197" spans="1:11" ht="14.5" x14ac:dyDescent="0.35">
      <c r="A197" t="s">
        <v>47</v>
      </c>
      <c r="B197" t="s">
        <v>1119</v>
      </c>
      <c r="C197" s="14">
        <f t="shared" si="12"/>
        <v>1</v>
      </c>
      <c r="D197" s="14">
        <f t="shared" si="13"/>
        <v>0</v>
      </c>
      <c r="E197" s="14">
        <f t="shared" si="14"/>
        <v>1</v>
      </c>
      <c r="F197">
        <v>694</v>
      </c>
      <c r="G197" s="3">
        <v>0.34399999999999997</v>
      </c>
      <c r="H197" s="7">
        <v>2609100</v>
      </c>
      <c r="I197">
        <v>0</v>
      </c>
      <c r="J197" s="14">
        <f t="shared" si="15"/>
        <v>0</v>
      </c>
      <c r="K197" s="3">
        <v>0.34794718485301446</v>
      </c>
    </row>
    <row r="198" spans="1:11" ht="14.5" x14ac:dyDescent="0.35">
      <c r="A198" t="s">
        <v>47</v>
      </c>
      <c r="B198" t="s">
        <v>1119</v>
      </c>
      <c r="C198" s="14">
        <f t="shared" si="12"/>
        <v>1</v>
      </c>
      <c r="D198" s="14">
        <f t="shared" si="13"/>
        <v>0</v>
      </c>
      <c r="E198" s="14">
        <f t="shared" si="14"/>
        <v>1</v>
      </c>
      <c r="F198">
        <v>517</v>
      </c>
      <c r="G198" s="3">
        <v>0.47200000000000003</v>
      </c>
      <c r="H198" s="7">
        <v>2523462</v>
      </c>
      <c r="I198">
        <v>0</v>
      </c>
      <c r="J198" s="14">
        <f t="shared" si="15"/>
        <v>0</v>
      </c>
      <c r="K198" s="3">
        <v>0.43136453015737902</v>
      </c>
    </row>
    <row r="199" spans="1:11" ht="14.5" x14ac:dyDescent="0.35">
      <c r="A199" t="s">
        <v>47</v>
      </c>
      <c r="B199" t="s">
        <v>1119</v>
      </c>
      <c r="C199" s="14">
        <f t="shared" si="12"/>
        <v>1</v>
      </c>
      <c r="D199" s="14">
        <f t="shared" si="13"/>
        <v>0</v>
      </c>
      <c r="E199" s="14">
        <f t="shared" si="14"/>
        <v>1</v>
      </c>
      <c r="F199">
        <v>767</v>
      </c>
      <c r="G199" s="3">
        <v>0.46500000000000002</v>
      </c>
      <c r="H199" s="7">
        <v>3449423</v>
      </c>
      <c r="I199">
        <v>0</v>
      </c>
      <c r="J199" s="14">
        <f t="shared" si="15"/>
        <v>0</v>
      </c>
      <c r="K199" s="3">
        <v>0.45028980209153818</v>
      </c>
    </row>
    <row r="200" spans="1:11" ht="14.5" x14ac:dyDescent="0.35">
      <c r="A200" t="s">
        <v>47</v>
      </c>
      <c r="B200" t="s">
        <v>1117</v>
      </c>
      <c r="C200" s="14">
        <f t="shared" si="12"/>
        <v>1</v>
      </c>
      <c r="D200" s="14">
        <f t="shared" si="13"/>
        <v>1</v>
      </c>
      <c r="E200" s="14">
        <f t="shared" si="14"/>
        <v>0</v>
      </c>
      <c r="F200">
        <v>500</v>
      </c>
      <c r="G200" s="3">
        <v>0.46399999999999997</v>
      </c>
      <c r="H200" s="7">
        <v>4070570</v>
      </c>
      <c r="I200">
        <v>0</v>
      </c>
      <c r="J200" s="14">
        <f t="shared" si="15"/>
        <v>0</v>
      </c>
      <c r="K200" s="3">
        <v>0.49031265891509052</v>
      </c>
    </row>
    <row r="201" spans="1:11" ht="14.5" x14ac:dyDescent="0.35">
      <c r="A201" t="s">
        <v>47</v>
      </c>
      <c r="B201" t="s">
        <v>1119</v>
      </c>
      <c r="C201" s="14">
        <f t="shared" si="12"/>
        <v>1</v>
      </c>
      <c r="D201" s="14">
        <f t="shared" si="13"/>
        <v>0</v>
      </c>
      <c r="E201" s="14">
        <f t="shared" si="14"/>
        <v>1</v>
      </c>
      <c r="F201">
        <v>468</v>
      </c>
      <c r="G201" s="3">
        <v>0.438</v>
      </c>
      <c r="H201" s="7">
        <v>2032992</v>
      </c>
      <c r="I201">
        <v>0</v>
      </c>
      <c r="J201" s="14">
        <f t="shared" si="15"/>
        <v>0</v>
      </c>
      <c r="K201" s="3">
        <v>0.47482528214572411</v>
      </c>
    </row>
    <row r="202" spans="1:11" ht="14.5" x14ac:dyDescent="0.35">
      <c r="A202" t="s">
        <v>47</v>
      </c>
      <c r="B202" t="s">
        <v>1117</v>
      </c>
      <c r="C202" s="14">
        <f t="shared" si="12"/>
        <v>1</v>
      </c>
      <c r="D202" s="14">
        <f t="shared" si="13"/>
        <v>1</v>
      </c>
      <c r="E202" s="14">
        <f t="shared" si="14"/>
        <v>0</v>
      </c>
      <c r="F202">
        <v>473</v>
      </c>
      <c r="G202" s="3">
        <v>0.33799999999999997</v>
      </c>
      <c r="H202" s="7">
        <v>5633416</v>
      </c>
      <c r="I202">
        <v>0</v>
      </c>
      <c r="J202" s="14">
        <f t="shared" si="15"/>
        <v>0</v>
      </c>
      <c r="K202" s="3">
        <v>0.33209778933421569</v>
      </c>
    </row>
    <row r="203" spans="1:11" ht="14.5" x14ac:dyDescent="0.35">
      <c r="A203" t="s">
        <v>47</v>
      </c>
      <c r="B203" t="s">
        <v>1117</v>
      </c>
      <c r="C203" s="14">
        <f t="shared" si="12"/>
        <v>1</v>
      </c>
      <c r="D203" s="14">
        <f t="shared" si="13"/>
        <v>1</v>
      </c>
      <c r="E203" s="14">
        <f t="shared" si="14"/>
        <v>0</v>
      </c>
      <c r="F203">
        <v>586</v>
      </c>
      <c r="G203" s="3">
        <v>0.41600000000000004</v>
      </c>
      <c r="H203" s="7">
        <v>8773153</v>
      </c>
      <c r="I203">
        <v>0</v>
      </c>
      <c r="J203" s="14">
        <f t="shared" si="15"/>
        <v>0</v>
      </c>
      <c r="K203" s="3">
        <v>0.48248263765603999</v>
      </c>
    </row>
    <row r="204" spans="1:11" ht="14.5" x14ac:dyDescent="0.35">
      <c r="A204" t="s">
        <v>47</v>
      </c>
      <c r="B204" t="s">
        <v>1119</v>
      </c>
      <c r="C204" s="14">
        <f t="shared" si="12"/>
        <v>1</v>
      </c>
      <c r="D204" s="14">
        <f t="shared" si="13"/>
        <v>0</v>
      </c>
      <c r="E204" s="14">
        <f t="shared" si="14"/>
        <v>1</v>
      </c>
      <c r="F204">
        <v>666</v>
      </c>
      <c r="G204" s="3">
        <v>0.434</v>
      </c>
      <c r="H204" s="7">
        <v>3625546</v>
      </c>
      <c r="I204">
        <v>0</v>
      </c>
      <c r="J204" s="14">
        <f t="shared" si="15"/>
        <v>0</v>
      </c>
      <c r="K204" s="3">
        <v>0.42090515469945766</v>
      </c>
    </row>
    <row r="205" spans="1:11" ht="14.5" x14ac:dyDescent="0.35">
      <c r="A205" t="s">
        <v>36</v>
      </c>
      <c r="B205" t="s">
        <v>1117</v>
      </c>
      <c r="C205" s="14">
        <f t="shared" si="12"/>
        <v>0</v>
      </c>
      <c r="D205" s="14">
        <f t="shared" si="13"/>
        <v>1</v>
      </c>
      <c r="E205" s="14">
        <f t="shared" si="14"/>
        <v>0</v>
      </c>
      <c r="F205">
        <v>234</v>
      </c>
      <c r="G205" s="3">
        <v>0.33299999999999996</v>
      </c>
      <c r="H205" s="7">
        <v>2229930</v>
      </c>
      <c r="I205">
        <v>0</v>
      </c>
      <c r="J205" s="14">
        <f t="shared" si="15"/>
        <v>0</v>
      </c>
      <c r="K205" s="3">
        <v>0.4015767311081514</v>
      </c>
    </row>
    <row r="206" spans="1:11" ht="14.5" x14ac:dyDescent="0.35">
      <c r="A206" t="s">
        <v>47</v>
      </c>
      <c r="B206" t="s">
        <v>1119</v>
      </c>
      <c r="C206" s="14">
        <f t="shared" si="12"/>
        <v>1</v>
      </c>
      <c r="D206" s="14">
        <f t="shared" si="13"/>
        <v>0</v>
      </c>
      <c r="E206" s="14">
        <f t="shared" si="14"/>
        <v>1</v>
      </c>
      <c r="F206">
        <v>666</v>
      </c>
      <c r="G206" s="3">
        <v>0.36600000000000005</v>
      </c>
      <c r="H206" s="7">
        <v>2964916</v>
      </c>
      <c r="I206">
        <v>0</v>
      </c>
      <c r="J206" s="14">
        <f t="shared" si="15"/>
        <v>0</v>
      </c>
      <c r="K206" s="3">
        <v>0.3972948980679385</v>
      </c>
    </row>
    <row r="207" spans="1:11" ht="14.5" x14ac:dyDescent="0.35">
      <c r="A207" t="s">
        <v>36</v>
      </c>
      <c r="B207" t="s">
        <v>1118</v>
      </c>
      <c r="C207" s="14">
        <f t="shared" si="12"/>
        <v>0</v>
      </c>
      <c r="D207" s="14">
        <f t="shared" si="13"/>
        <v>0</v>
      </c>
      <c r="E207" s="14">
        <f t="shared" si="14"/>
        <v>0</v>
      </c>
      <c r="F207">
        <v>438</v>
      </c>
      <c r="G207" s="3">
        <v>0.47299999999999998</v>
      </c>
      <c r="H207" s="7">
        <v>24823606</v>
      </c>
      <c r="I207">
        <v>0</v>
      </c>
      <c r="J207" s="14">
        <f t="shared" si="15"/>
        <v>1</v>
      </c>
      <c r="K207" s="3">
        <v>0.36029112772737371</v>
      </c>
    </row>
    <row r="208" spans="1:11" ht="14.5" x14ac:dyDescent="0.35">
      <c r="A208" t="s">
        <v>47</v>
      </c>
      <c r="B208" t="s">
        <v>1118</v>
      </c>
      <c r="C208" s="14">
        <f t="shared" si="12"/>
        <v>1</v>
      </c>
      <c r="D208" s="14">
        <f t="shared" si="13"/>
        <v>0</v>
      </c>
      <c r="E208" s="14">
        <f t="shared" si="14"/>
        <v>0</v>
      </c>
      <c r="F208">
        <v>346</v>
      </c>
      <c r="G208" s="3">
        <v>0.46799999999999997</v>
      </c>
      <c r="H208" s="7">
        <v>12592594</v>
      </c>
      <c r="I208">
        <v>0</v>
      </c>
      <c r="J208" s="14">
        <f t="shared" si="15"/>
        <v>1</v>
      </c>
      <c r="K208" s="3">
        <v>0.52133404761560642</v>
      </c>
    </row>
    <row r="209" spans="1:11" ht="14.5" x14ac:dyDescent="0.35">
      <c r="A209" t="s">
        <v>47</v>
      </c>
      <c r="B209" t="s">
        <v>1119</v>
      </c>
      <c r="C209" s="14">
        <f t="shared" si="12"/>
        <v>1</v>
      </c>
      <c r="D209" s="14">
        <f t="shared" si="13"/>
        <v>0</v>
      </c>
      <c r="E209" s="14">
        <f t="shared" si="14"/>
        <v>1</v>
      </c>
      <c r="F209">
        <v>495</v>
      </c>
      <c r="G209" s="3">
        <v>0.32299999999999995</v>
      </c>
      <c r="H209" s="7">
        <v>1181511</v>
      </c>
      <c r="I209">
        <v>0</v>
      </c>
      <c r="J209" s="14">
        <f t="shared" si="15"/>
        <v>0</v>
      </c>
      <c r="K209" s="3">
        <v>0.39633147723550605</v>
      </c>
    </row>
    <row r="210" spans="1:11" ht="14.5" x14ac:dyDescent="0.35">
      <c r="A210" t="s">
        <v>36</v>
      </c>
      <c r="B210" t="s">
        <v>1118</v>
      </c>
      <c r="C210" s="14">
        <f t="shared" si="12"/>
        <v>0</v>
      </c>
      <c r="D210" s="14">
        <f t="shared" si="13"/>
        <v>0</v>
      </c>
      <c r="E210" s="14">
        <f t="shared" si="14"/>
        <v>0</v>
      </c>
      <c r="F210">
        <v>417</v>
      </c>
      <c r="G210" s="3">
        <v>0.4</v>
      </c>
      <c r="H210" s="7">
        <v>75327515</v>
      </c>
      <c r="I210">
        <v>0</v>
      </c>
      <c r="J210" s="14">
        <f t="shared" si="15"/>
        <v>1</v>
      </c>
      <c r="K210" s="3">
        <v>0.21721518358862629</v>
      </c>
    </row>
    <row r="211" spans="1:11" ht="14.5" x14ac:dyDescent="0.35">
      <c r="A211" t="s">
        <v>36</v>
      </c>
      <c r="B211" t="s">
        <v>1119</v>
      </c>
      <c r="C211" s="14">
        <f t="shared" si="12"/>
        <v>0</v>
      </c>
      <c r="D211" s="14">
        <f t="shared" si="13"/>
        <v>0</v>
      </c>
      <c r="E211" s="14">
        <f t="shared" si="14"/>
        <v>1</v>
      </c>
      <c r="F211">
        <v>302</v>
      </c>
      <c r="G211" s="3">
        <v>0.318</v>
      </c>
      <c r="H211" s="7">
        <v>1395719</v>
      </c>
      <c r="I211">
        <v>0</v>
      </c>
      <c r="J211" s="14">
        <f t="shared" si="15"/>
        <v>0</v>
      </c>
      <c r="K211" s="3">
        <v>0.36527911420565312</v>
      </c>
    </row>
    <row r="212" spans="1:11" ht="14.5" x14ac:dyDescent="0.35">
      <c r="A212" t="s">
        <v>47</v>
      </c>
      <c r="B212" t="s">
        <v>1117</v>
      </c>
      <c r="C212" s="14">
        <f t="shared" si="12"/>
        <v>1</v>
      </c>
      <c r="D212" s="14">
        <f t="shared" si="13"/>
        <v>1</v>
      </c>
      <c r="E212" s="14">
        <f t="shared" si="14"/>
        <v>0</v>
      </c>
      <c r="F212">
        <v>302</v>
      </c>
      <c r="G212" s="3">
        <v>0.32500000000000001</v>
      </c>
      <c r="H212" s="7">
        <v>2217242</v>
      </c>
      <c r="I212">
        <v>0</v>
      </c>
      <c r="J212" s="14">
        <f t="shared" si="15"/>
        <v>0</v>
      </c>
      <c r="K212" s="3">
        <v>0.46431287157649009</v>
      </c>
    </row>
    <row r="213" spans="1:11" ht="14.5" x14ac:dyDescent="0.35">
      <c r="A213" t="s">
        <v>47</v>
      </c>
      <c r="B213" t="s">
        <v>1118</v>
      </c>
      <c r="C213" s="14">
        <f t="shared" si="12"/>
        <v>1</v>
      </c>
      <c r="D213" s="14">
        <f t="shared" si="13"/>
        <v>0</v>
      </c>
      <c r="E213" s="14">
        <f t="shared" si="14"/>
        <v>0</v>
      </c>
      <c r="F213">
        <v>1054</v>
      </c>
      <c r="G213" s="3">
        <v>0.45600000000000002</v>
      </c>
      <c r="H213" s="7">
        <v>20239048</v>
      </c>
      <c r="I213">
        <v>0</v>
      </c>
      <c r="J213" s="14">
        <f t="shared" si="15"/>
        <v>1</v>
      </c>
      <c r="K213" s="3">
        <v>0.34926707026931308</v>
      </c>
    </row>
    <row r="214" spans="1:11" ht="14.5" x14ac:dyDescent="0.35">
      <c r="A214" t="s">
        <v>47</v>
      </c>
      <c r="B214" t="s">
        <v>1119</v>
      </c>
      <c r="C214" s="14">
        <f t="shared" si="12"/>
        <v>1</v>
      </c>
      <c r="D214" s="14">
        <f t="shared" si="13"/>
        <v>0</v>
      </c>
      <c r="E214" s="14">
        <f t="shared" si="14"/>
        <v>1</v>
      </c>
      <c r="F214">
        <v>330</v>
      </c>
      <c r="G214" s="3">
        <v>0.46700000000000003</v>
      </c>
      <c r="H214" s="7">
        <v>1110856</v>
      </c>
      <c r="I214">
        <v>0</v>
      </c>
      <c r="J214" s="14">
        <f t="shared" si="15"/>
        <v>0</v>
      </c>
      <c r="K214" s="3">
        <v>0.45599249587705337</v>
      </c>
    </row>
    <row r="215" spans="1:11" ht="14.5" x14ac:dyDescent="0.35">
      <c r="A215" t="s">
        <v>36</v>
      </c>
      <c r="B215" t="s">
        <v>1117</v>
      </c>
      <c r="C215" s="14">
        <f t="shared" si="12"/>
        <v>0</v>
      </c>
      <c r="D215" s="14">
        <f t="shared" si="13"/>
        <v>1</v>
      </c>
      <c r="E215" s="14">
        <f t="shared" si="14"/>
        <v>0</v>
      </c>
      <c r="F215">
        <v>261</v>
      </c>
      <c r="G215" s="3">
        <v>0.375</v>
      </c>
      <c r="H215" s="7">
        <v>3214219</v>
      </c>
      <c r="I215">
        <v>0</v>
      </c>
      <c r="J215" s="14">
        <f t="shared" si="15"/>
        <v>0</v>
      </c>
      <c r="K215" s="3">
        <v>0.46221212680280965</v>
      </c>
    </row>
    <row r="216" spans="1:11" ht="14.5" x14ac:dyDescent="0.35">
      <c r="A216" t="s">
        <v>36</v>
      </c>
      <c r="B216" t="s">
        <v>1117</v>
      </c>
      <c r="C216" s="14">
        <f t="shared" si="12"/>
        <v>0</v>
      </c>
      <c r="D216" s="14">
        <f t="shared" si="13"/>
        <v>1</v>
      </c>
      <c r="E216" s="14">
        <f t="shared" si="14"/>
        <v>0</v>
      </c>
      <c r="F216">
        <v>362</v>
      </c>
      <c r="G216" s="3">
        <v>0.28999999999999998</v>
      </c>
      <c r="H216" s="7">
        <v>2454844</v>
      </c>
      <c r="I216">
        <v>0</v>
      </c>
      <c r="J216" s="14">
        <f t="shared" si="15"/>
        <v>0</v>
      </c>
      <c r="K216" s="3">
        <v>0.32116826975563417</v>
      </c>
    </row>
    <row r="217" spans="1:11" ht="14.5" x14ac:dyDescent="0.35">
      <c r="A217" t="s">
        <v>47</v>
      </c>
      <c r="B217" t="s">
        <v>1119</v>
      </c>
      <c r="C217" s="14">
        <f t="shared" si="12"/>
        <v>1</v>
      </c>
      <c r="D217" s="14">
        <f t="shared" si="13"/>
        <v>0</v>
      </c>
      <c r="E217" s="14">
        <f t="shared" si="14"/>
        <v>1</v>
      </c>
      <c r="F217">
        <v>172</v>
      </c>
      <c r="G217" s="3">
        <v>0.61</v>
      </c>
      <c r="H217" s="7">
        <v>540890</v>
      </c>
      <c r="I217">
        <v>0</v>
      </c>
      <c r="J217" s="14">
        <f t="shared" si="15"/>
        <v>0</v>
      </c>
      <c r="K217" s="3">
        <v>0.57718020299876127</v>
      </c>
    </row>
    <row r="218" spans="1:11" ht="14.5" x14ac:dyDescent="0.35">
      <c r="A218" t="s">
        <v>36</v>
      </c>
      <c r="B218" t="s">
        <v>1118</v>
      </c>
      <c r="C218" s="14">
        <f t="shared" si="12"/>
        <v>0</v>
      </c>
      <c r="D218" s="14">
        <f t="shared" si="13"/>
        <v>0</v>
      </c>
      <c r="E218" s="14">
        <f t="shared" si="14"/>
        <v>0</v>
      </c>
      <c r="F218">
        <v>746</v>
      </c>
      <c r="G218" s="3">
        <v>0.5</v>
      </c>
      <c r="H218" s="7">
        <v>72360663</v>
      </c>
      <c r="I218">
        <v>0</v>
      </c>
      <c r="J218" s="14">
        <f t="shared" si="15"/>
        <v>1</v>
      </c>
      <c r="K218" s="3">
        <v>0.27731983329119025</v>
      </c>
    </row>
    <row r="219" spans="1:11" ht="14.5" x14ac:dyDescent="0.35">
      <c r="A219" t="s">
        <v>47</v>
      </c>
      <c r="B219" t="s">
        <v>1117</v>
      </c>
      <c r="C219" s="14">
        <f t="shared" si="12"/>
        <v>1</v>
      </c>
      <c r="D219" s="14">
        <f t="shared" si="13"/>
        <v>1</v>
      </c>
      <c r="E219" s="14">
        <f t="shared" si="14"/>
        <v>0</v>
      </c>
      <c r="F219">
        <v>600</v>
      </c>
      <c r="G219" s="3">
        <v>0.36299999999999999</v>
      </c>
      <c r="H219" s="7">
        <v>12821935</v>
      </c>
      <c r="I219">
        <v>0</v>
      </c>
      <c r="J219" s="14">
        <f t="shared" si="15"/>
        <v>0</v>
      </c>
      <c r="K219" s="3">
        <v>0.40737010443431509</v>
      </c>
    </row>
    <row r="220" spans="1:11" ht="14.5" x14ac:dyDescent="0.35">
      <c r="A220" t="s">
        <v>47</v>
      </c>
      <c r="B220" t="s">
        <v>1119</v>
      </c>
      <c r="C220" s="14">
        <f t="shared" si="12"/>
        <v>1</v>
      </c>
      <c r="D220" s="14">
        <f t="shared" si="13"/>
        <v>0</v>
      </c>
      <c r="E220" s="14">
        <f t="shared" si="14"/>
        <v>1</v>
      </c>
      <c r="F220">
        <v>400</v>
      </c>
      <c r="G220" s="3">
        <v>0.42299999999999999</v>
      </c>
      <c r="H220" s="7">
        <v>7023115</v>
      </c>
      <c r="I220">
        <v>0</v>
      </c>
      <c r="J220" s="14">
        <f t="shared" si="15"/>
        <v>0</v>
      </c>
      <c r="K220" s="3">
        <v>0.44762943508685249</v>
      </c>
    </row>
    <row r="221" spans="1:11" ht="14.5" x14ac:dyDescent="0.35">
      <c r="A221" t="s">
        <v>36</v>
      </c>
      <c r="B221" t="s">
        <v>1118</v>
      </c>
      <c r="C221" s="14">
        <f t="shared" si="12"/>
        <v>0</v>
      </c>
      <c r="D221" s="14">
        <f t="shared" si="13"/>
        <v>0</v>
      </c>
      <c r="E221" s="14">
        <f t="shared" si="14"/>
        <v>0</v>
      </c>
      <c r="F221">
        <v>530</v>
      </c>
      <c r="G221" s="3">
        <v>0.45799999999999996</v>
      </c>
      <c r="H221" s="7">
        <v>9228360</v>
      </c>
      <c r="I221">
        <v>0</v>
      </c>
      <c r="J221" s="14">
        <f t="shared" si="15"/>
        <v>1</v>
      </c>
      <c r="K221" s="3">
        <v>0.45260447143371085</v>
      </c>
    </row>
    <row r="222" spans="1:11" ht="14.5" x14ac:dyDescent="0.35">
      <c r="A222" t="s">
        <v>36</v>
      </c>
      <c r="B222" t="s">
        <v>1119</v>
      </c>
      <c r="C222" s="14">
        <f t="shared" si="12"/>
        <v>0</v>
      </c>
      <c r="D222" s="14">
        <f t="shared" si="13"/>
        <v>0</v>
      </c>
      <c r="E222" s="14">
        <f t="shared" si="14"/>
        <v>1</v>
      </c>
      <c r="F222">
        <v>402</v>
      </c>
      <c r="G222" s="3">
        <v>0.38799999999999996</v>
      </c>
      <c r="H222" s="7">
        <v>2446863</v>
      </c>
      <c r="I222">
        <v>0</v>
      </c>
      <c r="J222" s="14">
        <f t="shared" si="15"/>
        <v>0</v>
      </c>
      <c r="K222" s="3">
        <v>0.487810719276069</v>
      </c>
    </row>
    <row r="223" spans="1:11" ht="14.5" x14ac:dyDescent="0.35">
      <c r="A223" t="s">
        <v>47</v>
      </c>
      <c r="B223" t="s">
        <v>1118</v>
      </c>
      <c r="C223" s="14">
        <f t="shared" si="12"/>
        <v>1</v>
      </c>
      <c r="D223" s="14">
        <f t="shared" si="13"/>
        <v>0</v>
      </c>
      <c r="E223" s="14">
        <f t="shared" si="14"/>
        <v>0</v>
      </c>
      <c r="F223">
        <v>812</v>
      </c>
      <c r="G223" s="3">
        <v>0.443</v>
      </c>
      <c r="H223" s="7">
        <v>32370943</v>
      </c>
      <c r="I223">
        <v>0</v>
      </c>
      <c r="J223" s="14">
        <f t="shared" si="15"/>
        <v>1</v>
      </c>
      <c r="K223" s="3">
        <v>0.31041425021198793</v>
      </c>
    </row>
    <row r="224" spans="1:11" ht="14.5" x14ac:dyDescent="0.35">
      <c r="A224" t="s">
        <v>36</v>
      </c>
      <c r="B224" t="s">
        <v>1118</v>
      </c>
      <c r="C224" s="14">
        <f t="shared" si="12"/>
        <v>0</v>
      </c>
      <c r="D224" s="14">
        <f t="shared" si="13"/>
        <v>0</v>
      </c>
      <c r="E224" s="14">
        <f t="shared" si="14"/>
        <v>0</v>
      </c>
      <c r="F224">
        <v>440</v>
      </c>
      <c r="G224" s="3">
        <v>0.47700000000000004</v>
      </c>
      <c r="H224" s="7">
        <v>17224262</v>
      </c>
      <c r="I224">
        <v>0</v>
      </c>
      <c r="J224" s="14">
        <f t="shared" si="15"/>
        <v>1</v>
      </c>
      <c r="K224" s="3">
        <v>0.32122630275828362</v>
      </c>
    </row>
    <row r="225" spans="1:11" ht="14.5" x14ac:dyDescent="0.35">
      <c r="A225" t="s">
        <v>47</v>
      </c>
      <c r="B225" t="s">
        <v>1119</v>
      </c>
      <c r="C225" s="14">
        <f t="shared" si="12"/>
        <v>1</v>
      </c>
      <c r="D225" s="14">
        <f t="shared" si="13"/>
        <v>0</v>
      </c>
      <c r="E225" s="14">
        <f t="shared" si="14"/>
        <v>1</v>
      </c>
      <c r="F225">
        <v>426</v>
      </c>
      <c r="G225" s="3">
        <v>0.312</v>
      </c>
      <c r="H225" s="7">
        <v>2071046</v>
      </c>
      <c r="I225">
        <v>0</v>
      </c>
      <c r="J225" s="14">
        <f t="shared" si="15"/>
        <v>0</v>
      </c>
      <c r="K225" s="3">
        <v>0.3876688398036548</v>
      </c>
    </row>
    <row r="226" spans="1:11" ht="14.5" x14ac:dyDescent="0.35">
      <c r="A226" t="s">
        <v>47</v>
      </c>
      <c r="B226" t="s">
        <v>1118</v>
      </c>
      <c r="C226" s="14">
        <f t="shared" si="12"/>
        <v>1</v>
      </c>
      <c r="D226" s="14">
        <f t="shared" si="13"/>
        <v>0</v>
      </c>
      <c r="E226" s="14">
        <f t="shared" si="14"/>
        <v>0</v>
      </c>
      <c r="F226">
        <v>505</v>
      </c>
      <c r="G226" s="3">
        <v>0.42399999999999999</v>
      </c>
      <c r="H226" s="7">
        <v>12309192</v>
      </c>
      <c r="I226">
        <v>0</v>
      </c>
      <c r="J226" s="14">
        <f t="shared" si="15"/>
        <v>1</v>
      </c>
      <c r="K226" s="3">
        <v>0.4216966475135005</v>
      </c>
    </row>
    <row r="227" spans="1:11" ht="14.5" x14ac:dyDescent="0.35">
      <c r="A227" t="s">
        <v>47</v>
      </c>
      <c r="B227" t="s">
        <v>1119</v>
      </c>
      <c r="C227" s="14">
        <f t="shared" si="12"/>
        <v>1</v>
      </c>
      <c r="D227" s="14">
        <f t="shared" si="13"/>
        <v>0</v>
      </c>
      <c r="E227" s="14">
        <f t="shared" si="14"/>
        <v>1</v>
      </c>
      <c r="F227">
        <v>491</v>
      </c>
      <c r="G227" s="3">
        <v>0.36499999999999999</v>
      </c>
      <c r="H227" s="7">
        <v>1544532</v>
      </c>
      <c r="I227">
        <v>0</v>
      </c>
      <c r="J227" s="14">
        <f t="shared" si="15"/>
        <v>0</v>
      </c>
      <c r="K227" s="3">
        <v>0.40634056141277747</v>
      </c>
    </row>
    <row r="228" spans="1:11" ht="14.5" x14ac:dyDescent="0.35">
      <c r="A228" t="s">
        <v>36</v>
      </c>
      <c r="B228" t="s">
        <v>1117</v>
      </c>
      <c r="C228" s="14">
        <f t="shared" si="12"/>
        <v>0</v>
      </c>
      <c r="D228" s="14">
        <f t="shared" si="13"/>
        <v>1</v>
      </c>
      <c r="E228" s="14">
        <f t="shared" si="14"/>
        <v>0</v>
      </c>
      <c r="F228">
        <v>315</v>
      </c>
      <c r="G228" s="3">
        <v>0.38100000000000001</v>
      </c>
      <c r="H228" s="7">
        <v>2650043</v>
      </c>
      <c r="I228">
        <v>0</v>
      </c>
      <c r="J228" s="14">
        <f t="shared" si="15"/>
        <v>0</v>
      </c>
      <c r="K228" s="3">
        <v>0.41841019183462308</v>
      </c>
    </row>
    <row r="229" spans="1:11" ht="14.5" x14ac:dyDescent="0.35">
      <c r="A229" t="s">
        <v>36</v>
      </c>
      <c r="B229" t="s">
        <v>1117</v>
      </c>
      <c r="C229" s="14">
        <f t="shared" si="12"/>
        <v>0</v>
      </c>
      <c r="D229" s="14">
        <f t="shared" si="13"/>
        <v>1</v>
      </c>
      <c r="E229" s="14">
        <f t="shared" si="14"/>
        <v>0</v>
      </c>
      <c r="F229">
        <v>357</v>
      </c>
      <c r="G229" s="3">
        <v>0.47600000000000003</v>
      </c>
      <c r="H229" s="7">
        <v>3780635</v>
      </c>
      <c r="I229">
        <v>0</v>
      </c>
      <c r="J229" s="14">
        <f t="shared" si="15"/>
        <v>0</v>
      </c>
      <c r="K229" s="3">
        <v>0.48985395310576135</v>
      </c>
    </row>
    <row r="230" spans="1:11" ht="14.5" x14ac:dyDescent="0.35">
      <c r="A230" t="s">
        <v>47</v>
      </c>
      <c r="B230" t="s">
        <v>1117</v>
      </c>
      <c r="C230" s="14">
        <f t="shared" si="12"/>
        <v>1</v>
      </c>
      <c r="D230" s="14">
        <f t="shared" si="13"/>
        <v>1</v>
      </c>
      <c r="E230" s="14">
        <f t="shared" si="14"/>
        <v>0</v>
      </c>
      <c r="F230">
        <v>315</v>
      </c>
      <c r="G230" s="3">
        <v>0.42499999999999999</v>
      </c>
      <c r="H230" s="7">
        <v>4124481</v>
      </c>
      <c r="I230">
        <v>0</v>
      </c>
      <c r="J230" s="14">
        <f t="shared" si="15"/>
        <v>0</v>
      </c>
      <c r="K230" s="3">
        <v>0.50657500907386888</v>
      </c>
    </row>
    <row r="231" spans="1:11" ht="14.5" x14ac:dyDescent="0.35">
      <c r="A231" t="s">
        <v>36</v>
      </c>
      <c r="B231" t="s">
        <v>1117</v>
      </c>
      <c r="C231" s="14">
        <f t="shared" si="12"/>
        <v>0</v>
      </c>
      <c r="D231" s="14">
        <f t="shared" si="13"/>
        <v>1</v>
      </c>
      <c r="E231" s="14">
        <f t="shared" si="14"/>
        <v>0</v>
      </c>
      <c r="F231">
        <v>537</v>
      </c>
      <c r="G231" s="3">
        <v>0.35000000000000003</v>
      </c>
      <c r="H231" s="7">
        <v>4228466</v>
      </c>
      <c r="I231">
        <v>0</v>
      </c>
      <c r="J231" s="14">
        <f t="shared" si="15"/>
        <v>0</v>
      </c>
      <c r="K231" s="3">
        <v>0.34631518853409249</v>
      </c>
    </row>
    <row r="232" spans="1:11" ht="14.5" x14ac:dyDescent="0.35">
      <c r="A232" t="s">
        <v>47</v>
      </c>
      <c r="B232" t="s">
        <v>1119</v>
      </c>
      <c r="C232" s="14">
        <f t="shared" si="12"/>
        <v>1</v>
      </c>
      <c r="D232" s="14">
        <f t="shared" si="13"/>
        <v>0</v>
      </c>
      <c r="E232" s="14">
        <f t="shared" si="14"/>
        <v>1</v>
      </c>
      <c r="F232">
        <v>263</v>
      </c>
      <c r="G232" s="3">
        <v>0.47500000000000003</v>
      </c>
      <c r="H232" s="7">
        <v>1156375</v>
      </c>
      <c r="I232">
        <v>0</v>
      </c>
      <c r="J232" s="14">
        <f t="shared" si="15"/>
        <v>0</v>
      </c>
      <c r="K232" s="3">
        <v>0.48834417900767485</v>
      </c>
    </row>
    <row r="233" spans="1:11" ht="14.5" x14ac:dyDescent="0.35">
      <c r="A233" t="s">
        <v>47</v>
      </c>
      <c r="B233" t="s">
        <v>1119</v>
      </c>
      <c r="C233" s="14">
        <f t="shared" si="12"/>
        <v>1</v>
      </c>
      <c r="D233" s="14">
        <f t="shared" si="13"/>
        <v>0</v>
      </c>
      <c r="E233" s="14">
        <f t="shared" si="14"/>
        <v>1</v>
      </c>
      <c r="F233">
        <v>604</v>
      </c>
      <c r="G233" s="3">
        <v>0.29499999999999998</v>
      </c>
      <c r="H233" s="7">
        <v>2300088</v>
      </c>
      <c r="I233">
        <v>0</v>
      </c>
      <c r="J233" s="14">
        <f t="shared" si="15"/>
        <v>0</v>
      </c>
      <c r="K233" s="3">
        <v>0.32189072765911564</v>
      </c>
    </row>
    <row r="234" spans="1:11" ht="14.5" x14ac:dyDescent="0.35">
      <c r="A234" t="s">
        <v>47</v>
      </c>
      <c r="B234" t="s">
        <v>1119</v>
      </c>
      <c r="C234" s="14">
        <f t="shared" si="12"/>
        <v>1</v>
      </c>
      <c r="D234" s="14">
        <f t="shared" si="13"/>
        <v>0</v>
      </c>
      <c r="E234" s="14">
        <f t="shared" si="14"/>
        <v>1</v>
      </c>
      <c r="F234">
        <v>378</v>
      </c>
      <c r="G234" s="3">
        <v>0.35200000000000004</v>
      </c>
      <c r="H234" s="7">
        <v>2061097</v>
      </c>
      <c r="I234">
        <v>0</v>
      </c>
      <c r="J234" s="14">
        <f t="shared" si="15"/>
        <v>0</v>
      </c>
      <c r="K234" s="3">
        <v>0.3883815269247396</v>
      </c>
    </row>
    <row r="235" spans="1:11" ht="14.5" x14ac:dyDescent="0.35">
      <c r="A235" t="s">
        <v>47</v>
      </c>
      <c r="B235" t="s">
        <v>1118</v>
      </c>
      <c r="C235" s="14">
        <f t="shared" si="12"/>
        <v>1</v>
      </c>
      <c r="D235" s="14">
        <f t="shared" si="13"/>
        <v>0</v>
      </c>
      <c r="E235" s="14">
        <f t="shared" si="14"/>
        <v>0</v>
      </c>
      <c r="F235">
        <v>893</v>
      </c>
      <c r="G235" s="3">
        <v>0.498</v>
      </c>
      <c r="H235" s="7">
        <v>15554195</v>
      </c>
      <c r="I235">
        <v>0</v>
      </c>
      <c r="J235" s="14">
        <f t="shared" si="15"/>
        <v>1</v>
      </c>
      <c r="K235" s="3">
        <v>0.41091075430133156</v>
      </c>
    </row>
    <row r="236" spans="1:11" ht="14.5" x14ac:dyDescent="0.35">
      <c r="A236" t="s">
        <v>36</v>
      </c>
      <c r="B236" t="s">
        <v>1119</v>
      </c>
      <c r="C236" s="14">
        <f t="shared" si="12"/>
        <v>0</v>
      </c>
      <c r="D236" s="14">
        <f t="shared" si="13"/>
        <v>0</v>
      </c>
      <c r="E236" s="14">
        <f t="shared" si="14"/>
        <v>1</v>
      </c>
      <c r="F236">
        <v>187</v>
      </c>
      <c r="G236" s="3">
        <v>0.42200000000000004</v>
      </c>
      <c r="H236" s="7">
        <v>386924</v>
      </c>
      <c r="I236">
        <v>0</v>
      </c>
      <c r="J236" s="14">
        <f t="shared" si="15"/>
        <v>0</v>
      </c>
      <c r="K236" s="3">
        <v>0.52063195873091361</v>
      </c>
    </row>
    <row r="237" spans="1:11" ht="14.5" x14ac:dyDescent="0.35">
      <c r="A237" t="s">
        <v>36</v>
      </c>
      <c r="B237" t="s">
        <v>1118</v>
      </c>
      <c r="C237" s="14">
        <f t="shared" si="12"/>
        <v>0</v>
      </c>
      <c r="D237" s="14">
        <f t="shared" si="13"/>
        <v>0</v>
      </c>
      <c r="E237" s="14">
        <f t="shared" si="14"/>
        <v>0</v>
      </c>
      <c r="F237">
        <v>362</v>
      </c>
      <c r="G237" s="3">
        <v>0.49399999999999999</v>
      </c>
      <c r="H237" s="7">
        <v>6538733</v>
      </c>
      <c r="I237">
        <v>0</v>
      </c>
      <c r="J237" s="14">
        <f t="shared" si="15"/>
        <v>1</v>
      </c>
      <c r="K237" s="3">
        <v>0.50304913811284235</v>
      </c>
    </row>
    <row r="238" spans="1:11" ht="14.5" x14ac:dyDescent="0.35">
      <c r="A238" t="s">
        <v>36</v>
      </c>
      <c r="B238" t="s">
        <v>1118</v>
      </c>
      <c r="C238" s="14">
        <f t="shared" si="12"/>
        <v>0</v>
      </c>
      <c r="D238" s="14">
        <f t="shared" si="13"/>
        <v>0</v>
      </c>
      <c r="E238" s="14">
        <f t="shared" si="14"/>
        <v>0</v>
      </c>
      <c r="F238">
        <v>516</v>
      </c>
      <c r="G238" s="3">
        <v>0.51200000000000001</v>
      </c>
      <c r="H238" s="7">
        <v>66825920</v>
      </c>
      <c r="I238">
        <v>0</v>
      </c>
      <c r="J238" s="14">
        <f t="shared" si="15"/>
        <v>1</v>
      </c>
      <c r="K238" s="3">
        <v>0.2592074602190288</v>
      </c>
    </row>
    <row r="239" spans="1:11" ht="14.5" x14ac:dyDescent="0.35">
      <c r="A239" t="s">
        <v>36</v>
      </c>
      <c r="B239" t="s">
        <v>1117</v>
      </c>
      <c r="C239" s="14">
        <f t="shared" si="12"/>
        <v>0</v>
      </c>
      <c r="D239" s="14">
        <f t="shared" si="13"/>
        <v>1</v>
      </c>
      <c r="E239" s="14">
        <f t="shared" si="14"/>
        <v>0</v>
      </c>
      <c r="F239">
        <v>202</v>
      </c>
      <c r="G239" s="3">
        <v>0.54</v>
      </c>
      <c r="H239" s="7">
        <v>2859710</v>
      </c>
      <c r="I239">
        <v>0</v>
      </c>
      <c r="J239" s="14">
        <f t="shared" si="15"/>
        <v>0</v>
      </c>
      <c r="K239" s="3">
        <v>0.46435687534750025</v>
      </c>
    </row>
    <row r="240" spans="1:11" ht="14.5" x14ac:dyDescent="0.35">
      <c r="A240" t="s">
        <v>47</v>
      </c>
      <c r="B240" t="s">
        <v>1119</v>
      </c>
      <c r="C240" s="14">
        <f t="shared" si="12"/>
        <v>1</v>
      </c>
      <c r="D240" s="14">
        <f t="shared" si="13"/>
        <v>0</v>
      </c>
      <c r="E240" s="14">
        <f t="shared" si="14"/>
        <v>1</v>
      </c>
      <c r="F240">
        <v>440</v>
      </c>
      <c r="G240" s="3">
        <v>0.32299999999999995</v>
      </c>
      <c r="H240" s="7">
        <v>1742021</v>
      </c>
      <c r="I240">
        <v>0</v>
      </c>
      <c r="J240" s="14">
        <f t="shared" si="15"/>
        <v>0</v>
      </c>
      <c r="K240" s="3">
        <v>0.34811176214293627</v>
      </c>
    </row>
    <row r="241" spans="1:11" ht="14.5" x14ac:dyDescent="0.35">
      <c r="A241" t="s">
        <v>47</v>
      </c>
      <c r="B241" t="s">
        <v>1118</v>
      </c>
      <c r="C241" s="14">
        <f t="shared" si="12"/>
        <v>1</v>
      </c>
      <c r="D241" s="14">
        <f t="shared" si="13"/>
        <v>0</v>
      </c>
      <c r="E241" s="14">
        <f t="shared" si="14"/>
        <v>0</v>
      </c>
      <c r="F241">
        <v>374</v>
      </c>
      <c r="G241" s="3">
        <v>0.47299999999999998</v>
      </c>
      <c r="H241" s="7">
        <v>10022180</v>
      </c>
      <c r="I241">
        <v>0</v>
      </c>
      <c r="J241" s="14">
        <f t="shared" si="15"/>
        <v>1</v>
      </c>
      <c r="K241" s="3">
        <v>0.44719402365553201</v>
      </c>
    </row>
    <row r="242" spans="1:11" ht="14.5" x14ac:dyDescent="0.35">
      <c r="A242" t="s">
        <v>36</v>
      </c>
      <c r="B242" t="s">
        <v>1118</v>
      </c>
      <c r="C242" s="14">
        <f t="shared" si="12"/>
        <v>0</v>
      </c>
      <c r="D242" s="14">
        <f t="shared" si="13"/>
        <v>0</v>
      </c>
      <c r="E242" s="14">
        <f t="shared" si="14"/>
        <v>0</v>
      </c>
      <c r="F242">
        <v>693</v>
      </c>
      <c r="G242" s="3">
        <v>0.44200000000000006</v>
      </c>
      <c r="H242" s="7">
        <v>31275909</v>
      </c>
      <c r="I242">
        <v>0</v>
      </c>
      <c r="J242" s="14">
        <f t="shared" si="15"/>
        <v>1</v>
      </c>
      <c r="K242" s="3">
        <v>0.33440521265105355</v>
      </c>
    </row>
    <row r="243" spans="1:11" ht="14.5" x14ac:dyDescent="0.35">
      <c r="A243" t="s">
        <v>36</v>
      </c>
      <c r="B243" t="s">
        <v>1118</v>
      </c>
      <c r="C243" s="14">
        <f t="shared" si="12"/>
        <v>0</v>
      </c>
      <c r="D243" s="14">
        <f t="shared" si="13"/>
        <v>0</v>
      </c>
      <c r="E243" s="14">
        <f t="shared" si="14"/>
        <v>0</v>
      </c>
      <c r="F243">
        <v>462</v>
      </c>
      <c r="G243" s="3">
        <v>0.41600000000000004</v>
      </c>
      <c r="H243" s="7">
        <v>17573649</v>
      </c>
      <c r="I243">
        <v>0</v>
      </c>
      <c r="J243" s="14">
        <f t="shared" si="15"/>
        <v>1</v>
      </c>
      <c r="K243" s="3">
        <v>0.30519273487253556</v>
      </c>
    </row>
    <row r="244" spans="1:11" ht="14.5" x14ac:dyDescent="0.35">
      <c r="A244" t="s">
        <v>36</v>
      </c>
      <c r="B244" t="s">
        <v>1118</v>
      </c>
      <c r="C244" s="14">
        <f t="shared" si="12"/>
        <v>0</v>
      </c>
      <c r="D244" s="14">
        <f t="shared" si="13"/>
        <v>0</v>
      </c>
      <c r="E244" s="14">
        <f t="shared" si="14"/>
        <v>0</v>
      </c>
      <c r="F244">
        <v>527</v>
      </c>
      <c r="G244" s="3">
        <v>0.501</v>
      </c>
      <c r="H244" s="7">
        <v>20017623</v>
      </c>
      <c r="I244">
        <v>0</v>
      </c>
      <c r="J244" s="14">
        <f t="shared" si="15"/>
        <v>1</v>
      </c>
      <c r="K244" s="3">
        <v>0.36856678737530424</v>
      </c>
    </row>
    <row r="245" spans="1:11" ht="14.5" x14ac:dyDescent="0.35">
      <c r="A245" t="s">
        <v>36</v>
      </c>
      <c r="B245" t="s">
        <v>1118</v>
      </c>
      <c r="C245" s="14">
        <f t="shared" si="12"/>
        <v>0</v>
      </c>
      <c r="D245" s="14">
        <f t="shared" si="13"/>
        <v>0</v>
      </c>
      <c r="E245" s="14">
        <f t="shared" si="14"/>
        <v>0</v>
      </c>
      <c r="F245">
        <v>367</v>
      </c>
      <c r="G245" s="3">
        <v>0.44400000000000001</v>
      </c>
      <c r="H245" s="7">
        <v>8001913</v>
      </c>
      <c r="I245">
        <v>0</v>
      </c>
      <c r="J245" s="14">
        <f t="shared" si="15"/>
        <v>1</v>
      </c>
      <c r="K245" s="3">
        <v>0.33499089530216086</v>
      </c>
    </row>
    <row r="246" spans="1:11" ht="14.5" x14ac:dyDescent="0.35">
      <c r="A246" t="s">
        <v>47</v>
      </c>
      <c r="B246" t="s">
        <v>1118</v>
      </c>
      <c r="C246" s="14">
        <f t="shared" si="12"/>
        <v>1</v>
      </c>
      <c r="D246" s="14">
        <f t="shared" si="13"/>
        <v>0</v>
      </c>
      <c r="E246" s="14">
        <f t="shared" si="14"/>
        <v>0</v>
      </c>
      <c r="F246">
        <v>311</v>
      </c>
      <c r="G246" s="3">
        <v>0.53400000000000003</v>
      </c>
      <c r="H246" s="7">
        <v>17736798</v>
      </c>
      <c r="I246">
        <v>0</v>
      </c>
      <c r="J246" s="14">
        <f t="shared" si="15"/>
        <v>1</v>
      </c>
      <c r="K246" s="3">
        <v>0.46510136722535828</v>
      </c>
    </row>
    <row r="247" spans="1:11" ht="14.5" x14ac:dyDescent="0.35">
      <c r="A247" t="s">
        <v>36</v>
      </c>
      <c r="B247" t="s">
        <v>1117</v>
      </c>
      <c r="C247" s="14">
        <f t="shared" si="12"/>
        <v>0</v>
      </c>
      <c r="D247" s="14">
        <f t="shared" si="13"/>
        <v>1</v>
      </c>
      <c r="E247" s="14">
        <f t="shared" si="14"/>
        <v>0</v>
      </c>
      <c r="F247">
        <v>387</v>
      </c>
      <c r="G247" s="3">
        <v>0.47000000000000003</v>
      </c>
      <c r="H247" s="7">
        <v>3989583</v>
      </c>
      <c r="I247">
        <v>0</v>
      </c>
      <c r="J247" s="14">
        <f t="shared" si="15"/>
        <v>0</v>
      </c>
      <c r="K247" s="3">
        <v>0.48571066199149132</v>
      </c>
    </row>
    <row r="248" spans="1:11" ht="14.5" x14ac:dyDescent="0.35">
      <c r="A248" t="s">
        <v>47</v>
      </c>
      <c r="B248" t="s">
        <v>1119</v>
      </c>
      <c r="C248" s="14">
        <f t="shared" si="12"/>
        <v>1</v>
      </c>
      <c r="D248" s="14">
        <f t="shared" si="13"/>
        <v>0</v>
      </c>
      <c r="E248" s="14">
        <f t="shared" si="14"/>
        <v>1</v>
      </c>
      <c r="F248">
        <v>358</v>
      </c>
      <c r="G248" s="3">
        <v>0.49700000000000005</v>
      </c>
      <c r="H248" s="7">
        <v>2167626</v>
      </c>
      <c r="I248">
        <v>0</v>
      </c>
      <c r="J248" s="14">
        <f t="shared" si="15"/>
        <v>0</v>
      </c>
      <c r="K248" s="3">
        <v>0.54874780058921602</v>
      </c>
    </row>
    <row r="249" spans="1:11" ht="14.5" x14ac:dyDescent="0.35">
      <c r="A249" t="s">
        <v>47</v>
      </c>
      <c r="B249" t="s">
        <v>1118</v>
      </c>
      <c r="C249" s="14">
        <f t="shared" si="12"/>
        <v>1</v>
      </c>
      <c r="D249" s="14">
        <f t="shared" si="13"/>
        <v>0</v>
      </c>
      <c r="E249" s="14">
        <f t="shared" si="14"/>
        <v>0</v>
      </c>
      <c r="F249">
        <v>913</v>
      </c>
      <c r="G249" s="3">
        <v>0.50700000000000001</v>
      </c>
      <c r="H249" s="7">
        <v>25438043</v>
      </c>
      <c r="I249">
        <v>0</v>
      </c>
      <c r="J249" s="14">
        <f t="shared" si="15"/>
        <v>1</v>
      </c>
      <c r="K249" s="3">
        <v>0.48685679161718531</v>
      </c>
    </row>
    <row r="250" spans="1:11" ht="14.5" x14ac:dyDescent="0.35">
      <c r="A250" t="s">
        <v>36</v>
      </c>
      <c r="B250" t="s">
        <v>1117</v>
      </c>
      <c r="C250" s="14">
        <f t="shared" si="12"/>
        <v>0</v>
      </c>
      <c r="D250" s="14">
        <f t="shared" si="13"/>
        <v>1</v>
      </c>
      <c r="E250" s="14">
        <f t="shared" si="14"/>
        <v>0</v>
      </c>
      <c r="F250">
        <v>355</v>
      </c>
      <c r="G250" s="3">
        <v>0.45100000000000001</v>
      </c>
      <c r="H250" s="7">
        <v>4906487</v>
      </c>
      <c r="I250">
        <v>0</v>
      </c>
      <c r="J250" s="14">
        <f t="shared" si="15"/>
        <v>0</v>
      </c>
      <c r="K250" s="3">
        <v>0.42838246590686985</v>
      </c>
    </row>
    <row r="251" spans="1:11" ht="14.5" x14ac:dyDescent="0.35">
      <c r="A251" t="s">
        <v>36</v>
      </c>
      <c r="B251" t="s">
        <v>1117</v>
      </c>
      <c r="C251" s="14">
        <f t="shared" si="12"/>
        <v>0</v>
      </c>
      <c r="D251" s="14">
        <f t="shared" si="13"/>
        <v>1</v>
      </c>
      <c r="E251" s="14">
        <f t="shared" si="14"/>
        <v>0</v>
      </c>
      <c r="F251">
        <v>310</v>
      </c>
      <c r="G251" s="3">
        <v>0.52900000000000003</v>
      </c>
      <c r="H251" s="7">
        <v>4213436</v>
      </c>
      <c r="I251">
        <v>0</v>
      </c>
      <c r="J251" s="14">
        <f t="shared" si="15"/>
        <v>0</v>
      </c>
      <c r="K251" s="3">
        <v>0.46319440950331275</v>
      </c>
    </row>
    <row r="252" spans="1:11" ht="14.5" x14ac:dyDescent="0.35">
      <c r="G252" s="3"/>
    </row>
    <row r="253" spans="1:11" ht="14.5" x14ac:dyDescent="0.35">
      <c r="G253" s="3"/>
    </row>
    <row r="254" spans="1:11" ht="14.5" x14ac:dyDescent="0.35">
      <c r="G254" s="3"/>
    </row>
    <row r="255" spans="1:11" ht="14.5" x14ac:dyDescent="0.35">
      <c r="G255" s="3"/>
    </row>
    <row r="256" spans="1:11" ht="14.5" x14ac:dyDescent="0.35">
      <c r="G256" s="3"/>
    </row>
    <row r="257" spans="7:7" ht="14.5" x14ac:dyDescent="0.35">
      <c r="G257" s="3"/>
    </row>
    <row r="258" spans="7:7" ht="14.5" x14ac:dyDescent="0.35">
      <c r="G258" s="3"/>
    </row>
    <row r="259" spans="7:7" ht="14.5" x14ac:dyDescent="0.35">
      <c r="G259" s="3"/>
    </row>
    <row r="260" spans="7:7" ht="14.5" x14ac:dyDescent="0.35">
      <c r="G260" s="3"/>
    </row>
    <row r="261" spans="7:7" ht="14.5" x14ac:dyDescent="0.35">
      <c r="G261" s="3"/>
    </row>
    <row r="262" spans="7:7" ht="14.5" x14ac:dyDescent="0.35">
      <c r="G262" s="3"/>
    </row>
    <row r="263" spans="7:7" ht="14.5" x14ac:dyDescent="0.35">
      <c r="G263" s="3"/>
    </row>
    <row r="264" spans="7:7" ht="14.5" x14ac:dyDescent="0.35">
      <c r="G264" s="3"/>
    </row>
    <row r="265" spans="7:7" ht="14.5" x14ac:dyDescent="0.35">
      <c r="G265" s="3"/>
    </row>
    <row r="266" spans="7:7" ht="14.5" x14ac:dyDescent="0.35">
      <c r="G266" s="3"/>
    </row>
    <row r="267" spans="7:7" ht="14.5" x14ac:dyDescent="0.35">
      <c r="G267" s="3"/>
    </row>
    <row r="268" spans="7:7" ht="14.5" x14ac:dyDescent="0.35">
      <c r="G268" s="3"/>
    </row>
    <row r="269" spans="7:7" ht="14.5" x14ac:dyDescent="0.35">
      <c r="G269" s="3"/>
    </row>
    <row r="270" spans="7:7" ht="14.5" x14ac:dyDescent="0.35">
      <c r="G270" s="3"/>
    </row>
    <row r="271" spans="7:7" ht="14.5" x14ac:dyDescent="0.35">
      <c r="G271" s="3"/>
    </row>
    <row r="272" spans="7:7" ht="14.5" x14ac:dyDescent="0.35">
      <c r="G272" s="3"/>
    </row>
    <row r="273" spans="7:7" ht="14.5" x14ac:dyDescent="0.35">
      <c r="G273" s="3"/>
    </row>
    <row r="274" spans="7:7" ht="14.5" x14ac:dyDescent="0.35">
      <c r="G274" s="3"/>
    </row>
    <row r="275" spans="7:7" ht="14.5" x14ac:dyDescent="0.35">
      <c r="G275" s="3"/>
    </row>
    <row r="276" spans="7:7" ht="14.5" x14ac:dyDescent="0.35">
      <c r="G276" s="3"/>
    </row>
    <row r="277" spans="7:7" ht="14.5" x14ac:dyDescent="0.35">
      <c r="G277" s="3"/>
    </row>
    <row r="278" spans="7:7" ht="14.5" x14ac:dyDescent="0.35">
      <c r="G278" s="3"/>
    </row>
    <row r="279" spans="7:7" ht="14.5" x14ac:dyDescent="0.35">
      <c r="G279" s="3"/>
    </row>
    <row r="280" spans="7:7" ht="14.5" x14ac:dyDescent="0.35">
      <c r="G280" s="3"/>
    </row>
    <row r="281" spans="7:7" ht="14.5" x14ac:dyDescent="0.35">
      <c r="G281" s="3"/>
    </row>
    <row r="282" spans="7:7" ht="14.5" x14ac:dyDescent="0.35">
      <c r="G282" s="3"/>
    </row>
    <row r="283" spans="7:7" ht="14.5" x14ac:dyDescent="0.35">
      <c r="G283" s="3"/>
    </row>
    <row r="284" spans="7:7" ht="14.5" x14ac:dyDescent="0.35">
      <c r="G284" s="3"/>
    </row>
    <row r="285" spans="7:7" ht="14.5" x14ac:dyDescent="0.35">
      <c r="G285" s="3"/>
    </row>
    <row r="286" spans="7:7" ht="14.5" x14ac:dyDescent="0.35">
      <c r="G286" s="3"/>
    </row>
    <row r="287" spans="7:7" ht="14.5" x14ac:dyDescent="0.35">
      <c r="G287" s="3"/>
    </row>
    <row r="288" spans="7:7" ht="14.5" x14ac:dyDescent="0.35">
      <c r="G288" s="3"/>
    </row>
    <row r="289" spans="7:7" ht="14.5" x14ac:dyDescent="0.35">
      <c r="G289" s="3"/>
    </row>
    <row r="290" spans="7:7" ht="14.5" x14ac:dyDescent="0.35">
      <c r="G290" s="3"/>
    </row>
    <row r="291" spans="7:7" ht="14.5" x14ac:dyDescent="0.35">
      <c r="G291" s="3"/>
    </row>
    <row r="292" spans="7:7" ht="14.5" x14ac:dyDescent="0.35">
      <c r="G292" s="3"/>
    </row>
    <row r="293" spans="7:7" ht="14.5" x14ac:dyDescent="0.35">
      <c r="G293" s="3"/>
    </row>
    <row r="294" spans="7:7" ht="14.5" x14ac:dyDescent="0.35">
      <c r="G294" s="3"/>
    </row>
    <row r="295" spans="7:7" ht="14.5" x14ac:dyDescent="0.35">
      <c r="G295" s="3"/>
    </row>
    <row r="296" spans="7:7" ht="14.5" x14ac:dyDescent="0.35">
      <c r="G296" s="3"/>
    </row>
    <row r="297" spans="7:7" ht="14.5" x14ac:dyDescent="0.35">
      <c r="G297" s="3"/>
    </row>
    <row r="298" spans="7:7" ht="14.5" x14ac:dyDescent="0.35">
      <c r="G298" s="3"/>
    </row>
    <row r="299" spans="7:7" ht="14.5" x14ac:dyDescent="0.35">
      <c r="G299" s="3"/>
    </row>
    <row r="300" spans="7:7" ht="14.5" x14ac:dyDescent="0.35">
      <c r="G300" s="3"/>
    </row>
    <row r="301" spans="7:7" ht="14.5" x14ac:dyDescent="0.35">
      <c r="G301" s="3"/>
    </row>
    <row r="302" spans="7:7" ht="14.5" x14ac:dyDescent="0.35">
      <c r="G302" s="3"/>
    </row>
    <row r="303" spans="7:7" ht="14.5" x14ac:dyDescent="0.35">
      <c r="G303" s="3"/>
    </row>
    <row r="304" spans="7:7" ht="14.5" x14ac:dyDescent="0.35">
      <c r="G304" s="3"/>
    </row>
    <row r="305" spans="7:7" ht="14.5" x14ac:dyDescent="0.35">
      <c r="G305" s="3"/>
    </row>
    <row r="306" spans="7:7" ht="14.5" x14ac:dyDescent="0.35">
      <c r="G306" s="3"/>
    </row>
    <row r="307" spans="7:7" ht="14.5" x14ac:dyDescent="0.35">
      <c r="G307" s="3"/>
    </row>
    <row r="308" spans="7:7" ht="14.5" x14ac:dyDescent="0.35">
      <c r="G308" s="3"/>
    </row>
    <row r="309" spans="7:7" ht="14.5" x14ac:dyDescent="0.35">
      <c r="G309" s="3"/>
    </row>
    <row r="310" spans="7:7" ht="14.5" x14ac:dyDescent="0.35">
      <c r="G310" s="3"/>
    </row>
    <row r="311" spans="7:7" ht="14.5" x14ac:dyDescent="0.35">
      <c r="G311" s="3"/>
    </row>
    <row r="312" spans="7:7" ht="14.5" x14ac:dyDescent="0.35">
      <c r="G312" s="3"/>
    </row>
    <row r="313" spans="7:7" ht="14.5" x14ac:dyDescent="0.35">
      <c r="G313" s="3"/>
    </row>
    <row r="314" spans="7:7" ht="14.5" x14ac:dyDescent="0.35">
      <c r="G314" s="3"/>
    </row>
    <row r="315" spans="7:7" ht="14.5" x14ac:dyDescent="0.35">
      <c r="G315" s="3"/>
    </row>
    <row r="316" spans="7:7" ht="14.5" x14ac:dyDescent="0.35">
      <c r="G316" s="3"/>
    </row>
    <row r="317" spans="7:7" ht="14.5" x14ac:dyDescent="0.35">
      <c r="G317" s="3"/>
    </row>
    <row r="318" spans="7:7" ht="14.5" x14ac:dyDescent="0.35">
      <c r="G318" s="3"/>
    </row>
    <row r="319" spans="7:7" ht="14.5" x14ac:dyDescent="0.35">
      <c r="G319" s="3"/>
    </row>
    <row r="320" spans="7:7" ht="14.5" x14ac:dyDescent="0.35">
      <c r="G320" s="3"/>
    </row>
    <row r="321" spans="7:7" ht="14.5" x14ac:dyDescent="0.35">
      <c r="G321" s="3"/>
    </row>
    <row r="322" spans="7:7" ht="14.5" x14ac:dyDescent="0.35">
      <c r="G322" s="3"/>
    </row>
    <row r="323" spans="7:7" ht="14.5" x14ac:dyDescent="0.35">
      <c r="G323" s="3"/>
    </row>
    <row r="324" spans="7:7" ht="14.5" x14ac:dyDescent="0.35">
      <c r="G324" s="3"/>
    </row>
    <row r="325" spans="7:7" ht="14.5" x14ac:dyDescent="0.35">
      <c r="G325" s="3"/>
    </row>
    <row r="326" spans="7:7" ht="14.5" x14ac:dyDescent="0.35">
      <c r="G326" s="3"/>
    </row>
    <row r="327" spans="7:7" ht="14.5" x14ac:dyDescent="0.35">
      <c r="G327" s="3"/>
    </row>
    <row r="328" spans="7:7" ht="14.5" x14ac:dyDescent="0.35">
      <c r="G328" s="3"/>
    </row>
    <row r="329" spans="7:7" ht="14.5" x14ac:dyDescent="0.35">
      <c r="G329" s="3"/>
    </row>
    <row r="330" spans="7:7" ht="14.5" x14ac:dyDescent="0.35">
      <c r="G330" s="3"/>
    </row>
    <row r="331" spans="7:7" ht="14.5" x14ac:dyDescent="0.35">
      <c r="G331" s="3"/>
    </row>
    <row r="332" spans="7:7" ht="14.5" x14ac:dyDescent="0.35">
      <c r="G332" s="3"/>
    </row>
    <row r="333" spans="7:7" ht="14.5" x14ac:dyDescent="0.35">
      <c r="G333" s="3"/>
    </row>
    <row r="334" spans="7:7" ht="14.5" x14ac:dyDescent="0.35">
      <c r="G334" s="3"/>
    </row>
    <row r="335" spans="7:7" ht="14.5" x14ac:dyDescent="0.35">
      <c r="G335" s="3"/>
    </row>
    <row r="336" spans="7:7" ht="14.5" x14ac:dyDescent="0.35">
      <c r="G336" s="3"/>
    </row>
    <row r="337" spans="7:7" ht="14.5" x14ac:dyDescent="0.35">
      <c r="G337" s="3"/>
    </row>
    <row r="338" spans="7:7" ht="14.5" x14ac:dyDescent="0.35">
      <c r="G338" s="3"/>
    </row>
    <row r="339" spans="7:7" ht="14.5" x14ac:dyDescent="0.35">
      <c r="G339" s="3"/>
    </row>
    <row r="340" spans="7:7" ht="14.5" x14ac:dyDescent="0.35">
      <c r="G340" s="3"/>
    </row>
    <row r="341" spans="7:7" ht="14.5" x14ac:dyDescent="0.35">
      <c r="G341" s="3"/>
    </row>
    <row r="342" spans="7:7" ht="14.5" x14ac:dyDescent="0.35">
      <c r="G342" s="3"/>
    </row>
    <row r="343" spans="7:7" ht="14.5" x14ac:dyDescent="0.35">
      <c r="G343" s="3"/>
    </row>
    <row r="344" spans="7:7" ht="14.5" x14ac:dyDescent="0.35">
      <c r="G344" s="3"/>
    </row>
    <row r="345" spans="7:7" ht="14.5" x14ac:dyDescent="0.35">
      <c r="G345" s="3"/>
    </row>
    <row r="346" spans="7:7" ht="14.5" x14ac:dyDescent="0.35">
      <c r="G346" s="3"/>
    </row>
    <row r="347" spans="7:7" ht="14.5" x14ac:dyDescent="0.35">
      <c r="G347" s="3"/>
    </row>
    <row r="348" spans="7:7" ht="14.5" x14ac:dyDescent="0.35">
      <c r="G348" s="3"/>
    </row>
    <row r="349" spans="7:7" ht="14.5" x14ac:dyDescent="0.35">
      <c r="G349" s="3"/>
    </row>
    <row r="350" spans="7:7" ht="14.5" x14ac:dyDescent="0.35">
      <c r="G350" s="3"/>
    </row>
    <row r="351" spans="7:7" ht="14.5" x14ac:dyDescent="0.35">
      <c r="G351" s="3"/>
    </row>
    <row r="352" spans="7:7" ht="14.5" x14ac:dyDescent="0.35">
      <c r="G352" s="3"/>
    </row>
    <row r="353" spans="7:7" ht="14.5" x14ac:dyDescent="0.35">
      <c r="G353" s="3"/>
    </row>
    <row r="354" spans="7:7" ht="14.5" x14ac:dyDescent="0.35">
      <c r="G354" s="3"/>
    </row>
    <row r="355" spans="7:7" ht="14.5" x14ac:dyDescent="0.35">
      <c r="G355" s="3"/>
    </row>
    <row r="356" spans="7:7" ht="14.5" x14ac:dyDescent="0.35">
      <c r="G356" s="3"/>
    </row>
    <row r="357" spans="7:7" ht="14.5" x14ac:dyDescent="0.35">
      <c r="G357" s="3"/>
    </row>
    <row r="358" spans="7:7" ht="14.5" x14ac:dyDescent="0.35">
      <c r="G358" s="3"/>
    </row>
    <row r="359" spans="7:7" ht="14.5" x14ac:dyDescent="0.35">
      <c r="G359" s="3"/>
    </row>
    <row r="360" spans="7:7" ht="14.5" x14ac:dyDescent="0.35">
      <c r="G360" s="3"/>
    </row>
    <row r="361" spans="7:7" ht="14.5" x14ac:dyDescent="0.35">
      <c r="G361" s="3"/>
    </row>
    <row r="362" spans="7:7" ht="14.5" x14ac:dyDescent="0.35">
      <c r="G362" s="3"/>
    </row>
    <row r="363" spans="7:7" ht="14.5" x14ac:dyDescent="0.35">
      <c r="G363" s="3"/>
    </row>
    <row r="364" spans="7:7" ht="14.5" x14ac:dyDescent="0.35">
      <c r="G364" s="3"/>
    </row>
    <row r="365" spans="7:7" ht="14.5" x14ac:dyDescent="0.35">
      <c r="G365" s="3"/>
    </row>
    <row r="366" spans="7:7" ht="14.5" x14ac:dyDescent="0.35">
      <c r="G366" s="3"/>
    </row>
    <row r="367" spans="7:7" ht="14.5" x14ac:dyDescent="0.35">
      <c r="G367" s="3"/>
    </row>
    <row r="368" spans="7:7" ht="14.5" x14ac:dyDescent="0.35">
      <c r="G368" s="3"/>
    </row>
    <row r="369" spans="7:7" ht="14.5" x14ac:dyDescent="0.35">
      <c r="G369" s="3"/>
    </row>
    <row r="370" spans="7:7" ht="14.5" x14ac:dyDescent="0.35">
      <c r="G370" s="3"/>
    </row>
    <row r="371" spans="7:7" ht="14.5" x14ac:dyDescent="0.35">
      <c r="G371" s="3"/>
    </row>
    <row r="372" spans="7:7" ht="14.5" x14ac:dyDescent="0.35">
      <c r="G372" s="3"/>
    </row>
    <row r="373" spans="7:7" ht="14.5" x14ac:dyDescent="0.35">
      <c r="G373" s="3"/>
    </row>
    <row r="374" spans="7:7" ht="14.5" x14ac:dyDescent="0.35">
      <c r="G374" s="3"/>
    </row>
    <row r="375" spans="7:7" ht="14.5" x14ac:dyDescent="0.35">
      <c r="G375" s="3"/>
    </row>
    <row r="376" spans="7:7" ht="14.5" x14ac:dyDescent="0.35">
      <c r="G376" s="3"/>
    </row>
    <row r="377" spans="7:7" ht="14.5" x14ac:dyDescent="0.35">
      <c r="G377" s="3"/>
    </row>
    <row r="378" spans="7:7" ht="14.5" x14ac:dyDescent="0.35">
      <c r="G378" s="3"/>
    </row>
    <row r="379" spans="7:7" ht="14.5" x14ac:dyDescent="0.35">
      <c r="G379" s="3"/>
    </row>
    <row r="380" spans="7:7" ht="14.5" x14ac:dyDescent="0.35">
      <c r="G380" s="3"/>
    </row>
    <row r="381" spans="7:7" ht="14.5" x14ac:dyDescent="0.35">
      <c r="G381" s="3"/>
    </row>
    <row r="382" spans="7:7" ht="14.5" x14ac:dyDescent="0.35">
      <c r="G382" s="3"/>
    </row>
    <row r="383" spans="7:7" ht="14.5" x14ac:dyDescent="0.35">
      <c r="G383" s="3"/>
    </row>
    <row r="384" spans="7:7" ht="14.5" x14ac:dyDescent="0.35">
      <c r="G384" s="3"/>
    </row>
    <row r="385" spans="7:7" ht="14.5" x14ac:dyDescent="0.35">
      <c r="G385" s="3"/>
    </row>
    <row r="386" spans="7:7" ht="14.5" x14ac:dyDescent="0.35">
      <c r="G386" s="3"/>
    </row>
    <row r="387" spans="7:7" ht="14.5" x14ac:dyDescent="0.35">
      <c r="G387" s="3"/>
    </row>
    <row r="388" spans="7:7" ht="14.5" x14ac:dyDescent="0.35">
      <c r="G388" s="3"/>
    </row>
    <row r="389" spans="7:7" ht="14.5" x14ac:dyDescent="0.35">
      <c r="G389" s="3"/>
    </row>
    <row r="390" spans="7:7" ht="14.5" x14ac:dyDescent="0.35">
      <c r="G390" s="3"/>
    </row>
    <row r="391" spans="7:7" ht="14.5" x14ac:dyDescent="0.35">
      <c r="G391" s="3"/>
    </row>
    <row r="392" spans="7:7" ht="14.5" x14ac:dyDescent="0.35">
      <c r="G392" s="3"/>
    </row>
    <row r="393" spans="7:7" ht="14.5" x14ac:dyDescent="0.35">
      <c r="G393" s="3"/>
    </row>
    <row r="394" spans="7:7" ht="14.5" x14ac:dyDescent="0.35">
      <c r="G394" s="3"/>
    </row>
    <row r="395" spans="7:7" ht="14.5" x14ac:dyDescent="0.35">
      <c r="G395" s="3"/>
    </row>
    <row r="396" spans="7:7" ht="14.5" x14ac:dyDescent="0.35">
      <c r="G396" s="3"/>
    </row>
    <row r="397" spans="7:7" ht="14.5" x14ac:dyDescent="0.35">
      <c r="G397" s="3"/>
    </row>
    <row r="398" spans="7:7" ht="14.5" x14ac:dyDescent="0.35">
      <c r="G398" s="3"/>
    </row>
    <row r="399" spans="7:7" ht="14.5" x14ac:dyDescent="0.35">
      <c r="G399" s="3"/>
    </row>
    <row r="400" spans="7:7" ht="14.5" x14ac:dyDescent="0.35">
      <c r="G400" s="3"/>
    </row>
    <row r="401" spans="7:7" ht="14.5" x14ac:dyDescent="0.35">
      <c r="G401" s="3"/>
    </row>
    <row r="402" spans="7:7" ht="14.5" x14ac:dyDescent="0.35">
      <c r="G402" s="3"/>
    </row>
    <row r="403" spans="7:7" ht="14.5" x14ac:dyDescent="0.35">
      <c r="G403" s="3"/>
    </row>
    <row r="404" spans="7:7" ht="14.5" x14ac:dyDescent="0.35">
      <c r="G404" s="3"/>
    </row>
    <row r="405" spans="7:7" ht="14.5" x14ac:dyDescent="0.35">
      <c r="G405" s="3"/>
    </row>
    <row r="406" spans="7:7" ht="14.5" x14ac:dyDescent="0.35">
      <c r="G406" s="3"/>
    </row>
    <row r="407" spans="7:7" ht="14.5" x14ac:dyDescent="0.35">
      <c r="G407" s="3"/>
    </row>
    <row r="408" spans="7:7" ht="14.5" x14ac:dyDescent="0.35">
      <c r="G408" s="3"/>
    </row>
    <row r="409" spans="7:7" ht="14.5" x14ac:dyDescent="0.35">
      <c r="G409" s="3"/>
    </row>
    <row r="410" spans="7:7" ht="14.5" x14ac:dyDescent="0.35">
      <c r="G410" s="3"/>
    </row>
    <row r="411" spans="7:7" ht="14.5" x14ac:dyDescent="0.35">
      <c r="G411" s="3"/>
    </row>
    <row r="412" spans="7:7" ht="14.5" x14ac:dyDescent="0.35">
      <c r="G412" s="3"/>
    </row>
    <row r="413" spans="7:7" ht="14.5" x14ac:dyDescent="0.35">
      <c r="G413" s="3"/>
    </row>
    <row r="414" spans="7:7" ht="14.5" x14ac:dyDescent="0.35">
      <c r="G414" s="3"/>
    </row>
    <row r="415" spans="7:7" ht="14.5" x14ac:dyDescent="0.35">
      <c r="G415" s="3"/>
    </row>
    <row r="416" spans="7:7" ht="14.5" x14ac:dyDescent="0.35">
      <c r="G416" s="3"/>
    </row>
    <row r="417" spans="7:7" ht="14.5" x14ac:dyDescent="0.35">
      <c r="G417" s="3"/>
    </row>
    <row r="418" spans="7:7" ht="14.5" x14ac:dyDescent="0.35">
      <c r="G418" s="3"/>
    </row>
    <row r="419" spans="7:7" ht="14.5" x14ac:dyDescent="0.35">
      <c r="G419" s="3"/>
    </row>
    <row r="420" spans="7:7" ht="14.5" x14ac:dyDescent="0.35">
      <c r="G420" s="3"/>
    </row>
    <row r="421" spans="7:7" ht="14.5" x14ac:dyDescent="0.35">
      <c r="G421" s="3"/>
    </row>
    <row r="422" spans="7:7" ht="14.5" x14ac:dyDescent="0.35">
      <c r="G422" s="3"/>
    </row>
    <row r="423" spans="7:7" ht="14.5" x14ac:dyDescent="0.35">
      <c r="G423" s="3"/>
    </row>
    <row r="424" spans="7:7" ht="14.5" x14ac:dyDescent="0.35">
      <c r="G424" s="3"/>
    </row>
    <row r="425" spans="7:7" ht="14.5" x14ac:dyDescent="0.35">
      <c r="G425" s="3"/>
    </row>
    <row r="426" spans="7:7" ht="14.5" x14ac:dyDescent="0.35">
      <c r="G426" s="3"/>
    </row>
    <row r="427" spans="7:7" ht="14.5" x14ac:dyDescent="0.35">
      <c r="G427" s="3"/>
    </row>
    <row r="428" spans="7:7" ht="14.5" x14ac:dyDescent="0.35">
      <c r="G428" s="3"/>
    </row>
    <row r="429" spans="7:7" ht="14.5" x14ac:dyDescent="0.35">
      <c r="G429" s="3"/>
    </row>
    <row r="430" spans="7:7" ht="14.5" x14ac:dyDescent="0.35">
      <c r="G430" s="3"/>
    </row>
    <row r="431" spans="7:7" ht="14.5" x14ac:dyDescent="0.35">
      <c r="G431" s="3"/>
    </row>
    <row r="432" spans="7:7" ht="14.5" x14ac:dyDescent="0.35">
      <c r="G432" s="3"/>
    </row>
    <row r="433" spans="7:7" ht="14.5" x14ac:dyDescent="0.35">
      <c r="G433" s="3"/>
    </row>
    <row r="434" spans="7:7" ht="14.5" x14ac:dyDescent="0.35">
      <c r="G434" s="3"/>
    </row>
    <row r="435" spans="7:7" ht="14.5" x14ac:dyDescent="0.35">
      <c r="G435" s="3"/>
    </row>
    <row r="436" spans="7:7" ht="14.5" x14ac:dyDescent="0.35">
      <c r="G436" s="3"/>
    </row>
    <row r="437" spans="7:7" ht="14.5" x14ac:dyDescent="0.35">
      <c r="G437" s="3"/>
    </row>
    <row r="438" spans="7:7" ht="14.5" x14ac:dyDescent="0.35">
      <c r="G438" s="3"/>
    </row>
    <row r="439" spans="7:7" ht="14.5" x14ac:dyDescent="0.35">
      <c r="G439" s="3"/>
    </row>
    <row r="440" spans="7:7" ht="14.5" x14ac:dyDescent="0.35">
      <c r="G440" s="3"/>
    </row>
    <row r="441" spans="7:7" ht="14.5" x14ac:dyDescent="0.35">
      <c r="G441" s="3"/>
    </row>
    <row r="442" spans="7:7" ht="14.5" x14ac:dyDescent="0.35">
      <c r="G442" s="3"/>
    </row>
    <row r="443" spans="7:7" ht="14.5" x14ac:dyDescent="0.35">
      <c r="G443" s="3"/>
    </row>
    <row r="444" spans="7:7" ht="14.5" x14ac:dyDescent="0.35">
      <c r="G444" s="3"/>
    </row>
    <row r="445" spans="7:7" ht="14.5" x14ac:dyDescent="0.35">
      <c r="G445" s="3"/>
    </row>
    <row r="446" spans="7:7" ht="14.5" x14ac:dyDescent="0.35">
      <c r="G446" s="3"/>
    </row>
    <row r="447" spans="7:7" ht="14.5" x14ac:dyDescent="0.35">
      <c r="G447" s="3"/>
    </row>
    <row r="448" spans="7:7" ht="14.5" x14ac:dyDescent="0.35">
      <c r="G448" s="3"/>
    </row>
    <row r="449" spans="7:7" ht="14.5" x14ac:dyDescent="0.35">
      <c r="G449" s="3"/>
    </row>
    <row r="450" spans="7:7" ht="14.5" x14ac:dyDescent="0.35">
      <c r="G450" s="3"/>
    </row>
    <row r="451" spans="7:7" ht="14.5" x14ac:dyDescent="0.35">
      <c r="G451" s="3"/>
    </row>
    <row r="452" spans="7:7" ht="14.5" x14ac:dyDescent="0.35">
      <c r="G452" s="3"/>
    </row>
    <row r="453" spans="7:7" ht="14.5" x14ac:dyDescent="0.35">
      <c r="G453" s="3"/>
    </row>
    <row r="454" spans="7:7" ht="14.5" x14ac:dyDescent="0.35">
      <c r="G454" s="3"/>
    </row>
    <row r="455" spans="7:7" ht="14.5" x14ac:dyDescent="0.35">
      <c r="G455" s="3"/>
    </row>
    <row r="456" spans="7:7" ht="14.5" x14ac:dyDescent="0.35">
      <c r="G456" s="3"/>
    </row>
    <row r="457" spans="7:7" ht="14.5" x14ac:dyDescent="0.35">
      <c r="G457" s="3"/>
    </row>
    <row r="458" spans="7:7" ht="14.5" x14ac:dyDescent="0.35">
      <c r="G458" s="3"/>
    </row>
    <row r="459" spans="7:7" ht="14.5" x14ac:dyDescent="0.35">
      <c r="G459" s="3"/>
    </row>
    <row r="460" spans="7:7" ht="14.5" x14ac:dyDescent="0.35">
      <c r="G460" s="3"/>
    </row>
    <row r="461" spans="7:7" ht="14.5" x14ac:dyDescent="0.35">
      <c r="G461" s="3"/>
    </row>
    <row r="462" spans="7:7" ht="14.5" x14ac:dyDescent="0.35">
      <c r="G462" s="3"/>
    </row>
    <row r="463" spans="7:7" ht="14.5" x14ac:dyDescent="0.35">
      <c r="G463" s="3"/>
    </row>
    <row r="464" spans="7:7" ht="14.5" x14ac:dyDescent="0.35">
      <c r="G464" s="3"/>
    </row>
    <row r="465" spans="7:7" ht="14.5" x14ac:dyDescent="0.35">
      <c r="G465" s="3"/>
    </row>
    <row r="466" spans="7:7" ht="14.5" x14ac:dyDescent="0.35">
      <c r="G466" s="3"/>
    </row>
    <row r="467" spans="7:7" ht="14.5" x14ac:dyDescent="0.35">
      <c r="G467" s="3"/>
    </row>
    <row r="468" spans="7:7" ht="14.5" x14ac:dyDescent="0.35">
      <c r="G468" s="3"/>
    </row>
    <row r="469" spans="7:7" ht="14.5" x14ac:dyDescent="0.35">
      <c r="G469" s="3"/>
    </row>
    <row r="470" spans="7:7" ht="14.5" x14ac:dyDescent="0.35">
      <c r="G470" s="3"/>
    </row>
    <row r="471" spans="7:7" ht="14.5" x14ac:dyDescent="0.35">
      <c r="G471" s="3"/>
    </row>
    <row r="472" spans="7:7" ht="14.5" x14ac:dyDescent="0.35">
      <c r="G472" s="3"/>
    </row>
    <row r="473" spans="7:7" ht="14.5" x14ac:dyDescent="0.35">
      <c r="G473" s="3"/>
    </row>
    <row r="474" spans="7:7" ht="14.5" x14ac:dyDescent="0.35">
      <c r="G474" s="3"/>
    </row>
    <row r="475" spans="7:7" ht="14.5" x14ac:dyDescent="0.35">
      <c r="G475" s="3"/>
    </row>
    <row r="476" spans="7:7" ht="14.5" x14ac:dyDescent="0.35">
      <c r="G476" s="3"/>
    </row>
    <row r="477" spans="7:7" ht="14.5" x14ac:dyDescent="0.35">
      <c r="G477" s="3"/>
    </row>
    <row r="478" spans="7:7" ht="14.5" x14ac:dyDescent="0.35">
      <c r="G478" s="3"/>
    </row>
    <row r="479" spans="7:7" ht="14.5" x14ac:dyDescent="0.35">
      <c r="G479" s="3"/>
    </row>
    <row r="480" spans="7:7" ht="14.5" x14ac:dyDescent="0.35">
      <c r="G480" s="3"/>
    </row>
    <row r="481" spans="7:7" ht="14.5" x14ac:dyDescent="0.35">
      <c r="G481" s="3"/>
    </row>
    <row r="482" spans="7:7" ht="14.5" x14ac:dyDescent="0.35">
      <c r="G482" s="3"/>
    </row>
    <row r="483" spans="7:7" ht="14.5" x14ac:dyDescent="0.35">
      <c r="G483" s="3"/>
    </row>
    <row r="484" spans="7:7" ht="14.5" x14ac:dyDescent="0.35">
      <c r="G484" s="3"/>
    </row>
    <row r="485" spans="7:7" ht="14.5" x14ac:dyDescent="0.35">
      <c r="G485" s="3"/>
    </row>
    <row r="486" spans="7:7" ht="14.5" x14ac:dyDescent="0.35">
      <c r="G486" s="3"/>
    </row>
    <row r="487" spans="7:7" ht="14.5" x14ac:dyDescent="0.35">
      <c r="G487" s="3"/>
    </row>
    <row r="488" spans="7:7" ht="14.5" x14ac:dyDescent="0.35">
      <c r="G488" s="3"/>
    </row>
    <row r="489" spans="7:7" ht="14.5" x14ac:dyDescent="0.35">
      <c r="G489" s="3"/>
    </row>
    <row r="490" spans="7:7" ht="14.5" x14ac:dyDescent="0.35">
      <c r="G490" s="3"/>
    </row>
    <row r="491" spans="7:7" ht="14.5" x14ac:dyDescent="0.35">
      <c r="G491" s="3"/>
    </row>
    <row r="492" spans="7:7" ht="14.5" x14ac:dyDescent="0.35">
      <c r="G492" s="3"/>
    </row>
    <row r="493" spans="7:7" ht="14.5" x14ac:dyDescent="0.35">
      <c r="G493" s="3"/>
    </row>
    <row r="494" spans="7:7" ht="14.5" x14ac:dyDescent="0.35">
      <c r="G494" s="3"/>
    </row>
    <row r="495" spans="7:7" ht="14.5" x14ac:dyDescent="0.35">
      <c r="G495" s="3"/>
    </row>
    <row r="496" spans="7:7" ht="14.5" x14ac:dyDescent="0.35">
      <c r="G496" s="3"/>
    </row>
    <row r="497" spans="7:7" ht="14.5" x14ac:dyDescent="0.35">
      <c r="G497" s="3"/>
    </row>
    <row r="498" spans="7:7" ht="14.5" x14ac:dyDescent="0.35">
      <c r="G498" s="3"/>
    </row>
    <row r="499" spans="7:7" ht="14.5" x14ac:dyDescent="0.35">
      <c r="G499" s="3"/>
    </row>
    <row r="500" spans="7:7" ht="14.5" x14ac:dyDescent="0.35">
      <c r="G500" s="3"/>
    </row>
    <row r="501" spans="7:7" ht="14.5" x14ac:dyDescent="0.35">
      <c r="G501" s="3"/>
    </row>
    <row r="502" spans="7:7" ht="14.5" x14ac:dyDescent="0.35"/>
    <row r="503" spans="7:7" ht="14.5" x14ac:dyDescent="0.35"/>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FED6-51E6-4756-A602-CF505FC8E994}">
  <dimension ref="A2:M169"/>
  <sheetViews>
    <sheetView topLeftCell="L14" workbookViewId="0">
      <selection activeCell="L14" sqref="L14"/>
    </sheetView>
  </sheetViews>
  <sheetFormatPr defaultColWidth="8.81640625" defaultRowHeight="14.5" x14ac:dyDescent="0.35"/>
  <cols>
    <col min="1" max="1" width="21.453125" bestFit="1" customWidth="1"/>
    <col min="2" max="2" width="15.453125" bestFit="1" customWidth="1"/>
  </cols>
  <sheetData>
    <row r="2" spans="1:10" x14ac:dyDescent="0.35">
      <c r="A2" t="s">
        <v>4</v>
      </c>
    </row>
    <row r="3" spans="1:10" x14ac:dyDescent="0.35">
      <c r="A3" s="12" t="s">
        <v>4</v>
      </c>
      <c r="B3" t="s">
        <v>1120</v>
      </c>
    </row>
    <row r="4" spans="1:10" x14ac:dyDescent="0.35">
      <c r="A4" t="s">
        <v>47</v>
      </c>
      <c r="B4">
        <v>138</v>
      </c>
    </row>
    <row r="5" spans="1:10" x14ac:dyDescent="0.35">
      <c r="A5" t="s">
        <v>36</v>
      </c>
      <c r="B5">
        <v>112</v>
      </c>
      <c r="J5" t="s">
        <v>1121</v>
      </c>
    </row>
    <row r="6" spans="1:10" x14ac:dyDescent="0.35">
      <c r="A6" t="s">
        <v>1122</v>
      </c>
      <c r="B6">
        <v>250</v>
      </c>
      <c r="J6" t="s">
        <v>1123</v>
      </c>
    </row>
    <row r="7" spans="1:10" x14ac:dyDescent="0.35">
      <c r="J7" t="s">
        <v>1124</v>
      </c>
    </row>
    <row r="18" spans="1:12" x14ac:dyDescent="0.35">
      <c r="A18" t="s">
        <v>10</v>
      </c>
    </row>
    <row r="19" spans="1:12" x14ac:dyDescent="0.35">
      <c r="A19" s="12" t="s">
        <v>10</v>
      </c>
      <c r="B19" t="s">
        <v>1125</v>
      </c>
    </row>
    <row r="20" spans="1:12" x14ac:dyDescent="0.35">
      <c r="A20" t="s">
        <v>38</v>
      </c>
      <c r="B20" s="3">
        <v>0.57999999999999996</v>
      </c>
      <c r="L20" t="s">
        <v>1126</v>
      </c>
    </row>
    <row r="21" spans="1:12" x14ac:dyDescent="0.35">
      <c r="A21" t="s">
        <v>41</v>
      </c>
      <c r="B21" s="3">
        <v>0.42</v>
      </c>
    </row>
    <row r="22" spans="1:12" x14ac:dyDescent="0.35">
      <c r="A22" t="s">
        <v>1122</v>
      </c>
      <c r="B22" s="3">
        <v>1</v>
      </c>
    </row>
    <row r="34" spans="1:12" ht="15" thickBot="1" x14ac:dyDescent="0.4">
      <c r="A34" t="s">
        <v>28</v>
      </c>
    </row>
    <row r="35" spans="1:12" x14ac:dyDescent="0.35">
      <c r="A35" s="6" t="s">
        <v>28</v>
      </c>
      <c r="B35" s="6"/>
      <c r="L35" t="s">
        <v>1127</v>
      </c>
    </row>
    <row r="36" spans="1:12" x14ac:dyDescent="0.35">
      <c r="L36" t="s">
        <v>1128</v>
      </c>
    </row>
    <row r="37" spans="1:12" x14ac:dyDescent="0.35">
      <c r="A37" t="s">
        <v>1129</v>
      </c>
      <c r="B37">
        <v>457.452</v>
      </c>
      <c r="L37" t="s">
        <v>1130</v>
      </c>
    </row>
    <row r="38" spans="1:12" x14ac:dyDescent="0.35">
      <c r="A38" t="s">
        <v>1131</v>
      </c>
      <c r="B38">
        <v>11.612523307804263</v>
      </c>
      <c r="L38" t="s">
        <v>1132</v>
      </c>
    </row>
    <row r="39" spans="1:12" x14ac:dyDescent="0.35">
      <c r="A39" t="s">
        <v>1133</v>
      </c>
      <c r="B39">
        <v>446.5</v>
      </c>
    </row>
    <row r="40" spans="1:12" x14ac:dyDescent="0.35">
      <c r="A40" t="s">
        <v>1134</v>
      </c>
      <c r="B40">
        <v>608</v>
      </c>
    </row>
    <row r="41" spans="1:12" x14ac:dyDescent="0.35">
      <c r="A41" t="s">
        <v>1135</v>
      </c>
      <c r="B41">
        <v>183.61011517227016</v>
      </c>
    </row>
    <row r="42" spans="1:12" x14ac:dyDescent="0.35">
      <c r="A42" t="s">
        <v>1136</v>
      </c>
      <c r="B42">
        <v>33712.674393574307</v>
      </c>
    </row>
    <row r="43" spans="1:12" x14ac:dyDescent="0.35">
      <c r="A43" t="s">
        <v>1137</v>
      </c>
      <c r="B43">
        <v>0.27829527123244979</v>
      </c>
    </row>
    <row r="44" spans="1:12" x14ac:dyDescent="0.35">
      <c r="A44" t="s">
        <v>1138</v>
      </c>
      <c r="B44">
        <v>0.67601018405796542</v>
      </c>
    </row>
    <row r="45" spans="1:12" x14ac:dyDescent="0.35">
      <c r="A45" t="s">
        <v>1139</v>
      </c>
      <c r="B45">
        <v>1008</v>
      </c>
    </row>
    <row r="46" spans="1:12" x14ac:dyDescent="0.35">
      <c r="A46" t="s">
        <v>1140</v>
      </c>
      <c r="B46">
        <v>46</v>
      </c>
    </row>
    <row r="47" spans="1:12" x14ac:dyDescent="0.35">
      <c r="A47" t="s">
        <v>1141</v>
      </c>
      <c r="B47">
        <v>1054</v>
      </c>
    </row>
    <row r="48" spans="1:12" x14ac:dyDescent="0.35">
      <c r="A48" t="s">
        <v>1142</v>
      </c>
      <c r="B48">
        <v>114363</v>
      </c>
    </row>
    <row r="49" spans="1:12" x14ac:dyDescent="0.35">
      <c r="A49" t="s">
        <v>1143</v>
      </c>
      <c r="B49">
        <v>250</v>
      </c>
    </row>
    <row r="50" spans="1:12" ht="15" thickBot="1" x14ac:dyDescent="0.4">
      <c r="A50" s="5" t="s">
        <v>1144</v>
      </c>
      <c r="B50" s="5">
        <v>20.413192868811958</v>
      </c>
    </row>
    <row r="60" spans="1:12" ht="15" thickBot="1" x14ac:dyDescent="0.4">
      <c r="A60" t="s">
        <v>15</v>
      </c>
    </row>
    <row r="61" spans="1:12" x14ac:dyDescent="0.35">
      <c r="A61" s="6" t="s">
        <v>15</v>
      </c>
      <c r="B61" s="6"/>
      <c r="L61" s="9" t="s">
        <v>1145</v>
      </c>
    </row>
    <row r="62" spans="1:12" x14ac:dyDescent="0.35">
      <c r="L62" t="s">
        <v>1146</v>
      </c>
    </row>
    <row r="63" spans="1:12" x14ac:dyDescent="0.35">
      <c r="A63" t="s">
        <v>1129</v>
      </c>
      <c r="B63">
        <v>44.262799999999977</v>
      </c>
      <c r="L63" t="s">
        <v>1147</v>
      </c>
    </row>
    <row r="64" spans="1:12" x14ac:dyDescent="0.35">
      <c r="A64" t="s">
        <v>1131</v>
      </c>
      <c r="B64">
        <v>0.46818806573812366</v>
      </c>
      <c r="L64" t="s">
        <v>1148</v>
      </c>
    </row>
    <row r="65" spans="1:13" x14ac:dyDescent="0.35">
      <c r="A65" t="s">
        <v>1133</v>
      </c>
      <c r="B65">
        <v>45.5</v>
      </c>
    </row>
    <row r="66" spans="1:13" x14ac:dyDescent="0.35">
      <c r="A66" t="s">
        <v>1134</v>
      </c>
      <c r="B66">
        <v>46.9</v>
      </c>
    </row>
    <row r="67" spans="1:13" x14ac:dyDescent="0.35">
      <c r="A67" t="s">
        <v>1135</v>
      </c>
      <c r="B67">
        <v>7.4027033052055655</v>
      </c>
    </row>
    <row r="68" spans="1:13" x14ac:dyDescent="0.35">
      <c r="A68" t="s">
        <v>1136</v>
      </c>
      <c r="B68">
        <v>54.800016224901398</v>
      </c>
    </row>
    <row r="69" spans="1:13" x14ac:dyDescent="0.35">
      <c r="A69" t="s">
        <v>1137</v>
      </c>
      <c r="B69">
        <v>-0.28178370422701438</v>
      </c>
    </row>
    <row r="70" spans="1:13" x14ac:dyDescent="0.35">
      <c r="A70" t="s">
        <v>1138</v>
      </c>
      <c r="B70">
        <v>-0.23352352655519948</v>
      </c>
    </row>
    <row r="71" spans="1:13" x14ac:dyDescent="0.35">
      <c r="A71" t="s">
        <v>1139</v>
      </c>
      <c r="B71">
        <v>37.1</v>
      </c>
    </row>
    <row r="72" spans="1:13" x14ac:dyDescent="0.35">
      <c r="A72" t="s">
        <v>1140</v>
      </c>
      <c r="B72">
        <v>24.6</v>
      </c>
    </row>
    <row r="73" spans="1:13" x14ac:dyDescent="0.35">
      <c r="A73" t="s">
        <v>1141</v>
      </c>
      <c r="B73">
        <v>61.7</v>
      </c>
    </row>
    <row r="74" spans="1:13" x14ac:dyDescent="0.35">
      <c r="A74" t="s">
        <v>1142</v>
      </c>
      <c r="B74">
        <v>11065.699999999993</v>
      </c>
    </row>
    <row r="75" spans="1:13" ht="15" thickBot="1" x14ac:dyDescent="0.4">
      <c r="A75" s="5" t="s">
        <v>1143</v>
      </c>
      <c r="B75" s="5">
        <v>250</v>
      </c>
    </row>
    <row r="77" spans="1:13" ht="15" thickBot="1" x14ac:dyDescent="0.4">
      <c r="A77" t="s">
        <v>1149</v>
      </c>
    </row>
    <row r="78" spans="1:13" x14ac:dyDescent="0.35">
      <c r="A78" s="10" t="s">
        <v>30</v>
      </c>
      <c r="B78" s="10"/>
      <c r="M78" t="s">
        <v>1150</v>
      </c>
    </row>
    <row r="79" spans="1:13" x14ac:dyDescent="0.35">
      <c r="M79" t="s">
        <v>1151</v>
      </c>
    </row>
    <row r="80" spans="1:13" x14ac:dyDescent="0.35">
      <c r="A80" t="s">
        <v>1129</v>
      </c>
      <c r="B80">
        <v>6229297.9680000003</v>
      </c>
      <c r="M80" t="s">
        <v>1152</v>
      </c>
    </row>
    <row r="81" spans="1:13" x14ac:dyDescent="0.35">
      <c r="A81" t="s">
        <v>1131</v>
      </c>
      <c r="B81">
        <v>744175.01552572963</v>
      </c>
    </row>
    <row r="82" spans="1:13" x14ac:dyDescent="0.35">
      <c r="A82" t="s">
        <v>1133</v>
      </c>
      <c r="B82">
        <v>2093986</v>
      </c>
    </row>
    <row r="83" spans="1:13" x14ac:dyDescent="0.35">
      <c r="A83" t="s">
        <v>1134</v>
      </c>
      <c r="B83" t="e">
        <v>#N/A</v>
      </c>
    </row>
    <row r="84" spans="1:13" x14ac:dyDescent="0.35">
      <c r="A84" t="s">
        <v>1135</v>
      </c>
      <c r="B84">
        <v>11766440.134262359</v>
      </c>
    </row>
    <row r="85" spans="1:13" x14ac:dyDescent="0.35">
      <c r="A85" t="s">
        <v>1136</v>
      </c>
      <c r="B85">
        <v>138449113433179.98</v>
      </c>
    </row>
    <row r="86" spans="1:13" x14ac:dyDescent="0.35">
      <c r="A86" t="s">
        <v>1137</v>
      </c>
      <c r="B86">
        <v>14.270980041311503</v>
      </c>
    </row>
    <row r="87" spans="1:13" x14ac:dyDescent="0.35">
      <c r="A87" t="s">
        <v>1138</v>
      </c>
      <c r="B87">
        <v>3.6715638346927713</v>
      </c>
    </row>
    <row r="88" spans="1:13" x14ac:dyDescent="0.35">
      <c r="A88" t="s">
        <v>1139</v>
      </c>
      <c r="B88">
        <v>77624376</v>
      </c>
    </row>
    <row r="89" spans="1:13" x14ac:dyDescent="0.35">
      <c r="A89" t="s">
        <v>1140</v>
      </c>
      <c r="B89">
        <v>47970</v>
      </c>
    </row>
    <row r="90" spans="1:13" x14ac:dyDescent="0.35">
      <c r="A90" t="s">
        <v>1141</v>
      </c>
      <c r="B90">
        <v>77672346</v>
      </c>
    </row>
    <row r="91" spans="1:13" x14ac:dyDescent="0.35">
      <c r="A91" t="s">
        <v>1142</v>
      </c>
      <c r="B91">
        <v>1557324492</v>
      </c>
    </row>
    <row r="92" spans="1:13" ht="15" thickBot="1" x14ac:dyDescent="0.4">
      <c r="A92" s="5" t="s">
        <v>1143</v>
      </c>
      <c r="B92" s="5">
        <v>250</v>
      </c>
    </row>
    <row r="93" spans="1:13" ht="15" thickBot="1" x14ac:dyDescent="0.4"/>
    <row r="94" spans="1:13" x14ac:dyDescent="0.35">
      <c r="A94" s="10" t="s">
        <v>31</v>
      </c>
      <c r="B94" s="10"/>
    </row>
    <row r="95" spans="1:13" x14ac:dyDescent="0.35">
      <c r="M95" t="s">
        <v>1153</v>
      </c>
    </row>
    <row r="96" spans="1:13" x14ac:dyDescent="0.35">
      <c r="A96" t="s">
        <v>1129</v>
      </c>
      <c r="B96">
        <v>3405047.068</v>
      </c>
      <c r="M96" t="s">
        <v>1154</v>
      </c>
    </row>
    <row r="97" spans="1:13" x14ac:dyDescent="0.35">
      <c r="A97" t="s">
        <v>1131</v>
      </c>
      <c r="B97">
        <v>270074.38213663199</v>
      </c>
    </row>
    <row r="98" spans="1:13" x14ac:dyDescent="0.35">
      <c r="A98" t="s">
        <v>1133</v>
      </c>
      <c r="B98">
        <v>1861402</v>
      </c>
      <c r="M98" t="s">
        <v>1155</v>
      </c>
    </row>
    <row r="99" spans="1:13" x14ac:dyDescent="0.35">
      <c r="A99" t="s">
        <v>1134</v>
      </c>
      <c r="B99" t="e">
        <v>#N/A</v>
      </c>
      <c r="M99" s="11" t="s">
        <v>1156</v>
      </c>
    </row>
    <row r="100" spans="1:13" x14ac:dyDescent="0.35">
      <c r="A100" t="s">
        <v>1135</v>
      </c>
      <c r="B100">
        <v>4270250.9260722464</v>
      </c>
    </row>
    <row r="101" spans="1:13" x14ac:dyDescent="0.35">
      <c r="A101" t="s">
        <v>1136</v>
      </c>
      <c r="B101">
        <v>18235042971620.875</v>
      </c>
      <c r="M101" t="s">
        <v>1157</v>
      </c>
    </row>
    <row r="102" spans="1:13" x14ac:dyDescent="0.35">
      <c r="A102" t="s">
        <v>1137</v>
      </c>
      <c r="B102">
        <v>8.7571980309788575</v>
      </c>
      <c r="M102" s="11" t="s">
        <v>1158</v>
      </c>
    </row>
    <row r="103" spans="1:13" x14ac:dyDescent="0.35">
      <c r="A103" t="s">
        <v>1138</v>
      </c>
      <c r="B103">
        <v>2.7227265352503118</v>
      </c>
    </row>
    <row r="104" spans="1:13" x14ac:dyDescent="0.35">
      <c r="A104" t="s">
        <v>1139</v>
      </c>
      <c r="B104">
        <v>26214575</v>
      </c>
    </row>
    <row r="105" spans="1:13" x14ac:dyDescent="0.35">
      <c r="A105" t="s">
        <v>1140</v>
      </c>
      <c r="B105">
        <v>26400</v>
      </c>
    </row>
    <row r="106" spans="1:13" x14ac:dyDescent="0.35">
      <c r="A106" t="s">
        <v>1141</v>
      </c>
      <c r="B106">
        <v>26240975</v>
      </c>
    </row>
    <row r="107" spans="1:13" x14ac:dyDescent="0.35">
      <c r="A107" t="s">
        <v>1142</v>
      </c>
      <c r="B107">
        <v>851261767</v>
      </c>
    </row>
    <row r="108" spans="1:13" x14ac:dyDescent="0.35">
      <c r="A108" t="s">
        <v>1143</v>
      </c>
      <c r="B108">
        <v>250</v>
      </c>
    </row>
    <row r="109" spans="1:13" ht="15" thickBot="1" x14ac:dyDescent="0.4">
      <c r="A109" s="5" t="s">
        <v>1144</v>
      </c>
      <c r="B109" s="5">
        <v>474753.01494337537</v>
      </c>
    </row>
    <row r="114" spans="1:13" ht="15" thickBot="1" x14ac:dyDescent="0.4"/>
    <row r="115" spans="1:13" x14ac:dyDescent="0.35">
      <c r="A115" s="10" t="s">
        <v>1159</v>
      </c>
      <c r="B115" s="10"/>
      <c r="M115" t="s">
        <v>1160</v>
      </c>
    </row>
    <row r="116" spans="1:13" x14ac:dyDescent="0.35">
      <c r="M116" t="s">
        <v>1161</v>
      </c>
    </row>
    <row r="117" spans="1:13" x14ac:dyDescent="0.35">
      <c r="A117" t="s">
        <v>1129</v>
      </c>
      <c r="B117">
        <v>15388.236143657416</v>
      </c>
      <c r="M117" t="s">
        <v>1162</v>
      </c>
    </row>
    <row r="118" spans="1:13" x14ac:dyDescent="0.35">
      <c r="A118" t="s">
        <v>1131</v>
      </c>
      <c r="B118">
        <v>953.00865238407584</v>
      </c>
      <c r="M118" t="s">
        <v>1163</v>
      </c>
    </row>
    <row r="119" spans="1:13" x14ac:dyDescent="0.35">
      <c r="A119" t="s">
        <v>1133</v>
      </c>
      <c r="B119">
        <v>10978.760739589954</v>
      </c>
      <c r="M119" t="s">
        <v>1164</v>
      </c>
    </row>
    <row r="120" spans="1:13" x14ac:dyDescent="0.35">
      <c r="A120" t="s">
        <v>1134</v>
      </c>
      <c r="B120" t="e">
        <v>#N/A</v>
      </c>
    </row>
    <row r="121" spans="1:13" x14ac:dyDescent="0.35">
      <c r="A121" t="s">
        <v>1135</v>
      </c>
      <c r="B121">
        <v>15068.389856906679</v>
      </c>
    </row>
    <row r="122" spans="1:13" x14ac:dyDescent="0.35">
      <c r="A122" t="s">
        <v>1136</v>
      </c>
      <c r="B122">
        <v>227056372.87972808</v>
      </c>
    </row>
    <row r="123" spans="1:13" x14ac:dyDescent="0.35">
      <c r="A123" t="s">
        <v>1137</v>
      </c>
      <c r="B123">
        <v>6.4319115232112978</v>
      </c>
    </row>
    <row r="124" spans="1:13" x14ac:dyDescent="0.35">
      <c r="A124" t="s">
        <v>1138</v>
      </c>
      <c r="B124">
        <v>2.1972687527575463</v>
      </c>
    </row>
    <row r="125" spans="1:13" x14ac:dyDescent="0.35">
      <c r="A125" t="s">
        <v>1139</v>
      </c>
      <c r="B125">
        <v>96633.784006716043</v>
      </c>
    </row>
    <row r="126" spans="1:13" x14ac:dyDescent="0.35">
      <c r="A126" t="s">
        <v>1140</v>
      </c>
      <c r="B126">
        <v>1461.4198302144096</v>
      </c>
    </row>
    <row r="127" spans="1:13" x14ac:dyDescent="0.35">
      <c r="A127" t="s">
        <v>1141</v>
      </c>
      <c r="B127">
        <v>98095.20383693045</v>
      </c>
    </row>
    <row r="128" spans="1:13" x14ac:dyDescent="0.35">
      <c r="A128" t="s">
        <v>1142</v>
      </c>
      <c r="B128">
        <v>3847059.035914354</v>
      </c>
    </row>
    <row r="129" spans="1:13" x14ac:dyDescent="0.35">
      <c r="A129" t="s">
        <v>1143</v>
      </c>
      <c r="B129">
        <v>250</v>
      </c>
    </row>
    <row r="130" spans="1:13" ht="15" thickBot="1" x14ac:dyDescent="0.4">
      <c r="A130" s="5" t="s">
        <v>1144</v>
      </c>
      <c r="B130" s="5">
        <v>1675.2560069083843</v>
      </c>
    </row>
    <row r="135" spans="1:13" ht="15" thickBot="1" x14ac:dyDescent="0.4"/>
    <row r="136" spans="1:13" x14ac:dyDescent="0.35">
      <c r="A136" s="10" t="s">
        <v>1165</v>
      </c>
      <c r="B136" s="10"/>
      <c r="M136" t="s">
        <v>1166</v>
      </c>
    </row>
    <row r="137" spans="1:13" x14ac:dyDescent="0.35">
      <c r="M137" t="s">
        <v>1167</v>
      </c>
    </row>
    <row r="138" spans="1:13" x14ac:dyDescent="0.35">
      <c r="A138" t="s">
        <v>1129</v>
      </c>
      <c r="B138">
        <v>22775.357588188977</v>
      </c>
      <c r="M138" t="s">
        <v>1168</v>
      </c>
    </row>
    <row r="139" spans="1:13" x14ac:dyDescent="0.35">
      <c r="A139" t="s">
        <v>1131</v>
      </c>
      <c r="B139">
        <v>2491.8118508130683</v>
      </c>
      <c r="M139" t="s">
        <v>1169</v>
      </c>
    </row>
    <row r="140" spans="1:13" x14ac:dyDescent="0.35">
      <c r="A140" t="s">
        <v>1133</v>
      </c>
      <c r="B140">
        <v>9540.8289170481876</v>
      </c>
      <c r="M140" t="s">
        <v>1170</v>
      </c>
    </row>
    <row r="141" spans="1:13" x14ac:dyDescent="0.35">
      <c r="A141" t="s">
        <v>1134</v>
      </c>
      <c r="B141" t="e">
        <v>#N/A</v>
      </c>
    </row>
    <row r="142" spans="1:13" x14ac:dyDescent="0.35">
      <c r="A142" t="s">
        <v>1135</v>
      </c>
      <c r="B142">
        <v>39399.004745844941</v>
      </c>
    </row>
    <row r="143" spans="1:13" x14ac:dyDescent="0.35">
      <c r="A143" t="s">
        <v>1136</v>
      </c>
      <c r="B143">
        <v>1552281574.9631124</v>
      </c>
    </row>
    <row r="144" spans="1:13" x14ac:dyDescent="0.35">
      <c r="A144" t="s">
        <v>1137</v>
      </c>
      <c r="B144">
        <v>20.283335722651586</v>
      </c>
    </row>
    <row r="145" spans="1:13" x14ac:dyDescent="0.35">
      <c r="A145" t="s">
        <v>1138</v>
      </c>
      <c r="B145">
        <v>4.0662208148611283</v>
      </c>
    </row>
    <row r="146" spans="1:13" x14ac:dyDescent="0.35">
      <c r="A146" t="s">
        <v>1139</v>
      </c>
      <c r="B146">
        <v>318110.30763908528</v>
      </c>
    </row>
    <row r="147" spans="1:13" x14ac:dyDescent="0.35">
      <c r="A147" t="s">
        <v>1140</v>
      </c>
      <c r="B147">
        <v>1498.3133433283358</v>
      </c>
    </row>
    <row r="148" spans="1:13" x14ac:dyDescent="0.35">
      <c r="A148" t="s">
        <v>1141</v>
      </c>
      <c r="B148">
        <v>319608.62098241359</v>
      </c>
    </row>
    <row r="149" spans="1:13" x14ac:dyDescent="0.35">
      <c r="A149" t="s">
        <v>1142</v>
      </c>
      <c r="B149">
        <v>5693839.397047244</v>
      </c>
    </row>
    <row r="150" spans="1:13" x14ac:dyDescent="0.35">
      <c r="A150" t="s">
        <v>1143</v>
      </c>
      <c r="B150">
        <v>250</v>
      </c>
    </row>
    <row r="151" spans="1:13" ht="15" thickBot="1" x14ac:dyDescent="0.4">
      <c r="A151" s="5" t="s">
        <v>1144</v>
      </c>
      <c r="B151" s="5">
        <v>4380.2569480531229</v>
      </c>
    </row>
    <row r="153" spans="1:13" ht="15" thickBot="1" x14ac:dyDescent="0.4"/>
    <row r="154" spans="1:13" x14ac:dyDescent="0.35">
      <c r="A154" s="10" t="s">
        <v>1113</v>
      </c>
      <c r="B154" s="10"/>
    </row>
    <row r="155" spans="1:13" x14ac:dyDescent="0.35">
      <c r="M155" t="s">
        <v>1171</v>
      </c>
    </row>
    <row r="156" spans="1:13" x14ac:dyDescent="0.35">
      <c r="A156" t="s">
        <v>1129</v>
      </c>
      <c r="B156">
        <v>0.43049070138104373</v>
      </c>
      <c r="M156" t="s">
        <v>1172</v>
      </c>
    </row>
    <row r="157" spans="1:13" x14ac:dyDescent="0.35">
      <c r="A157" t="s">
        <v>1131</v>
      </c>
      <c r="B157">
        <v>5.547566072616735E-3</v>
      </c>
      <c r="M157" t="s">
        <v>1173</v>
      </c>
    </row>
    <row r="158" spans="1:13" x14ac:dyDescent="0.35">
      <c r="A158" t="s">
        <v>1133</v>
      </c>
      <c r="B158">
        <v>0.43956586091846062</v>
      </c>
    </row>
    <row r="159" spans="1:13" x14ac:dyDescent="0.35">
      <c r="A159" t="s">
        <v>1134</v>
      </c>
      <c r="B159" t="e">
        <v>#N/A</v>
      </c>
      <c r="M159" t="s">
        <v>1174</v>
      </c>
    </row>
    <row r="160" spans="1:13" x14ac:dyDescent="0.35">
      <c r="A160" t="s">
        <v>1135</v>
      </c>
      <c r="B160">
        <v>8.7714721298719669E-2</v>
      </c>
      <c r="M160" t="s">
        <v>1175</v>
      </c>
    </row>
    <row r="161" spans="1:13" x14ac:dyDescent="0.35">
      <c r="A161" t="s">
        <v>1136</v>
      </c>
      <c r="B161">
        <v>7.6938723325120665E-3</v>
      </c>
      <c r="M161" t="s">
        <v>1176</v>
      </c>
    </row>
    <row r="162" spans="1:13" x14ac:dyDescent="0.35">
      <c r="A162" t="s">
        <v>1137</v>
      </c>
      <c r="B162">
        <v>-0.35304851766571899</v>
      </c>
    </row>
    <row r="163" spans="1:13" x14ac:dyDescent="0.35">
      <c r="A163" t="s">
        <v>1138</v>
      </c>
      <c r="B163">
        <v>-0.29081296253877803</v>
      </c>
      <c r="M163" t="s">
        <v>1177</v>
      </c>
    </row>
    <row r="164" spans="1:13" x14ac:dyDescent="0.35">
      <c r="A164" t="s">
        <v>1139</v>
      </c>
      <c r="B164">
        <v>0.46844397640901991</v>
      </c>
      <c r="M164" t="s">
        <v>1178</v>
      </c>
    </row>
    <row r="165" spans="1:13" x14ac:dyDescent="0.35">
      <c r="A165" t="s">
        <v>1140</v>
      </c>
      <c r="B165">
        <v>0.18402576098416912</v>
      </c>
    </row>
    <row r="166" spans="1:13" x14ac:dyDescent="0.35">
      <c r="A166" t="s">
        <v>1141</v>
      </c>
      <c r="B166">
        <v>0.65246973739318903</v>
      </c>
    </row>
    <row r="167" spans="1:13" x14ac:dyDescent="0.35">
      <c r="A167" t="s">
        <v>1142</v>
      </c>
      <c r="B167">
        <v>107.62267534526093</v>
      </c>
    </row>
    <row r="168" spans="1:13" x14ac:dyDescent="0.35">
      <c r="A168" t="s">
        <v>1143</v>
      </c>
      <c r="B168">
        <v>250</v>
      </c>
    </row>
    <row r="169" spans="1:13" ht="15" thickBot="1" x14ac:dyDescent="0.4">
      <c r="A169" s="5" t="s">
        <v>1144</v>
      </c>
      <c r="B169" s="5">
        <v>9.7518457609206376E-3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0527-A2EE-45E3-8DCD-CD3CDECA2A11}">
  <dimension ref="A1:J18"/>
  <sheetViews>
    <sheetView tabSelected="1" workbookViewId="0">
      <selection activeCell="C17" sqref="C17"/>
    </sheetView>
  </sheetViews>
  <sheetFormatPr defaultColWidth="8.81640625" defaultRowHeight="14.5" x14ac:dyDescent="0.35"/>
  <cols>
    <col min="8" max="8" width="26.81640625" customWidth="1"/>
    <col min="9" max="9" width="12.453125" bestFit="1" customWidth="1"/>
    <col min="10" max="10" width="10.81640625" bestFit="1" customWidth="1"/>
  </cols>
  <sheetData>
    <row r="1" spans="1:10" x14ac:dyDescent="0.35">
      <c r="A1" t="s">
        <v>1179</v>
      </c>
    </row>
    <row r="3" spans="1:10" x14ac:dyDescent="0.35">
      <c r="A3" t="s">
        <v>1180</v>
      </c>
    </row>
    <row r="4" spans="1:10" x14ac:dyDescent="0.35">
      <c r="A4" t="s">
        <v>1181</v>
      </c>
    </row>
    <row r="6" spans="1:10" x14ac:dyDescent="0.35">
      <c r="A6" t="s">
        <v>1182</v>
      </c>
      <c r="H6" t="s">
        <v>1183</v>
      </c>
    </row>
    <row r="7" spans="1:10" ht="15" thickBot="1" x14ac:dyDescent="0.4"/>
    <row r="8" spans="1:10" x14ac:dyDescent="0.35">
      <c r="A8" t="s">
        <v>1184</v>
      </c>
      <c r="H8" s="6"/>
      <c r="I8" s="6" t="s">
        <v>1185</v>
      </c>
      <c r="J8" s="6" t="s">
        <v>1186</v>
      </c>
    </row>
    <row r="9" spans="1:10" x14ac:dyDescent="0.35">
      <c r="A9" t="s">
        <v>1187</v>
      </c>
      <c r="H9" t="s">
        <v>1129</v>
      </c>
      <c r="I9">
        <v>0.4259831505945178</v>
      </c>
      <c r="J9">
        <v>0.43375478988163163</v>
      </c>
    </row>
    <row r="10" spans="1:10" x14ac:dyDescent="0.35">
      <c r="H10" t="s">
        <v>1188</v>
      </c>
      <c r="I10">
        <v>8.9986629828653179E-3</v>
      </c>
      <c r="J10">
        <v>6.7794097180934442E-3</v>
      </c>
    </row>
    <row r="11" spans="1:10" x14ac:dyDescent="0.35">
      <c r="H11" t="s">
        <v>1189</v>
      </c>
      <c r="I11">
        <v>105</v>
      </c>
      <c r="J11">
        <v>145</v>
      </c>
    </row>
    <row r="12" spans="1:10" x14ac:dyDescent="0.35">
      <c r="H12" t="s">
        <v>1190</v>
      </c>
      <c r="I12">
        <v>0</v>
      </c>
    </row>
    <row r="13" spans="1:10" x14ac:dyDescent="0.35">
      <c r="H13" t="s">
        <v>1191</v>
      </c>
      <c r="I13">
        <v>204</v>
      </c>
    </row>
    <row r="14" spans="1:10" x14ac:dyDescent="0.35">
      <c r="H14" t="s">
        <v>1192</v>
      </c>
      <c r="I14">
        <v>-0.67526874686922422</v>
      </c>
    </row>
    <row r="15" spans="1:10" x14ac:dyDescent="0.35">
      <c r="H15" t="s">
        <v>1193</v>
      </c>
      <c r="I15">
        <v>0.25013485270806768</v>
      </c>
    </row>
    <row r="16" spans="1:10" x14ac:dyDescent="0.35">
      <c r="H16" t="s">
        <v>1194</v>
      </c>
      <c r="I16">
        <v>1.6523573259655893</v>
      </c>
    </row>
    <row r="17" spans="8:10" x14ac:dyDescent="0.35">
      <c r="H17" t="s">
        <v>1195</v>
      </c>
      <c r="I17" s="8">
        <v>0.50026970541613536</v>
      </c>
    </row>
    <row r="18" spans="8:10" ht="15" thickBot="1" x14ac:dyDescent="0.4">
      <c r="H18" s="5" t="s">
        <v>1196</v>
      </c>
      <c r="I18" s="5">
        <v>1.9716608894937595</v>
      </c>
      <c r="J18"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A65C-BAAF-42B5-A06D-82F396E94FB7}">
  <dimension ref="A1:O503"/>
  <sheetViews>
    <sheetView workbookViewId="0">
      <selection activeCell="O27" sqref="O27"/>
    </sheetView>
  </sheetViews>
  <sheetFormatPr defaultColWidth="8.81640625" defaultRowHeight="15" customHeight="1" x14ac:dyDescent="0.35"/>
  <cols>
    <col min="2" max="2" width="15.453125" bestFit="1" customWidth="1"/>
    <col min="3" max="3" width="14.453125" bestFit="1" customWidth="1"/>
    <col min="4" max="4" width="14.453125" customWidth="1"/>
    <col min="5" max="5" width="18.81640625" customWidth="1"/>
    <col min="6" max="8" width="14.453125" customWidth="1"/>
    <col min="9" max="9" width="13.453125" bestFit="1" customWidth="1"/>
    <col min="10" max="10" width="14.453125" bestFit="1" customWidth="1"/>
    <col min="15" max="15" width="9.1796875" style="3"/>
    <col min="16381" max="16381" width="8.453125" bestFit="1" customWidth="1"/>
    <col min="16382" max="16384" width="8.453125" customWidth="1"/>
  </cols>
  <sheetData>
    <row r="1" spans="1:10" ht="15" customHeight="1" x14ac:dyDescent="0.35">
      <c r="A1" t="s">
        <v>28</v>
      </c>
      <c r="B1" t="s">
        <v>15</v>
      </c>
      <c r="C1" t="s">
        <v>17</v>
      </c>
      <c r="D1" s="3" t="s">
        <v>1113</v>
      </c>
      <c r="F1" s="3"/>
      <c r="G1" s="3"/>
    </row>
    <row r="2" spans="1:10" ht="15" customHeight="1" x14ac:dyDescent="0.35">
      <c r="A2">
        <v>299</v>
      </c>
      <c r="B2" s="3">
        <v>0.54200000000000004</v>
      </c>
      <c r="C2" s="7">
        <v>5713327</v>
      </c>
      <c r="D2" s="3">
        <v>0.54392475697610165</v>
      </c>
      <c r="E2" s="7"/>
      <c r="F2" s="6"/>
      <c r="G2" s="6" t="s">
        <v>28</v>
      </c>
      <c r="H2" s="6" t="s">
        <v>15</v>
      </c>
      <c r="I2" s="6" t="s">
        <v>17</v>
      </c>
      <c r="J2" s="6" t="s">
        <v>1113</v>
      </c>
    </row>
    <row r="3" spans="1:10" ht="15" customHeight="1" x14ac:dyDescent="0.35">
      <c r="A3">
        <v>320</v>
      </c>
      <c r="B3" s="3">
        <v>0.6</v>
      </c>
      <c r="C3" s="7">
        <v>10627020</v>
      </c>
      <c r="D3" s="3">
        <v>0.5755838419425201</v>
      </c>
      <c r="E3" s="7"/>
      <c r="F3" t="s">
        <v>28</v>
      </c>
      <c r="G3">
        <v>1</v>
      </c>
    </row>
    <row r="4" spans="1:10" ht="15" customHeight="1" x14ac:dyDescent="0.35">
      <c r="A4">
        <v>201</v>
      </c>
      <c r="B4" s="3">
        <v>0.46299999999999997</v>
      </c>
      <c r="C4" s="7">
        <v>3589042</v>
      </c>
      <c r="D4" s="3">
        <v>0.54803203751864704</v>
      </c>
      <c r="E4" s="7"/>
      <c r="F4" t="s">
        <v>15</v>
      </c>
      <c r="G4">
        <v>-0.15550123533634763</v>
      </c>
      <c r="H4">
        <v>1</v>
      </c>
    </row>
    <row r="5" spans="1:10" ht="15" customHeight="1" x14ac:dyDescent="0.35">
      <c r="A5">
        <v>731</v>
      </c>
      <c r="B5" s="3">
        <v>0.47500000000000003</v>
      </c>
      <c r="C5" s="7">
        <v>29093061</v>
      </c>
      <c r="D5" s="3">
        <v>0.28834284573905783</v>
      </c>
      <c r="E5" s="7"/>
      <c r="F5" t="s">
        <v>17</v>
      </c>
      <c r="G5">
        <v>0.35460321603509309</v>
      </c>
      <c r="H5">
        <v>0.17558764437613941</v>
      </c>
      <c r="I5">
        <v>1</v>
      </c>
    </row>
    <row r="6" spans="1:10" ht="15" customHeight="1" x14ac:dyDescent="0.35">
      <c r="A6">
        <v>611</v>
      </c>
      <c r="B6" s="3">
        <v>0.498</v>
      </c>
      <c r="C6" s="7">
        <v>17346909</v>
      </c>
      <c r="D6" s="3">
        <v>0.4039700675203865</v>
      </c>
      <c r="E6" s="7"/>
      <c r="F6" s="5" t="s">
        <v>1113</v>
      </c>
      <c r="G6" s="5">
        <v>-0.41642082481735981</v>
      </c>
      <c r="H6" s="5">
        <v>0.52475697925369735</v>
      </c>
      <c r="I6" s="5">
        <v>-0.53673302371887821</v>
      </c>
      <c r="J6" s="5">
        <v>1</v>
      </c>
    </row>
    <row r="7" spans="1:10" ht="15" customHeight="1" x14ac:dyDescent="0.35">
      <c r="A7">
        <v>186</v>
      </c>
      <c r="B7" s="3">
        <v>0.40299999999999997</v>
      </c>
      <c r="C7" s="7">
        <v>690448</v>
      </c>
      <c r="D7" s="3">
        <v>0.40293258869603504</v>
      </c>
      <c r="E7" s="7"/>
      <c r="F7" s="3"/>
      <c r="G7" s="3"/>
      <c r="H7" s="7"/>
    </row>
    <row r="8" spans="1:10" ht="15" customHeight="1" x14ac:dyDescent="0.35">
      <c r="A8">
        <v>583</v>
      </c>
      <c r="B8" s="3">
        <v>0.42</v>
      </c>
      <c r="C8" s="7">
        <v>17876804</v>
      </c>
      <c r="D8" s="3">
        <v>0.31285010452651379</v>
      </c>
      <c r="E8" s="7"/>
      <c r="F8" s="3"/>
      <c r="G8" s="3"/>
      <c r="H8" s="7"/>
    </row>
    <row r="9" spans="1:10" ht="15" customHeight="1" x14ac:dyDescent="0.35">
      <c r="A9">
        <v>608</v>
      </c>
      <c r="B9" s="3">
        <v>0.32100000000000001</v>
      </c>
      <c r="C9" s="7">
        <v>2960787</v>
      </c>
      <c r="D9" s="3">
        <v>0.31673335501675737</v>
      </c>
      <c r="E9" s="7"/>
      <c r="F9" s="3"/>
      <c r="G9" s="3"/>
      <c r="H9" s="7"/>
    </row>
    <row r="10" spans="1:10" ht="15" customHeight="1" x14ac:dyDescent="0.35">
      <c r="A10">
        <v>730</v>
      </c>
      <c r="B10" s="3">
        <v>0.34500000000000003</v>
      </c>
      <c r="C10" s="7">
        <v>7007753</v>
      </c>
      <c r="D10" s="3">
        <v>0.35031314602555197</v>
      </c>
      <c r="E10" s="7"/>
      <c r="F10" s="3"/>
      <c r="G10" s="3"/>
      <c r="H10" s="7"/>
    </row>
    <row r="11" spans="1:10" ht="15" customHeight="1" x14ac:dyDescent="0.35">
      <c r="A11">
        <v>363</v>
      </c>
      <c r="B11" s="3">
        <v>0.35299999999999998</v>
      </c>
      <c r="C11" s="7">
        <v>7454057</v>
      </c>
      <c r="D11" s="3">
        <v>0.32327898753658579</v>
      </c>
      <c r="E11" s="7"/>
      <c r="F11" s="3"/>
      <c r="G11" s="3"/>
      <c r="H11" s="7"/>
    </row>
    <row r="12" spans="1:10" ht="15" customHeight="1" x14ac:dyDescent="0.35">
      <c r="A12">
        <v>213</v>
      </c>
      <c r="B12" s="3">
        <v>0.54900000000000004</v>
      </c>
      <c r="C12" s="7">
        <v>516439</v>
      </c>
      <c r="D12" s="3">
        <v>0.56119502980990976</v>
      </c>
      <c r="E12" s="7"/>
      <c r="F12" s="3"/>
      <c r="G12" s="3"/>
      <c r="H12" s="7"/>
    </row>
    <row r="13" spans="1:10" ht="15" customHeight="1" x14ac:dyDescent="0.35">
      <c r="A13">
        <v>579</v>
      </c>
      <c r="B13" s="3">
        <v>0.435</v>
      </c>
      <c r="C13" s="7">
        <v>12304601</v>
      </c>
      <c r="D13" s="3">
        <v>0.36915638304728449</v>
      </c>
      <c r="E13" s="7"/>
      <c r="F13" s="3"/>
      <c r="G13" s="3"/>
      <c r="H13" s="7"/>
    </row>
    <row r="14" spans="1:10" ht="15" customHeight="1" x14ac:dyDescent="0.35">
      <c r="A14">
        <v>194</v>
      </c>
      <c r="B14" s="3">
        <v>0.45900000000000002</v>
      </c>
      <c r="C14" s="7">
        <v>476923</v>
      </c>
      <c r="D14" s="3">
        <v>0.51914669663656399</v>
      </c>
      <c r="E14" s="7"/>
      <c r="F14" s="3"/>
      <c r="G14" s="3"/>
      <c r="H14" s="7"/>
    </row>
    <row r="15" spans="1:10" ht="15" customHeight="1" x14ac:dyDescent="0.35">
      <c r="A15">
        <v>414</v>
      </c>
      <c r="B15" s="3">
        <v>0.45900000000000002</v>
      </c>
      <c r="C15" s="7">
        <v>11004696</v>
      </c>
      <c r="D15" s="3">
        <v>0.49496387723931673</v>
      </c>
      <c r="E15" s="7"/>
      <c r="F15" s="3"/>
      <c r="G15" s="3"/>
      <c r="H15" s="7"/>
    </row>
    <row r="16" spans="1:10" ht="15" customHeight="1" x14ac:dyDescent="0.35">
      <c r="A16">
        <v>206</v>
      </c>
      <c r="B16" s="3">
        <v>0.56299999999999994</v>
      </c>
      <c r="C16" s="7">
        <v>372331</v>
      </c>
      <c r="D16" s="3">
        <v>0.49685897763011944</v>
      </c>
      <c r="E16" s="7"/>
      <c r="F16" s="3"/>
      <c r="G16" s="3"/>
      <c r="H16" s="7"/>
    </row>
    <row r="17" spans="1:8" ht="15" customHeight="1" x14ac:dyDescent="0.35">
      <c r="A17">
        <v>649</v>
      </c>
      <c r="B17" s="3">
        <v>0.378</v>
      </c>
      <c r="C17" s="7">
        <v>2762782</v>
      </c>
      <c r="D17" s="3">
        <v>0.42188163959371389</v>
      </c>
      <c r="E17" s="7"/>
      <c r="F17" s="3"/>
      <c r="G17" s="3"/>
      <c r="H17" s="7"/>
    </row>
    <row r="18" spans="1:8" ht="15" customHeight="1" x14ac:dyDescent="0.35">
      <c r="A18">
        <v>237</v>
      </c>
      <c r="B18" s="3">
        <v>0.44700000000000006</v>
      </c>
      <c r="C18" s="7">
        <v>1141701</v>
      </c>
      <c r="D18" s="3">
        <v>0.48259132645062058</v>
      </c>
      <c r="E18" s="7"/>
      <c r="F18" s="3"/>
      <c r="G18" s="3"/>
      <c r="H18" s="7"/>
    </row>
    <row r="19" spans="1:8" ht="15" customHeight="1" x14ac:dyDescent="0.35">
      <c r="A19">
        <v>520</v>
      </c>
      <c r="B19" s="3">
        <v>0.312</v>
      </c>
      <c r="C19" s="7">
        <v>2249065</v>
      </c>
      <c r="D19" s="3">
        <v>0.37684148746256779</v>
      </c>
      <c r="E19" s="7"/>
      <c r="F19" s="3"/>
      <c r="G19" s="3"/>
      <c r="H19" s="7"/>
    </row>
    <row r="20" spans="1:8" ht="15" customHeight="1" x14ac:dyDescent="0.35">
      <c r="A20">
        <v>749</v>
      </c>
      <c r="B20" s="3">
        <v>0.434</v>
      </c>
      <c r="C20" s="7">
        <v>4380868</v>
      </c>
      <c r="D20" s="3">
        <v>0.4391490453490039</v>
      </c>
      <c r="E20" s="7"/>
      <c r="F20" s="3"/>
      <c r="G20" s="3"/>
      <c r="H20" s="7"/>
    </row>
    <row r="21" spans="1:8" ht="15" customHeight="1" x14ac:dyDescent="0.35">
      <c r="A21">
        <v>224</v>
      </c>
      <c r="B21" s="3">
        <v>0.53100000000000003</v>
      </c>
      <c r="C21" s="7">
        <v>574568</v>
      </c>
      <c r="D21" s="3">
        <v>0.47653541443310454</v>
      </c>
      <c r="E21" s="7"/>
      <c r="F21" s="3"/>
      <c r="G21" s="3"/>
      <c r="H21" s="7"/>
    </row>
    <row r="22" spans="1:8" ht="15" customHeight="1" x14ac:dyDescent="0.35">
      <c r="A22">
        <v>560</v>
      </c>
      <c r="B22" s="3">
        <v>0.40700000000000003</v>
      </c>
      <c r="C22" s="7">
        <v>2450246</v>
      </c>
      <c r="D22" s="3">
        <v>0.4457311633199279</v>
      </c>
      <c r="E22" s="7"/>
      <c r="F22" s="3"/>
      <c r="G22" s="3"/>
      <c r="H22" s="7"/>
    </row>
    <row r="23" spans="1:8" ht="15" customHeight="1" x14ac:dyDescent="0.35">
      <c r="A23">
        <v>594</v>
      </c>
      <c r="B23" s="3">
        <v>0.40200000000000002</v>
      </c>
      <c r="C23" s="7">
        <v>6308712</v>
      </c>
      <c r="D23" s="3">
        <v>0.52485879843619432</v>
      </c>
      <c r="E23" s="7"/>
      <c r="F23" s="3"/>
      <c r="G23" s="3"/>
      <c r="H23" s="7"/>
    </row>
    <row r="24" spans="1:8" ht="15" customHeight="1" x14ac:dyDescent="0.35">
      <c r="A24">
        <v>898</v>
      </c>
      <c r="B24" s="3">
        <v>0.46</v>
      </c>
      <c r="C24" s="7">
        <v>71997827</v>
      </c>
      <c r="D24" s="3">
        <v>0.27270936940916285</v>
      </c>
      <c r="E24" s="7"/>
      <c r="F24" s="3"/>
      <c r="G24" s="3"/>
      <c r="H24" s="7"/>
    </row>
    <row r="25" spans="1:8" ht="15" customHeight="1" x14ac:dyDescent="0.35">
      <c r="A25">
        <v>755</v>
      </c>
      <c r="B25" s="3">
        <v>0.39200000000000002</v>
      </c>
      <c r="C25" s="7">
        <v>4089296</v>
      </c>
      <c r="D25" s="3">
        <v>0.38296445158286413</v>
      </c>
      <c r="E25" s="7"/>
      <c r="F25" s="3"/>
      <c r="G25" s="3"/>
      <c r="H25" s="7"/>
    </row>
    <row r="26" spans="1:8" ht="15" customHeight="1" x14ac:dyDescent="0.35">
      <c r="A26">
        <v>354</v>
      </c>
      <c r="B26" s="3">
        <v>0.503</v>
      </c>
      <c r="C26" s="7">
        <v>1188745</v>
      </c>
      <c r="D26" s="3">
        <v>0.53611581962489852</v>
      </c>
      <c r="E26" s="7"/>
      <c r="F26" s="3"/>
      <c r="G26" s="3"/>
      <c r="H26" s="7"/>
    </row>
    <row r="27" spans="1:8" ht="14.5" x14ac:dyDescent="0.35">
      <c r="A27">
        <v>330</v>
      </c>
      <c r="B27" s="3">
        <v>0.33</v>
      </c>
      <c r="C27" s="7">
        <v>2659044</v>
      </c>
      <c r="D27" s="3">
        <v>0.36495447235923889</v>
      </c>
      <c r="E27" s="7"/>
      <c r="F27" s="3"/>
      <c r="G27" s="3"/>
      <c r="H27" s="7"/>
    </row>
    <row r="28" spans="1:8" ht="14.5" x14ac:dyDescent="0.35">
      <c r="A28">
        <v>482</v>
      </c>
      <c r="B28" s="3">
        <v>0.46899999999999997</v>
      </c>
      <c r="C28" s="7">
        <v>14353706</v>
      </c>
      <c r="D28" s="3">
        <v>0.35471041416063559</v>
      </c>
      <c r="E28" s="7"/>
      <c r="F28" s="3"/>
      <c r="G28" s="3"/>
      <c r="H28" s="7"/>
    </row>
    <row r="29" spans="1:8" ht="14.5" x14ac:dyDescent="0.35">
      <c r="A29">
        <v>496</v>
      </c>
      <c r="B29" s="3">
        <v>0.44400000000000001</v>
      </c>
      <c r="C29" s="7">
        <v>5113232</v>
      </c>
      <c r="D29" s="3">
        <v>0.49486880313664627</v>
      </c>
      <c r="E29" s="7"/>
      <c r="F29" s="3"/>
      <c r="G29" s="3"/>
      <c r="H29" s="7"/>
    </row>
    <row r="30" spans="1:8" ht="14.5" x14ac:dyDescent="0.35">
      <c r="A30">
        <v>276</v>
      </c>
      <c r="B30" s="3">
        <v>0.5</v>
      </c>
      <c r="C30" s="7">
        <v>5975133</v>
      </c>
      <c r="D30" s="3">
        <v>0.59432735639524681</v>
      </c>
      <c r="E30" s="7"/>
      <c r="F30" s="3"/>
      <c r="G30" s="3"/>
      <c r="H30" s="7"/>
    </row>
    <row r="31" spans="1:8" ht="14.5" x14ac:dyDescent="0.35">
      <c r="A31">
        <v>475</v>
      </c>
      <c r="B31" s="3">
        <v>0.52200000000000002</v>
      </c>
      <c r="C31" s="7">
        <v>19767665</v>
      </c>
      <c r="D31" s="3">
        <v>0.40922263706917333</v>
      </c>
      <c r="E31" s="7"/>
      <c r="F31" s="3"/>
      <c r="G31" s="3"/>
      <c r="H31" s="7"/>
    </row>
    <row r="32" spans="1:8" ht="14.5" x14ac:dyDescent="0.35">
      <c r="A32">
        <v>381</v>
      </c>
      <c r="B32" s="3">
        <v>0.50700000000000001</v>
      </c>
      <c r="C32" s="7">
        <v>1581178</v>
      </c>
      <c r="D32" s="3">
        <v>0.53256116642149076</v>
      </c>
      <c r="E32" s="7"/>
      <c r="F32" s="3"/>
      <c r="G32" s="3"/>
      <c r="H32" s="7"/>
    </row>
    <row r="33" spans="1:8" ht="14.5" x14ac:dyDescent="0.35">
      <c r="A33">
        <v>341</v>
      </c>
      <c r="B33" s="3">
        <v>0.59200000000000008</v>
      </c>
      <c r="C33" s="7">
        <v>4416654</v>
      </c>
      <c r="D33" s="3">
        <v>0.55166286514633023</v>
      </c>
      <c r="E33" s="7"/>
      <c r="F33" s="3"/>
      <c r="G33" s="3"/>
      <c r="H33" s="7"/>
    </row>
    <row r="34" spans="1:8" ht="14.5" x14ac:dyDescent="0.35">
      <c r="A34">
        <v>479</v>
      </c>
      <c r="B34" s="3">
        <v>0.52</v>
      </c>
      <c r="C34" s="7">
        <v>13894714</v>
      </c>
      <c r="D34" s="3">
        <v>0.4997208290865145</v>
      </c>
      <c r="E34" s="7"/>
      <c r="F34" s="3"/>
      <c r="G34" s="3"/>
      <c r="H34" s="7"/>
    </row>
    <row r="35" spans="1:8" ht="14.5" x14ac:dyDescent="0.35">
      <c r="A35">
        <v>415</v>
      </c>
      <c r="B35" s="3">
        <v>0.47000000000000003</v>
      </c>
      <c r="C35" s="7">
        <v>43152829</v>
      </c>
      <c r="D35" s="3">
        <v>0.24496433362456954</v>
      </c>
      <c r="E35" s="7"/>
      <c r="F35" s="3"/>
      <c r="G35" s="3"/>
      <c r="H35" s="7"/>
    </row>
    <row r="36" spans="1:8" ht="14.5" x14ac:dyDescent="0.35">
      <c r="A36">
        <v>472</v>
      </c>
      <c r="B36" s="3">
        <v>0.33299999999999996</v>
      </c>
      <c r="C36" s="7">
        <v>4285223</v>
      </c>
      <c r="D36" s="3">
        <v>0.3082572365545504</v>
      </c>
      <c r="E36" s="7"/>
      <c r="F36" s="3"/>
      <c r="G36" s="3"/>
      <c r="H36" s="7"/>
    </row>
    <row r="37" spans="1:8" ht="14.5" x14ac:dyDescent="0.35">
      <c r="A37">
        <v>386</v>
      </c>
      <c r="B37" s="3">
        <v>0.376</v>
      </c>
      <c r="C37" s="7">
        <v>1291292</v>
      </c>
      <c r="D37" s="3">
        <v>0.40398995734504667</v>
      </c>
      <c r="E37" s="7"/>
      <c r="F37" s="3"/>
      <c r="G37" s="3"/>
      <c r="H37" s="7"/>
    </row>
    <row r="38" spans="1:8" ht="14.5" x14ac:dyDescent="0.35">
      <c r="A38">
        <v>416</v>
      </c>
      <c r="B38" s="3">
        <v>0.38900000000000001</v>
      </c>
      <c r="C38" s="7">
        <v>8786653</v>
      </c>
      <c r="D38" s="3">
        <v>0.34715255057870159</v>
      </c>
      <c r="E38" s="7"/>
      <c r="F38" s="3"/>
      <c r="G38" s="3"/>
      <c r="H38" s="7"/>
    </row>
    <row r="39" spans="1:8" ht="14.5" x14ac:dyDescent="0.35">
      <c r="A39">
        <v>452</v>
      </c>
      <c r="B39" s="3">
        <v>0.41600000000000004</v>
      </c>
      <c r="C39" s="7">
        <v>12765375</v>
      </c>
      <c r="D39" s="3">
        <v>0.39738950089597835</v>
      </c>
      <c r="E39" s="7"/>
      <c r="F39" s="3"/>
      <c r="G39" s="3"/>
      <c r="H39" s="7"/>
    </row>
    <row r="40" spans="1:8" ht="14.5" x14ac:dyDescent="0.35">
      <c r="A40">
        <v>525</v>
      </c>
      <c r="B40" s="3">
        <v>0.47000000000000003</v>
      </c>
      <c r="C40" s="7">
        <v>25794623</v>
      </c>
      <c r="D40" s="3">
        <v>0.26897353762448861</v>
      </c>
      <c r="E40" s="7"/>
      <c r="F40" s="3"/>
      <c r="G40" s="3"/>
      <c r="H40" s="7"/>
    </row>
    <row r="41" spans="1:8" ht="14.5" x14ac:dyDescent="0.35">
      <c r="A41">
        <v>259</v>
      </c>
      <c r="B41" s="3">
        <v>0.43200000000000005</v>
      </c>
      <c r="C41" s="7">
        <v>1423732</v>
      </c>
      <c r="D41" s="3">
        <v>0.4716168492384803</v>
      </c>
      <c r="E41" s="7"/>
      <c r="F41" s="3"/>
      <c r="G41" s="3"/>
      <c r="H41" s="7"/>
    </row>
    <row r="42" spans="1:8" ht="14.5" x14ac:dyDescent="0.35">
      <c r="A42">
        <v>752</v>
      </c>
      <c r="B42" s="3">
        <v>0.45600000000000002</v>
      </c>
      <c r="C42" s="7">
        <v>72761856</v>
      </c>
      <c r="D42" s="3">
        <v>0.29261778314176046</v>
      </c>
      <c r="E42" s="7"/>
      <c r="F42" s="3"/>
      <c r="G42" s="3"/>
      <c r="H42" s="7"/>
    </row>
    <row r="43" spans="1:8" ht="14.5" x14ac:dyDescent="0.35">
      <c r="A43">
        <v>457</v>
      </c>
      <c r="B43" s="3">
        <v>0.438</v>
      </c>
      <c r="C43" s="7">
        <v>1908200</v>
      </c>
      <c r="D43" s="3">
        <v>0.51606959438214028</v>
      </c>
      <c r="E43" s="7"/>
      <c r="F43" s="3"/>
      <c r="G43" s="3"/>
      <c r="H43" s="7"/>
    </row>
    <row r="44" spans="1:8" ht="14.5" x14ac:dyDescent="0.35">
      <c r="A44">
        <v>554</v>
      </c>
      <c r="B44" s="3">
        <v>0.28199999999999997</v>
      </c>
      <c r="C44" s="7">
        <v>6918234</v>
      </c>
      <c r="D44" s="3">
        <v>0.31469707442679734</v>
      </c>
      <c r="E44" s="7"/>
      <c r="F44" s="3"/>
      <c r="G44" s="3"/>
      <c r="H44" s="7"/>
    </row>
    <row r="45" spans="1:8" ht="14.5" x14ac:dyDescent="0.35">
      <c r="A45">
        <v>272</v>
      </c>
      <c r="B45" s="3">
        <v>0.45200000000000001</v>
      </c>
      <c r="C45" s="7">
        <v>4186109</v>
      </c>
      <c r="D45" s="3">
        <v>0.54614296952133834</v>
      </c>
      <c r="E45" s="7"/>
      <c r="F45" s="3"/>
      <c r="G45" s="3"/>
      <c r="H45" s="7"/>
    </row>
    <row r="46" spans="1:8" ht="14.5" x14ac:dyDescent="0.35">
      <c r="A46">
        <v>337</v>
      </c>
      <c r="B46" s="3">
        <v>0.48399999999999999</v>
      </c>
      <c r="C46" s="7">
        <v>614250</v>
      </c>
      <c r="D46" s="3">
        <v>0.53813105413105411</v>
      </c>
      <c r="E46" s="7"/>
      <c r="F46" s="3"/>
      <c r="G46" s="3"/>
      <c r="H46" s="7"/>
    </row>
    <row r="47" spans="1:8" ht="14.5" x14ac:dyDescent="0.35">
      <c r="A47">
        <v>203</v>
      </c>
      <c r="B47" s="3">
        <v>0.49299999999999999</v>
      </c>
      <c r="C47" s="7">
        <v>3418783</v>
      </c>
      <c r="D47" s="3">
        <v>0.50446460041482599</v>
      </c>
      <c r="E47" s="7"/>
      <c r="F47" s="3"/>
      <c r="G47" s="3"/>
      <c r="H47" s="7"/>
    </row>
    <row r="48" spans="1:8" ht="14.5" x14ac:dyDescent="0.35">
      <c r="A48">
        <v>215</v>
      </c>
      <c r="B48" s="3">
        <v>0.53</v>
      </c>
      <c r="C48" s="7">
        <v>4642905</v>
      </c>
      <c r="D48" s="3">
        <v>0.58409810237340631</v>
      </c>
      <c r="E48" s="7"/>
      <c r="F48" s="3"/>
      <c r="G48" s="3"/>
      <c r="H48" s="7"/>
    </row>
    <row r="49" spans="1:8" ht="14.5" x14ac:dyDescent="0.35">
      <c r="A49">
        <v>421</v>
      </c>
      <c r="B49" s="3">
        <v>0.45799999999999996</v>
      </c>
      <c r="C49" s="7">
        <v>4151886</v>
      </c>
      <c r="D49" s="3">
        <v>0.51520826920585006</v>
      </c>
      <c r="E49" s="7"/>
      <c r="F49" s="3"/>
      <c r="G49" s="3"/>
      <c r="H49" s="7"/>
    </row>
    <row r="50" spans="1:8" ht="14.5" x14ac:dyDescent="0.35">
      <c r="A50">
        <v>795</v>
      </c>
      <c r="B50" s="3">
        <v>0.39900000000000002</v>
      </c>
      <c r="C50" s="7">
        <v>3510734</v>
      </c>
      <c r="D50" s="3">
        <v>0.40470511294789069</v>
      </c>
      <c r="E50" s="7"/>
      <c r="F50" s="3"/>
      <c r="G50" s="3"/>
      <c r="H50" s="7"/>
    </row>
    <row r="51" spans="1:8" ht="14.5" x14ac:dyDescent="0.35">
      <c r="A51">
        <v>501</v>
      </c>
      <c r="B51" s="3">
        <v>0.47500000000000003</v>
      </c>
      <c r="C51" s="7">
        <v>1335767</v>
      </c>
      <c r="D51" s="3">
        <v>0.49659858343558422</v>
      </c>
      <c r="E51" s="7"/>
      <c r="F51" s="3"/>
      <c r="G51" s="3"/>
      <c r="H51" s="7"/>
    </row>
    <row r="52" spans="1:8" ht="14.5" x14ac:dyDescent="0.35">
      <c r="A52">
        <v>720</v>
      </c>
      <c r="B52" s="3">
        <v>0.48799999999999999</v>
      </c>
      <c r="C52" s="7">
        <v>80631180</v>
      </c>
      <c r="D52" s="3">
        <v>0.25677233050539505</v>
      </c>
      <c r="E52" s="7"/>
      <c r="F52" s="3"/>
      <c r="G52" s="3"/>
      <c r="H52" s="7"/>
    </row>
    <row r="53" spans="1:8" ht="14.5" x14ac:dyDescent="0.35">
      <c r="A53">
        <v>321</v>
      </c>
      <c r="B53" s="3">
        <v>0.53900000000000003</v>
      </c>
      <c r="C53" s="7">
        <v>8542548</v>
      </c>
      <c r="D53" s="3">
        <v>0.51713551975359107</v>
      </c>
      <c r="E53" s="7"/>
      <c r="F53" s="3"/>
      <c r="G53" s="3"/>
      <c r="H53" s="7"/>
    </row>
    <row r="54" spans="1:8" ht="14.5" x14ac:dyDescent="0.35">
      <c r="A54">
        <v>464</v>
      </c>
      <c r="B54" s="3">
        <v>0.46100000000000002</v>
      </c>
      <c r="C54" s="7">
        <v>12386814</v>
      </c>
      <c r="D54" s="3">
        <v>0.50755949027732228</v>
      </c>
      <c r="E54" s="7"/>
      <c r="F54" s="3"/>
      <c r="G54" s="3"/>
      <c r="H54" s="7"/>
    </row>
    <row r="55" spans="1:8" ht="14.5" x14ac:dyDescent="0.35">
      <c r="A55">
        <v>292</v>
      </c>
      <c r="B55" s="3">
        <v>0.46200000000000002</v>
      </c>
      <c r="C55" s="7">
        <v>1116865</v>
      </c>
      <c r="D55" s="3">
        <v>0.48403164214117195</v>
      </c>
      <c r="E55" s="7"/>
      <c r="F55" s="3"/>
      <c r="G55" s="3"/>
      <c r="H55" s="7"/>
    </row>
    <row r="56" spans="1:8" ht="14.5" x14ac:dyDescent="0.35">
      <c r="A56">
        <v>608</v>
      </c>
      <c r="B56" s="3">
        <v>0.433</v>
      </c>
      <c r="C56" s="7">
        <v>52735058</v>
      </c>
      <c r="D56" s="3">
        <v>0.26037420874743328</v>
      </c>
      <c r="E56" s="7"/>
      <c r="F56" s="3"/>
      <c r="G56" s="3"/>
      <c r="H56" s="7"/>
    </row>
    <row r="57" spans="1:8" ht="14.5" x14ac:dyDescent="0.35">
      <c r="A57">
        <v>606</v>
      </c>
      <c r="B57" s="3">
        <v>0.502</v>
      </c>
      <c r="C57" s="7">
        <v>51713559</v>
      </c>
      <c r="D57" s="3">
        <v>0.22690381839702814</v>
      </c>
      <c r="E57" s="7"/>
      <c r="F57" s="3"/>
      <c r="G57" s="3"/>
      <c r="H57" s="7"/>
    </row>
    <row r="58" spans="1:8" ht="14.5" x14ac:dyDescent="0.35">
      <c r="A58">
        <v>454</v>
      </c>
      <c r="B58" s="3">
        <v>0.42100000000000004</v>
      </c>
      <c r="C58" s="7">
        <v>6549507</v>
      </c>
      <c r="D58" s="3">
        <v>0.47711346823509004</v>
      </c>
      <c r="E58" s="7"/>
      <c r="F58" s="3"/>
      <c r="G58" s="3"/>
      <c r="H58" s="7"/>
    </row>
    <row r="59" spans="1:8" ht="14.5" x14ac:dyDescent="0.35">
      <c r="A59">
        <v>240</v>
      </c>
      <c r="B59" s="3">
        <v>0.57100000000000006</v>
      </c>
      <c r="C59" s="7">
        <v>3858415</v>
      </c>
      <c r="D59" s="3">
        <v>0.502801798147685</v>
      </c>
      <c r="E59" s="7"/>
      <c r="F59" s="3"/>
      <c r="G59" s="3"/>
      <c r="H59" s="7"/>
    </row>
    <row r="60" spans="1:8" ht="14.5" x14ac:dyDescent="0.35">
      <c r="A60">
        <v>559</v>
      </c>
      <c r="B60" s="3">
        <v>0.36499999999999999</v>
      </c>
      <c r="C60" s="7">
        <v>5739417</v>
      </c>
      <c r="D60" s="3">
        <v>0.38441796440300469</v>
      </c>
      <c r="E60" s="7"/>
      <c r="F60" s="3"/>
      <c r="G60" s="3"/>
      <c r="H60" s="7"/>
    </row>
    <row r="61" spans="1:8" ht="14.5" x14ac:dyDescent="0.35">
      <c r="A61">
        <v>480</v>
      </c>
      <c r="B61" s="3">
        <v>0.5</v>
      </c>
      <c r="C61" s="7">
        <v>11882284</v>
      </c>
      <c r="D61" s="3">
        <v>0.38218342534145794</v>
      </c>
      <c r="E61" s="7"/>
      <c r="F61" s="3"/>
      <c r="G61" s="3"/>
      <c r="H61" s="7"/>
    </row>
    <row r="62" spans="1:8" ht="14.5" x14ac:dyDescent="0.35">
      <c r="A62">
        <v>128</v>
      </c>
      <c r="B62" s="3">
        <v>0.46899999999999997</v>
      </c>
      <c r="C62" s="7">
        <v>3296000</v>
      </c>
      <c r="D62" s="3">
        <v>0.48998968446601943</v>
      </c>
      <c r="E62" s="7"/>
      <c r="F62" s="3"/>
      <c r="G62" s="3"/>
      <c r="H62" s="7"/>
    </row>
    <row r="63" spans="1:8" ht="14.5" x14ac:dyDescent="0.35">
      <c r="A63">
        <v>194</v>
      </c>
      <c r="B63" s="3">
        <v>0.47899999999999998</v>
      </c>
      <c r="C63" s="7">
        <v>2000067</v>
      </c>
      <c r="D63" s="3">
        <v>0.43966177133066042</v>
      </c>
      <c r="E63" s="7"/>
      <c r="F63" s="3"/>
      <c r="G63" s="3"/>
      <c r="H63" s="7"/>
    </row>
    <row r="64" spans="1:8" ht="14.5" x14ac:dyDescent="0.35">
      <c r="A64">
        <v>796</v>
      </c>
      <c r="B64" s="3">
        <v>0.42100000000000004</v>
      </c>
      <c r="C64" s="7">
        <v>101627591</v>
      </c>
      <c r="D64" s="3">
        <v>0.23571595827751146</v>
      </c>
      <c r="E64" s="7"/>
      <c r="F64" s="3"/>
      <c r="G64" s="3"/>
      <c r="H64" s="7"/>
    </row>
    <row r="65" spans="1:8" ht="14.5" x14ac:dyDescent="0.35">
      <c r="A65">
        <v>371</v>
      </c>
      <c r="B65" s="3">
        <v>0.32100000000000001</v>
      </c>
      <c r="C65" s="7">
        <v>1849317</v>
      </c>
      <c r="D65" s="3">
        <v>0.33878832022849514</v>
      </c>
      <c r="E65" s="7"/>
      <c r="F65" s="3"/>
      <c r="G65" s="3"/>
      <c r="H65" s="7"/>
    </row>
    <row r="66" spans="1:8" ht="14.5" x14ac:dyDescent="0.35">
      <c r="A66">
        <v>596</v>
      </c>
      <c r="B66" s="3">
        <v>0.38400000000000001</v>
      </c>
      <c r="C66" s="7">
        <v>3029389</v>
      </c>
      <c r="D66" s="3">
        <v>0.38608841584887249</v>
      </c>
      <c r="E66" s="7"/>
      <c r="F66" s="3"/>
      <c r="G66" s="3"/>
      <c r="H66" s="7"/>
    </row>
    <row r="67" spans="1:8" ht="14.5" x14ac:dyDescent="0.35">
      <c r="A67">
        <v>314</v>
      </c>
      <c r="B67" s="3">
        <v>0.433</v>
      </c>
      <c r="C67" s="7">
        <v>3672052</v>
      </c>
      <c r="D67" s="3">
        <v>0.43271146487032319</v>
      </c>
      <c r="E67" s="7"/>
      <c r="F67" s="3"/>
      <c r="G67" s="3"/>
      <c r="H67" s="7"/>
    </row>
    <row r="68" spans="1:8" ht="14.5" x14ac:dyDescent="0.35">
      <c r="A68">
        <v>427</v>
      </c>
      <c r="B68" s="3">
        <v>0.51500000000000001</v>
      </c>
      <c r="C68" s="7">
        <v>10417036</v>
      </c>
      <c r="D68" s="3">
        <v>0.4780039158931581</v>
      </c>
      <c r="E68" s="7"/>
      <c r="F68" s="3"/>
      <c r="G68" s="3"/>
      <c r="H68" s="7"/>
    </row>
    <row r="69" spans="1:8" ht="14.5" x14ac:dyDescent="0.35">
      <c r="A69">
        <v>460</v>
      </c>
      <c r="B69" s="3">
        <v>0.38300000000000001</v>
      </c>
      <c r="C69" s="7">
        <v>2088018</v>
      </c>
      <c r="D69" s="3">
        <v>0.37581285218805582</v>
      </c>
      <c r="E69" s="7"/>
      <c r="F69" s="3"/>
      <c r="G69" s="3"/>
      <c r="H69" s="7"/>
    </row>
    <row r="70" spans="1:8" ht="14.5" x14ac:dyDescent="0.35">
      <c r="A70">
        <v>402</v>
      </c>
      <c r="B70" s="3">
        <v>0.49</v>
      </c>
      <c r="C70" s="7">
        <v>17044487</v>
      </c>
      <c r="D70" s="3">
        <v>0.47869243585917254</v>
      </c>
      <c r="E70" s="7"/>
      <c r="F70" s="3"/>
      <c r="G70" s="3"/>
      <c r="H70" s="7"/>
    </row>
    <row r="71" spans="1:8" ht="14.5" x14ac:dyDescent="0.35">
      <c r="A71">
        <v>113</v>
      </c>
      <c r="B71" s="3">
        <v>0.46899999999999997</v>
      </c>
      <c r="C71" s="7">
        <v>303545</v>
      </c>
      <c r="D71" s="3">
        <v>0.50442932678844987</v>
      </c>
      <c r="E71" s="7"/>
      <c r="F71" s="3"/>
      <c r="G71" s="3"/>
      <c r="H71" s="7"/>
    </row>
    <row r="72" spans="1:8" ht="14.5" x14ac:dyDescent="0.35">
      <c r="A72">
        <v>398</v>
      </c>
      <c r="B72" s="3">
        <v>0.34700000000000003</v>
      </c>
      <c r="C72" s="7">
        <v>4010897</v>
      </c>
      <c r="D72" s="3">
        <v>0.41017981763181655</v>
      </c>
      <c r="E72" s="7"/>
      <c r="F72" s="3"/>
      <c r="G72" s="3"/>
      <c r="H72" s="7"/>
    </row>
    <row r="73" spans="1:8" ht="14.5" x14ac:dyDescent="0.35">
      <c r="A73">
        <v>737</v>
      </c>
      <c r="B73" s="3">
        <v>0.48700000000000004</v>
      </c>
      <c r="C73" s="7">
        <v>2824403</v>
      </c>
      <c r="D73" s="3">
        <v>0.44537164136987534</v>
      </c>
      <c r="E73" s="7"/>
      <c r="F73" s="3"/>
      <c r="G73" s="3"/>
      <c r="H73" s="7"/>
    </row>
    <row r="74" spans="1:8" ht="14.5" x14ac:dyDescent="0.35">
      <c r="A74">
        <v>796</v>
      </c>
      <c r="B74" s="3">
        <v>0.45600000000000002</v>
      </c>
      <c r="C74" s="7">
        <v>4268961</v>
      </c>
      <c r="D74" s="3">
        <v>0.44578036669812632</v>
      </c>
      <c r="E74" s="7"/>
      <c r="F74" s="3"/>
      <c r="G74" s="3"/>
      <c r="H74" s="7"/>
    </row>
    <row r="75" spans="1:8" ht="14.5" x14ac:dyDescent="0.35">
      <c r="A75">
        <v>377</v>
      </c>
      <c r="B75" s="3">
        <v>0.43</v>
      </c>
      <c r="C75" s="7">
        <v>21164677</v>
      </c>
      <c r="D75" s="3">
        <v>0.33413668443888844</v>
      </c>
      <c r="E75" s="7"/>
      <c r="F75" s="3"/>
      <c r="G75" s="3"/>
      <c r="H75" s="7"/>
    </row>
    <row r="76" spans="1:8" ht="14.5" x14ac:dyDescent="0.35">
      <c r="A76">
        <v>481</v>
      </c>
      <c r="B76" s="3">
        <v>0.39500000000000002</v>
      </c>
      <c r="C76" s="7">
        <v>28809882</v>
      </c>
      <c r="D76" s="3">
        <v>0.28716198837607182</v>
      </c>
      <c r="E76" s="7"/>
      <c r="F76" s="3"/>
      <c r="G76" s="3"/>
      <c r="H76" s="7"/>
    </row>
    <row r="77" spans="1:8" ht="14.5" x14ac:dyDescent="0.35">
      <c r="A77">
        <v>811</v>
      </c>
      <c r="B77" s="3">
        <v>0.35499999999999998</v>
      </c>
      <c r="C77" s="7">
        <v>3033895</v>
      </c>
      <c r="D77" s="3">
        <v>0.34080678467778219</v>
      </c>
      <c r="E77" s="7"/>
      <c r="F77" s="3"/>
      <c r="G77" s="3"/>
      <c r="H77" s="7"/>
    </row>
    <row r="78" spans="1:8" ht="14.5" x14ac:dyDescent="0.35">
      <c r="A78">
        <v>298</v>
      </c>
      <c r="B78" s="3">
        <v>0.55400000000000005</v>
      </c>
      <c r="C78" s="7">
        <v>719237</v>
      </c>
      <c r="D78" s="3">
        <v>0.53388938555719467</v>
      </c>
      <c r="E78" s="7"/>
      <c r="F78" s="3"/>
      <c r="G78" s="3"/>
      <c r="H78" s="7"/>
    </row>
    <row r="79" spans="1:8" ht="14.5" x14ac:dyDescent="0.35">
      <c r="A79">
        <v>386</v>
      </c>
      <c r="B79" s="3">
        <v>0.48399999999999999</v>
      </c>
      <c r="C79" s="7">
        <v>828075</v>
      </c>
      <c r="D79" s="3">
        <v>0.43727681671346197</v>
      </c>
      <c r="E79" s="7"/>
      <c r="F79" s="3"/>
      <c r="G79" s="3"/>
      <c r="H79" s="7"/>
    </row>
    <row r="80" spans="1:8" ht="14.5" x14ac:dyDescent="0.35">
      <c r="A80">
        <v>358</v>
      </c>
      <c r="B80" s="3">
        <v>0.26300000000000001</v>
      </c>
      <c r="C80" s="7">
        <v>3549181</v>
      </c>
      <c r="D80" s="3">
        <v>0.25820830214069107</v>
      </c>
      <c r="E80" s="7"/>
      <c r="F80" s="3"/>
      <c r="G80" s="3"/>
      <c r="H80" s="7"/>
    </row>
    <row r="81" spans="1:8" ht="14.5" x14ac:dyDescent="0.35">
      <c r="A81">
        <v>447</v>
      </c>
      <c r="B81" s="3">
        <v>0.45</v>
      </c>
      <c r="C81" s="7">
        <v>14258775</v>
      </c>
      <c r="D81" s="3">
        <v>0.47214280329130659</v>
      </c>
      <c r="E81" s="7"/>
      <c r="F81" s="3"/>
      <c r="G81" s="3"/>
      <c r="H81" s="7"/>
    </row>
    <row r="82" spans="1:8" ht="14.5" x14ac:dyDescent="0.35">
      <c r="A82">
        <v>499</v>
      </c>
      <c r="B82" s="3">
        <v>0.51100000000000001</v>
      </c>
      <c r="C82" s="7">
        <v>7836144</v>
      </c>
      <c r="D82" s="3">
        <v>0.51073563732366323</v>
      </c>
      <c r="E82" s="7"/>
      <c r="F82" s="3"/>
      <c r="G82" s="3"/>
      <c r="H82" s="7"/>
    </row>
    <row r="83" spans="1:8" ht="14.5" x14ac:dyDescent="0.35">
      <c r="A83">
        <v>474</v>
      </c>
      <c r="B83" s="3">
        <v>0.39200000000000002</v>
      </c>
      <c r="C83" s="7">
        <v>2683821</v>
      </c>
      <c r="D83" s="3">
        <v>0.36821867032115779</v>
      </c>
      <c r="E83" s="7"/>
      <c r="F83" s="3"/>
      <c r="G83" s="3"/>
      <c r="H83" s="7"/>
    </row>
    <row r="84" spans="1:8" ht="14.5" x14ac:dyDescent="0.35">
      <c r="A84">
        <v>549</v>
      </c>
      <c r="B84" s="3">
        <v>0.37200000000000005</v>
      </c>
      <c r="C84" s="7">
        <v>12333372</v>
      </c>
      <c r="D84" s="3">
        <v>0.3850633873688396</v>
      </c>
      <c r="E84" s="7"/>
      <c r="F84" s="3"/>
      <c r="G84" s="3"/>
      <c r="H84" s="7"/>
    </row>
    <row r="85" spans="1:8" ht="14.5" x14ac:dyDescent="0.35">
      <c r="A85">
        <v>571</v>
      </c>
      <c r="B85" s="3">
        <v>0.48499999999999999</v>
      </c>
      <c r="C85" s="7">
        <v>18045694</v>
      </c>
      <c r="D85" s="3">
        <v>0.42194464784784669</v>
      </c>
      <c r="E85" s="7"/>
      <c r="F85" s="3"/>
      <c r="G85" s="3"/>
      <c r="H85" s="7"/>
    </row>
    <row r="86" spans="1:8" ht="14.5" x14ac:dyDescent="0.35">
      <c r="A86">
        <v>320</v>
      </c>
      <c r="B86" s="3">
        <v>0.46299999999999997</v>
      </c>
      <c r="C86" s="7">
        <v>3095117</v>
      </c>
      <c r="D86" s="3">
        <v>0.50060078504302097</v>
      </c>
      <c r="E86" s="7"/>
      <c r="F86" s="3"/>
      <c r="G86" s="3"/>
      <c r="H86" s="7"/>
    </row>
    <row r="87" spans="1:8" ht="14.5" x14ac:dyDescent="0.35">
      <c r="A87">
        <v>368</v>
      </c>
      <c r="B87" s="3">
        <v>0.47000000000000003</v>
      </c>
      <c r="C87" s="7">
        <v>705952</v>
      </c>
      <c r="D87" s="3">
        <v>0.49396559539458773</v>
      </c>
      <c r="E87" s="7"/>
      <c r="F87" s="3"/>
      <c r="G87" s="3"/>
      <c r="H87" s="7"/>
    </row>
    <row r="88" spans="1:8" ht="14.5" x14ac:dyDescent="0.35">
      <c r="A88">
        <v>1007</v>
      </c>
      <c r="B88" s="3">
        <v>0.47399999999999998</v>
      </c>
      <c r="C88" s="7">
        <v>17022019</v>
      </c>
      <c r="D88" s="3">
        <v>0.3804243785651984</v>
      </c>
      <c r="E88" s="7"/>
      <c r="F88" s="3"/>
      <c r="G88" s="3"/>
      <c r="H88" s="7"/>
    </row>
    <row r="89" spans="1:8" ht="14.5" x14ac:dyDescent="0.35">
      <c r="A89">
        <v>514</v>
      </c>
      <c r="B89" s="3">
        <v>0.57399999999999995</v>
      </c>
      <c r="C89" s="7">
        <v>4648360</v>
      </c>
      <c r="D89" s="3">
        <v>0.50812867333855383</v>
      </c>
      <c r="E89" s="7"/>
      <c r="F89" s="3"/>
      <c r="G89" s="3"/>
      <c r="H89" s="7"/>
    </row>
    <row r="90" spans="1:8" ht="14.5" x14ac:dyDescent="0.35">
      <c r="A90">
        <v>693</v>
      </c>
      <c r="B90" s="3">
        <v>0.51400000000000001</v>
      </c>
      <c r="C90" s="7">
        <v>22344165</v>
      </c>
      <c r="D90" s="3">
        <v>0.47231086952678697</v>
      </c>
      <c r="E90" s="7"/>
      <c r="F90" s="3"/>
      <c r="G90" s="3"/>
      <c r="H90" s="7"/>
    </row>
    <row r="91" spans="1:8" ht="14.5" x14ac:dyDescent="0.35">
      <c r="A91">
        <v>477</v>
      </c>
      <c r="B91" s="3">
        <v>0.44</v>
      </c>
      <c r="C91" s="7">
        <v>1211938</v>
      </c>
      <c r="D91" s="3">
        <v>0.50249517714602565</v>
      </c>
      <c r="E91" s="7"/>
      <c r="F91" s="3"/>
      <c r="G91" s="3"/>
      <c r="H91" s="7"/>
    </row>
    <row r="92" spans="1:8" ht="14.5" x14ac:dyDescent="0.35">
      <c r="A92">
        <v>223</v>
      </c>
      <c r="B92" s="3">
        <v>0.42600000000000005</v>
      </c>
      <c r="C92" s="7">
        <v>846593</v>
      </c>
      <c r="D92" s="3">
        <v>0.48548121706652431</v>
      </c>
      <c r="E92" s="7"/>
      <c r="F92" s="3"/>
      <c r="G92" s="3"/>
      <c r="H92" s="7"/>
    </row>
    <row r="93" spans="1:8" ht="14.5" x14ac:dyDescent="0.35">
      <c r="A93">
        <v>450</v>
      </c>
      <c r="B93" s="3">
        <v>0.48200000000000004</v>
      </c>
      <c r="C93" s="7">
        <v>9456989</v>
      </c>
      <c r="D93" s="3">
        <v>0.46808587807387741</v>
      </c>
      <c r="E93" s="7"/>
      <c r="F93" s="3"/>
      <c r="G93" s="3"/>
      <c r="H93" s="7"/>
    </row>
    <row r="94" spans="1:8" ht="14.5" x14ac:dyDescent="0.35">
      <c r="A94">
        <v>426</v>
      </c>
      <c r="B94" s="3">
        <v>0.48600000000000004</v>
      </c>
      <c r="C94" s="7">
        <v>2571335</v>
      </c>
      <c r="D94" s="3">
        <v>0.50654815494674943</v>
      </c>
      <c r="E94" s="7"/>
      <c r="F94" s="3"/>
      <c r="G94" s="3"/>
      <c r="H94" s="7"/>
    </row>
    <row r="95" spans="1:8" ht="14.5" x14ac:dyDescent="0.35">
      <c r="A95">
        <v>574</v>
      </c>
      <c r="B95" s="3">
        <v>0.43700000000000006</v>
      </c>
      <c r="C95" s="7">
        <v>10968228</v>
      </c>
      <c r="D95" s="3">
        <v>0.44019298285921848</v>
      </c>
      <c r="E95" s="7"/>
      <c r="F95" s="3"/>
      <c r="G95" s="3"/>
      <c r="H95" s="7"/>
    </row>
    <row r="96" spans="1:8" ht="14.5" x14ac:dyDescent="0.35">
      <c r="A96">
        <v>330</v>
      </c>
      <c r="B96" s="3">
        <v>0.49700000000000005</v>
      </c>
      <c r="C96" s="7">
        <v>797743</v>
      </c>
      <c r="D96" s="3">
        <v>0.52127188831490845</v>
      </c>
      <c r="E96" s="7"/>
      <c r="F96" s="3"/>
      <c r="G96" s="3"/>
      <c r="H96" s="7"/>
    </row>
    <row r="97" spans="1:8" ht="14.5" x14ac:dyDescent="0.35">
      <c r="A97">
        <v>460</v>
      </c>
      <c r="B97" s="3">
        <v>0.42200000000000004</v>
      </c>
      <c r="C97" s="7">
        <v>12034064</v>
      </c>
      <c r="D97" s="3">
        <v>0.37151148606156659</v>
      </c>
      <c r="E97" s="7"/>
      <c r="F97" s="3"/>
      <c r="G97" s="3"/>
      <c r="H97" s="7"/>
    </row>
    <row r="98" spans="1:8" ht="14.5" x14ac:dyDescent="0.35">
      <c r="A98">
        <v>906</v>
      </c>
      <c r="B98" s="3">
        <v>0.32299999999999995</v>
      </c>
      <c r="C98" s="7">
        <v>3136616</v>
      </c>
      <c r="D98" s="3">
        <v>0.37382102240121201</v>
      </c>
      <c r="E98" s="7"/>
      <c r="F98" s="3"/>
      <c r="G98" s="3"/>
      <c r="H98" s="7"/>
    </row>
    <row r="99" spans="1:8" ht="14.5" x14ac:dyDescent="0.35">
      <c r="A99">
        <v>425</v>
      </c>
      <c r="B99" s="3">
        <v>0.51500000000000001</v>
      </c>
      <c r="C99" s="7">
        <v>84330744</v>
      </c>
      <c r="D99" s="3">
        <v>0.2187982238126584</v>
      </c>
      <c r="E99" s="7"/>
      <c r="F99" s="3"/>
      <c r="G99" s="3"/>
      <c r="H99" s="7"/>
    </row>
    <row r="100" spans="1:8" ht="14.5" x14ac:dyDescent="0.35">
      <c r="A100">
        <v>274</v>
      </c>
      <c r="B100" s="3">
        <v>0.36499999999999999</v>
      </c>
      <c r="C100" s="7">
        <v>2411340</v>
      </c>
      <c r="D100" s="3">
        <v>0.3102088465334627</v>
      </c>
      <c r="E100" s="7"/>
      <c r="F100" s="3"/>
      <c r="G100" s="3"/>
      <c r="H100" s="7"/>
    </row>
    <row r="101" spans="1:8" ht="14.5" x14ac:dyDescent="0.35">
      <c r="A101">
        <v>545</v>
      </c>
      <c r="B101" s="3">
        <v>0.39100000000000001</v>
      </c>
      <c r="C101" s="7">
        <v>44745806</v>
      </c>
      <c r="D101" s="3">
        <v>0.18402576098416912</v>
      </c>
      <c r="E101" s="7"/>
      <c r="F101" s="3"/>
      <c r="G101" s="3"/>
      <c r="H101" s="7"/>
    </row>
    <row r="102" spans="1:8" ht="14.5" x14ac:dyDescent="0.35">
      <c r="A102">
        <v>354</v>
      </c>
      <c r="B102" s="3">
        <v>0.49700000000000005</v>
      </c>
      <c r="C102" s="7">
        <v>1218797</v>
      </c>
      <c r="D102" s="3">
        <v>0.48477802291932126</v>
      </c>
      <c r="E102" s="7"/>
      <c r="F102" s="3"/>
      <c r="G102" s="3"/>
      <c r="H102" s="7"/>
    </row>
    <row r="103" spans="1:8" ht="14.5" x14ac:dyDescent="0.35">
      <c r="A103">
        <v>359</v>
      </c>
      <c r="B103" s="3">
        <v>0.51500000000000001</v>
      </c>
      <c r="C103" s="7">
        <v>816915</v>
      </c>
      <c r="D103" s="3">
        <v>0.42949021624036771</v>
      </c>
      <c r="E103" s="7"/>
      <c r="F103" s="3"/>
      <c r="G103" s="3"/>
      <c r="H103" s="7"/>
    </row>
    <row r="104" spans="1:8" ht="14.5" x14ac:dyDescent="0.35">
      <c r="A104">
        <v>353</v>
      </c>
      <c r="B104" s="3">
        <v>0.58600000000000008</v>
      </c>
      <c r="C104" s="7">
        <v>9711258</v>
      </c>
      <c r="D104" s="3">
        <v>0.49103936894684497</v>
      </c>
      <c r="E104" s="7"/>
      <c r="F104" s="3"/>
      <c r="G104" s="3"/>
      <c r="H104" s="7"/>
    </row>
    <row r="105" spans="1:8" ht="14.5" x14ac:dyDescent="0.35">
      <c r="A105">
        <v>321</v>
      </c>
      <c r="B105" s="3">
        <v>0.498</v>
      </c>
      <c r="C105" s="7">
        <v>577835</v>
      </c>
      <c r="D105" s="3">
        <v>0.49344709129768877</v>
      </c>
      <c r="E105" s="7"/>
      <c r="F105" s="3"/>
      <c r="G105" s="3"/>
      <c r="H105" s="7"/>
    </row>
    <row r="106" spans="1:8" ht="14.5" x14ac:dyDescent="0.35">
      <c r="A106">
        <v>502</v>
      </c>
      <c r="B106" s="3">
        <v>0.41000000000000003</v>
      </c>
      <c r="C106" s="7">
        <v>5013233</v>
      </c>
      <c r="D106" s="3">
        <v>0.45773356235387425</v>
      </c>
      <c r="E106" s="7"/>
      <c r="F106" s="3"/>
      <c r="G106" s="3"/>
      <c r="H106" s="7"/>
    </row>
    <row r="107" spans="1:8" ht="14.5" x14ac:dyDescent="0.35">
      <c r="A107">
        <v>488</v>
      </c>
      <c r="B107" s="3">
        <v>0.58200000000000007</v>
      </c>
      <c r="C107" s="7">
        <v>15346032</v>
      </c>
      <c r="D107" s="3">
        <v>0.38056052535274265</v>
      </c>
      <c r="E107" s="7"/>
      <c r="F107" s="3"/>
      <c r="G107" s="3"/>
      <c r="H107" s="7"/>
    </row>
    <row r="108" spans="1:8" ht="14.5" x14ac:dyDescent="0.35">
      <c r="A108">
        <v>446</v>
      </c>
      <c r="B108" s="3">
        <v>0.48200000000000004</v>
      </c>
      <c r="C108" s="7">
        <v>2148214</v>
      </c>
      <c r="D108" s="3">
        <v>0.51610640280716913</v>
      </c>
      <c r="E108" s="7"/>
      <c r="F108" s="3"/>
      <c r="G108" s="3"/>
      <c r="H108" s="7"/>
    </row>
    <row r="109" spans="1:8" ht="14.5" x14ac:dyDescent="0.35">
      <c r="A109">
        <v>608</v>
      </c>
      <c r="B109" s="3">
        <v>0.42100000000000004</v>
      </c>
      <c r="C109" s="7">
        <v>4328227</v>
      </c>
      <c r="D109" s="3">
        <v>0.46964935064635011</v>
      </c>
      <c r="E109" s="7"/>
      <c r="F109" s="3"/>
      <c r="G109" s="3"/>
      <c r="H109" s="7"/>
    </row>
    <row r="110" spans="1:8" ht="14.5" x14ac:dyDescent="0.35">
      <c r="A110">
        <v>450</v>
      </c>
      <c r="B110" s="3">
        <v>0.504</v>
      </c>
      <c r="C110" s="7">
        <v>4582583</v>
      </c>
      <c r="D110" s="3">
        <v>0.5473432777976962</v>
      </c>
      <c r="E110" s="7"/>
      <c r="F110" s="3"/>
      <c r="G110" s="3"/>
      <c r="H110" s="7"/>
    </row>
    <row r="111" spans="1:8" ht="14.5" x14ac:dyDescent="0.35">
      <c r="A111">
        <v>451</v>
      </c>
      <c r="B111" s="3">
        <v>0.51900000000000002</v>
      </c>
      <c r="C111" s="7">
        <v>5213193</v>
      </c>
      <c r="D111" s="3">
        <v>0.65213795077220427</v>
      </c>
      <c r="E111" s="7"/>
      <c r="F111" s="3"/>
      <c r="G111" s="3"/>
      <c r="H111" s="7"/>
    </row>
    <row r="112" spans="1:8" ht="14.5" x14ac:dyDescent="0.35">
      <c r="A112">
        <v>183</v>
      </c>
      <c r="B112" s="3">
        <v>0.54600000000000004</v>
      </c>
      <c r="C112" s="7">
        <v>7379063</v>
      </c>
      <c r="D112" s="3">
        <v>0.45598811122767213</v>
      </c>
      <c r="E112" s="7"/>
      <c r="F112" s="3"/>
      <c r="G112" s="3"/>
      <c r="H112" s="7"/>
    </row>
    <row r="113" spans="1:8" ht="14.5" x14ac:dyDescent="0.35">
      <c r="A113">
        <v>546</v>
      </c>
      <c r="B113" s="3">
        <v>0.56600000000000006</v>
      </c>
      <c r="C113" s="7">
        <v>6939737</v>
      </c>
      <c r="D113" s="3">
        <v>0.53689268051512617</v>
      </c>
      <c r="E113" s="7"/>
      <c r="F113" s="3"/>
      <c r="G113" s="3"/>
      <c r="H113" s="7"/>
    </row>
    <row r="114" spans="1:8" ht="14.5" x14ac:dyDescent="0.35">
      <c r="A114">
        <v>505</v>
      </c>
      <c r="B114" s="3">
        <v>0.39200000000000002</v>
      </c>
      <c r="C114" s="7">
        <v>2026466</v>
      </c>
      <c r="D114" s="3">
        <v>0.38120600098891372</v>
      </c>
      <c r="E114" s="7"/>
      <c r="F114" s="3"/>
      <c r="G114" s="3"/>
      <c r="H114" s="7"/>
    </row>
    <row r="115" spans="1:8" ht="14.5" x14ac:dyDescent="0.35">
      <c r="A115">
        <v>221</v>
      </c>
      <c r="B115" s="3">
        <v>0.43</v>
      </c>
      <c r="C115" s="7">
        <v>4217557</v>
      </c>
      <c r="D115" s="3">
        <v>0.49027505733769572</v>
      </c>
      <c r="E115" s="7"/>
      <c r="F115" s="3"/>
      <c r="G115" s="3"/>
      <c r="H115" s="7"/>
    </row>
    <row r="116" spans="1:8" ht="14.5" x14ac:dyDescent="0.35">
      <c r="A116">
        <v>448</v>
      </c>
      <c r="B116" s="3">
        <v>0.42899999999999999</v>
      </c>
      <c r="C116" s="7">
        <v>11134589</v>
      </c>
      <c r="D116" s="3">
        <v>0.45618064573375811</v>
      </c>
      <c r="E116" s="7"/>
      <c r="F116" s="3"/>
      <c r="G116" s="3"/>
      <c r="H116" s="7"/>
    </row>
    <row r="117" spans="1:8" ht="14.5" x14ac:dyDescent="0.35">
      <c r="A117">
        <v>386</v>
      </c>
      <c r="B117" s="3">
        <v>0.26900000000000002</v>
      </c>
      <c r="C117" s="7">
        <v>1620709</v>
      </c>
      <c r="D117" s="3">
        <v>0.31220286923809271</v>
      </c>
      <c r="E117" s="7"/>
      <c r="F117" s="3"/>
      <c r="G117" s="3"/>
      <c r="H117" s="7"/>
    </row>
    <row r="118" spans="1:8" ht="14.5" x14ac:dyDescent="0.35">
      <c r="A118">
        <v>471</v>
      </c>
      <c r="B118" s="3">
        <v>0.46899999999999997</v>
      </c>
      <c r="C118" s="7">
        <v>6679239</v>
      </c>
      <c r="D118" s="3">
        <v>0.54773635140170907</v>
      </c>
      <c r="E118" s="7"/>
      <c r="F118" s="3"/>
      <c r="G118" s="3"/>
      <c r="H118" s="7"/>
    </row>
    <row r="119" spans="1:8" ht="14.5" x14ac:dyDescent="0.35">
      <c r="A119">
        <v>509</v>
      </c>
      <c r="B119" s="3">
        <v>0.46600000000000003</v>
      </c>
      <c r="C119" s="7">
        <v>24959807</v>
      </c>
      <c r="D119" s="3">
        <v>0.31393588099459263</v>
      </c>
      <c r="E119" s="7"/>
      <c r="F119" s="3"/>
      <c r="G119" s="3"/>
      <c r="H119" s="7"/>
    </row>
    <row r="120" spans="1:8" ht="14.5" x14ac:dyDescent="0.35">
      <c r="A120">
        <v>482</v>
      </c>
      <c r="B120" s="3">
        <v>0.39200000000000002</v>
      </c>
      <c r="C120" s="7">
        <v>10959152</v>
      </c>
      <c r="D120" s="3">
        <v>0.42669925556283916</v>
      </c>
      <c r="E120" s="7"/>
      <c r="F120" s="3"/>
      <c r="G120" s="3"/>
      <c r="H120" s="7"/>
    </row>
    <row r="121" spans="1:8" ht="14.5" x14ac:dyDescent="0.35">
      <c r="A121">
        <v>227</v>
      </c>
      <c r="B121" s="3">
        <v>0.61699999999999999</v>
      </c>
      <c r="C121" s="7">
        <v>357459</v>
      </c>
      <c r="D121" s="3">
        <v>0.57261112463247532</v>
      </c>
      <c r="E121" s="7"/>
      <c r="F121" s="3"/>
      <c r="G121" s="3"/>
      <c r="H121" s="7"/>
    </row>
    <row r="122" spans="1:8" ht="14.5" x14ac:dyDescent="0.35">
      <c r="A122">
        <v>292</v>
      </c>
      <c r="B122" s="3">
        <v>0.46600000000000003</v>
      </c>
      <c r="C122" s="7">
        <v>1107410</v>
      </c>
      <c r="D122" s="3">
        <v>0.52215078426237793</v>
      </c>
      <c r="E122" s="7"/>
      <c r="F122" s="3"/>
      <c r="G122" s="3"/>
      <c r="H122" s="7"/>
    </row>
    <row r="123" spans="1:8" ht="14.5" x14ac:dyDescent="0.35">
      <c r="A123">
        <v>255</v>
      </c>
      <c r="B123" s="3">
        <v>0.49</v>
      </c>
      <c r="C123" s="7">
        <v>4122237</v>
      </c>
      <c r="D123" s="3">
        <v>0.55197408591500197</v>
      </c>
      <c r="E123" s="7"/>
      <c r="F123" s="3"/>
      <c r="G123" s="3"/>
      <c r="H123" s="7"/>
    </row>
    <row r="124" spans="1:8" ht="14.5" x14ac:dyDescent="0.35">
      <c r="A124">
        <v>933</v>
      </c>
      <c r="B124" s="3">
        <v>0.33</v>
      </c>
      <c r="C124" s="7">
        <v>2832463</v>
      </c>
      <c r="D124" s="3">
        <v>0.32445790112704032</v>
      </c>
      <c r="E124" s="7"/>
      <c r="F124" s="3"/>
      <c r="G124" s="3"/>
      <c r="H124" s="7"/>
    </row>
    <row r="125" spans="1:8" ht="14.5" x14ac:dyDescent="0.35">
      <c r="A125">
        <v>337</v>
      </c>
      <c r="B125" s="3">
        <v>0.46899999999999997</v>
      </c>
      <c r="C125" s="7">
        <v>4303941</v>
      </c>
      <c r="D125" s="3">
        <v>0.52530808391657791</v>
      </c>
      <c r="E125" s="7"/>
      <c r="F125" s="3"/>
      <c r="G125" s="3"/>
      <c r="H125" s="7"/>
    </row>
    <row r="126" spans="1:8" ht="14.5" x14ac:dyDescent="0.35">
      <c r="A126">
        <v>333</v>
      </c>
      <c r="B126" s="3">
        <v>0.39900000000000002</v>
      </c>
      <c r="C126" s="7">
        <v>3403074</v>
      </c>
      <c r="D126" s="3">
        <v>0.47835045608764309</v>
      </c>
      <c r="E126" s="7"/>
      <c r="F126" s="3"/>
      <c r="G126" s="3"/>
      <c r="H126" s="7"/>
    </row>
    <row r="127" spans="1:8" ht="14.5" x14ac:dyDescent="0.35">
      <c r="A127">
        <v>402</v>
      </c>
      <c r="B127" s="3">
        <v>0.52500000000000002</v>
      </c>
      <c r="C127" s="7">
        <v>2562929</v>
      </c>
      <c r="D127" s="3">
        <v>0.5693282958677357</v>
      </c>
      <c r="E127" s="7"/>
      <c r="F127" s="3"/>
      <c r="G127" s="3"/>
      <c r="H127" s="7"/>
    </row>
    <row r="128" spans="1:8" ht="14.5" x14ac:dyDescent="0.35">
      <c r="A128">
        <v>46</v>
      </c>
      <c r="B128" s="3">
        <v>0.30399999999999999</v>
      </c>
      <c r="C128" s="7">
        <v>74370</v>
      </c>
      <c r="D128" s="3">
        <v>0.35498184751916095</v>
      </c>
      <c r="E128" s="7"/>
      <c r="F128" s="3"/>
      <c r="G128" s="3"/>
      <c r="H128" s="7"/>
    </row>
    <row r="129" spans="1:8" ht="14.5" x14ac:dyDescent="0.35">
      <c r="A129">
        <v>627</v>
      </c>
      <c r="B129" s="3">
        <v>0.58899999999999997</v>
      </c>
      <c r="C129" s="7">
        <v>79719731</v>
      </c>
      <c r="D129" s="3">
        <v>0.32916537312450289</v>
      </c>
      <c r="E129" s="7"/>
      <c r="F129" s="3"/>
      <c r="G129" s="3"/>
      <c r="H129" s="7"/>
    </row>
    <row r="130" spans="1:8" ht="14.5" x14ac:dyDescent="0.35">
      <c r="A130">
        <v>216</v>
      </c>
      <c r="B130" s="3">
        <v>0.49100000000000005</v>
      </c>
      <c r="C130" s="7">
        <v>3653764</v>
      </c>
      <c r="D130" s="3">
        <v>0.50665259168353516</v>
      </c>
      <c r="E130" s="7"/>
      <c r="F130" s="3"/>
      <c r="G130" s="3"/>
      <c r="H130" s="7"/>
    </row>
    <row r="131" spans="1:8" ht="14.5" x14ac:dyDescent="0.35">
      <c r="A131">
        <v>364</v>
      </c>
      <c r="B131" s="3">
        <v>0.48899999999999999</v>
      </c>
      <c r="C131" s="7">
        <v>1789311</v>
      </c>
      <c r="D131" s="3">
        <v>0.49277291650249733</v>
      </c>
      <c r="E131" s="7"/>
      <c r="F131" s="3"/>
      <c r="G131" s="3"/>
      <c r="H131" s="7"/>
    </row>
    <row r="132" spans="1:8" ht="14.5" x14ac:dyDescent="0.35">
      <c r="A132">
        <v>313</v>
      </c>
      <c r="B132" s="3">
        <v>0.45700000000000002</v>
      </c>
      <c r="C132" s="7">
        <v>3004339</v>
      </c>
      <c r="D132" s="3">
        <v>0.50831014742344327</v>
      </c>
      <c r="E132" s="7"/>
      <c r="F132" s="3"/>
      <c r="G132" s="3"/>
      <c r="H132" s="7"/>
    </row>
    <row r="133" spans="1:8" ht="14.5" x14ac:dyDescent="0.35">
      <c r="A133">
        <v>685</v>
      </c>
      <c r="B133" s="3">
        <v>0.45700000000000002</v>
      </c>
      <c r="C133" s="7">
        <v>3098688</v>
      </c>
      <c r="D133" s="3">
        <v>0.42024463256707356</v>
      </c>
      <c r="E133" s="7"/>
      <c r="F133" s="3"/>
      <c r="G133" s="3"/>
      <c r="H133" s="7"/>
    </row>
    <row r="134" spans="1:8" ht="14.5" x14ac:dyDescent="0.35">
      <c r="A134">
        <v>685</v>
      </c>
      <c r="B134" s="3">
        <v>0.33100000000000002</v>
      </c>
      <c r="C134" s="7">
        <v>1884240</v>
      </c>
      <c r="D134" s="3">
        <v>0.36791650745128007</v>
      </c>
      <c r="E134" s="7"/>
      <c r="F134" s="3"/>
      <c r="G134" s="3"/>
      <c r="H134" s="7"/>
    </row>
    <row r="135" spans="1:8" ht="14.5" x14ac:dyDescent="0.35">
      <c r="A135">
        <v>324</v>
      </c>
      <c r="B135" s="3">
        <v>0.29600000000000004</v>
      </c>
      <c r="C135" s="7">
        <v>4018248</v>
      </c>
      <c r="D135" s="3">
        <v>0.35872250791887411</v>
      </c>
      <c r="E135" s="7"/>
      <c r="F135" s="3"/>
      <c r="G135" s="3"/>
      <c r="H135" s="7"/>
    </row>
    <row r="136" spans="1:8" ht="14.5" x14ac:dyDescent="0.35">
      <c r="A136">
        <v>443</v>
      </c>
      <c r="B136" s="3">
        <v>0.49700000000000005</v>
      </c>
      <c r="C136" s="7">
        <v>18703190</v>
      </c>
      <c r="D136" s="3">
        <v>0.37486733546523349</v>
      </c>
      <c r="E136" s="7"/>
      <c r="F136" s="3"/>
      <c r="G136" s="3"/>
      <c r="H136" s="7"/>
    </row>
    <row r="137" spans="1:8" ht="14.5" x14ac:dyDescent="0.35">
      <c r="A137">
        <v>264</v>
      </c>
      <c r="B137" s="3">
        <v>0.46200000000000002</v>
      </c>
      <c r="C137" s="7">
        <v>1482726</v>
      </c>
      <c r="D137" s="3">
        <v>0.469748287950707</v>
      </c>
      <c r="E137" s="7"/>
      <c r="F137" s="3"/>
      <c r="G137" s="3"/>
      <c r="H137" s="7"/>
    </row>
    <row r="138" spans="1:8" ht="14.5" x14ac:dyDescent="0.35">
      <c r="A138">
        <v>769</v>
      </c>
      <c r="B138" s="3">
        <v>0.33799999999999997</v>
      </c>
      <c r="C138" s="7">
        <v>4854278</v>
      </c>
      <c r="D138" s="3">
        <v>0.42035272804730178</v>
      </c>
      <c r="E138" s="7"/>
      <c r="F138" s="3"/>
      <c r="G138" s="3"/>
      <c r="H138" s="7"/>
    </row>
    <row r="139" spans="1:8" ht="14.5" x14ac:dyDescent="0.35">
      <c r="A139">
        <v>545</v>
      </c>
      <c r="B139" s="3">
        <v>0.34100000000000003</v>
      </c>
      <c r="C139" s="7">
        <v>2641910</v>
      </c>
      <c r="D139" s="3">
        <v>0.38754121071497516</v>
      </c>
      <c r="E139" s="7"/>
      <c r="F139" s="3"/>
      <c r="G139" s="3"/>
      <c r="H139" s="7"/>
    </row>
    <row r="140" spans="1:8" ht="14.5" x14ac:dyDescent="0.35">
      <c r="A140">
        <v>605</v>
      </c>
      <c r="B140" s="3">
        <v>0.41000000000000003</v>
      </c>
      <c r="C140" s="7">
        <v>3016591</v>
      </c>
      <c r="D140" s="3">
        <v>0.45927605034955021</v>
      </c>
      <c r="E140" s="7"/>
      <c r="F140" s="3"/>
      <c r="G140" s="3"/>
      <c r="H140" s="7"/>
    </row>
    <row r="141" spans="1:8" ht="14.5" x14ac:dyDescent="0.35">
      <c r="A141">
        <v>211</v>
      </c>
      <c r="B141" s="3">
        <v>0.24600000000000002</v>
      </c>
      <c r="C141" s="7">
        <v>695585</v>
      </c>
      <c r="D141" s="3">
        <v>0.34315432333934748</v>
      </c>
      <c r="E141" s="7"/>
      <c r="F141" s="3"/>
      <c r="G141" s="3"/>
      <c r="H141" s="7"/>
    </row>
    <row r="142" spans="1:8" ht="14.5" x14ac:dyDescent="0.35">
      <c r="A142">
        <v>308</v>
      </c>
      <c r="B142" s="3">
        <v>0.40899999999999997</v>
      </c>
      <c r="C142" s="7">
        <v>742945</v>
      </c>
      <c r="D142" s="3">
        <v>0.50855985301738349</v>
      </c>
      <c r="E142" s="7"/>
      <c r="F142" s="3"/>
      <c r="G142" s="3"/>
      <c r="H142" s="7"/>
    </row>
    <row r="143" spans="1:8" ht="14.5" x14ac:dyDescent="0.35">
      <c r="A143">
        <v>165</v>
      </c>
      <c r="B143" s="3">
        <v>0.503</v>
      </c>
      <c r="C143" s="7">
        <v>428383</v>
      </c>
      <c r="D143" s="3">
        <v>0.56225853967127548</v>
      </c>
      <c r="E143" s="7"/>
      <c r="F143" s="3"/>
      <c r="G143" s="3"/>
      <c r="H143" s="7"/>
    </row>
    <row r="144" spans="1:8" ht="14.5" x14ac:dyDescent="0.35">
      <c r="A144">
        <v>744</v>
      </c>
      <c r="B144" s="3">
        <v>0.45</v>
      </c>
      <c r="C144" s="7">
        <v>5348776</v>
      </c>
      <c r="D144" s="3">
        <v>0.44147333894707874</v>
      </c>
      <c r="E144" s="7"/>
      <c r="F144" s="3"/>
      <c r="G144" s="3"/>
      <c r="H144" s="7"/>
    </row>
    <row r="145" spans="1:8" ht="14.5" x14ac:dyDescent="0.35">
      <c r="A145">
        <v>383</v>
      </c>
      <c r="B145" s="3">
        <v>0.51200000000000001</v>
      </c>
      <c r="C145" s="7">
        <v>5078906</v>
      </c>
      <c r="D145" s="3">
        <v>0.4854478503835275</v>
      </c>
      <c r="E145" s="7"/>
      <c r="F145" s="3"/>
      <c r="G145" s="3"/>
      <c r="H145" s="7"/>
    </row>
    <row r="146" spans="1:8" ht="14.5" x14ac:dyDescent="0.35">
      <c r="A146">
        <v>407</v>
      </c>
      <c r="B146" s="3">
        <v>0.378</v>
      </c>
      <c r="C146" s="7">
        <v>1293005</v>
      </c>
      <c r="D146" s="3">
        <v>0.41529305764478869</v>
      </c>
      <c r="E146" s="7"/>
      <c r="F146" s="3"/>
      <c r="G146" s="3"/>
      <c r="H146" s="7"/>
    </row>
    <row r="147" spans="1:8" ht="14.5" x14ac:dyDescent="0.35">
      <c r="A147">
        <v>821</v>
      </c>
      <c r="B147" s="3">
        <v>0.36299999999999999</v>
      </c>
      <c r="C147" s="7">
        <v>8046322</v>
      </c>
      <c r="D147" s="3">
        <v>0.36043262996434894</v>
      </c>
      <c r="E147" s="7"/>
      <c r="F147" s="3"/>
      <c r="G147" s="3"/>
      <c r="H147" s="7"/>
    </row>
    <row r="148" spans="1:8" ht="14.5" x14ac:dyDescent="0.35">
      <c r="A148">
        <v>530</v>
      </c>
      <c r="B148" s="3">
        <v>0.54300000000000004</v>
      </c>
      <c r="C148" s="7">
        <v>18956826</v>
      </c>
      <c r="D148" s="3">
        <v>0.46494207416368122</v>
      </c>
      <c r="E148" s="7"/>
      <c r="F148" s="3"/>
      <c r="G148" s="3"/>
      <c r="H148" s="7"/>
    </row>
    <row r="149" spans="1:8" ht="14.5" x14ac:dyDescent="0.35">
      <c r="A149">
        <v>737</v>
      </c>
      <c r="B149" s="3">
        <v>0.42600000000000005</v>
      </c>
      <c r="C149" s="7">
        <v>3748170</v>
      </c>
      <c r="D149" s="3">
        <v>0.44404095865449006</v>
      </c>
      <c r="E149" s="7"/>
      <c r="F149" s="3"/>
      <c r="G149" s="3"/>
      <c r="H149" s="7"/>
    </row>
    <row r="150" spans="1:8" ht="14.5" x14ac:dyDescent="0.35">
      <c r="A150">
        <v>461</v>
      </c>
      <c r="B150" s="3">
        <v>0.44900000000000001</v>
      </c>
      <c r="C150" s="7">
        <v>4068710</v>
      </c>
      <c r="D150" s="3">
        <v>0.4388206581447191</v>
      </c>
      <c r="E150" s="7"/>
      <c r="F150" s="3"/>
      <c r="G150" s="3"/>
      <c r="H150" s="7"/>
    </row>
    <row r="151" spans="1:8" ht="14.5" x14ac:dyDescent="0.35">
      <c r="A151">
        <v>274</v>
      </c>
      <c r="B151" s="3">
        <v>0.39100000000000001</v>
      </c>
      <c r="C151" s="7">
        <v>1646320</v>
      </c>
      <c r="D151" s="3">
        <v>0.52650092327129594</v>
      </c>
      <c r="E151" s="7"/>
      <c r="F151" s="3"/>
      <c r="G151" s="3"/>
      <c r="H151" s="7"/>
    </row>
    <row r="152" spans="1:8" ht="14.5" x14ac:dyDescent="0.35">
      <c r="A152">
        <v>313</v>
      </c>
      <c r="B152" s="3">
        <v>0.51800000000000002</v>
      </c>
      <c r="C152" s="7">
        <v>9345986</v>
      </c>
      <c r="D152" s="3">
        <v>0.53185463791621346</v>
      </c>
      <c r="E152" s="7"/>
      <c r="F152" s="3"/>
      <c r="G152" s="3"/>
      <c r="H152" s="7"/>
    </row>
    <row r="153" spans="1:8" ht="14.5" x14ac:dyDescent="0.35">
      <c r="A153">
        <v>593</v>
      </c>
      <c r="B153" s="3">
        <v>0.46899999999999997</v>
      </c>
      <c r="C153" s="7">
        <v>2997108</v>
      </c>
      <c r="D153" s="3">
        <v>0.4918167780406979</v>
      </c>
      <c r="E153" s="7"/>
      <c r="F153" s="3"/>
      <c r="G153" s="3"/>
      <c r="H153" s="7"/>
    </row>
    <row r="154" spans="1:8" ht="14.5" x14ac:dyDescent="0.35">
      <c r="A154">
        <v>448</v>
      </c>
      <c r="B154" s="3">
        <v>0.42899999999999999</v>
      </c>
      <c r="C154" s="7">
        <v>5005471</v>
      </c>
      <c r="D154" s="3">
        <v>0.42862499852661218</v>
      </c>
      <c r="E154" s="7"/>
      <c r="F154" s="3"/>
      <c r="G154" s="3"/>
      <c r="H154" s="7"/>
    </row>
    <row r="155" spans="1:8" ht="14.5" x14ac:dyDescent="0.35">
      <c r="A155">
        <v>495</v>
      </c>
      <c r="B155" s="3">
        <v>0.501</v>
      </c>
      <c r="C155" s="7">
        <v>2464943</v>
      </c>
      <c r="D155" s="3">
        <v>0.47990318640228191</v>
      </c>
      <c r="E155" s="7"/>
      <c r="F155" s="3"/>
      <c r="G155" s="3"/>
      <c r="H155" s="7"/>
    </row>
    <row r="156" spans="1:8" ht="14.5" x14ac:dyDescent="0.35">
      <c r="A156">
        <v>364</v>
      </c>
      <c r="B156" s="3">
        <v>0.379</v>
      </c>
      <c r="C156" s="7">
        <v>1860167</v>
      </c>
      <c r="D156" s="3">
        <v>0.34836012035478536</v>
      </c>
      <c r="E156" s="7"/>
      <c r="F156" s="3"/>
      <c r="G156" s="3"/>
      <c r="H156" s="7"/>
    </row>
    <row r="157" spans="1:8" ht="14.5" x14ac:dyDescent="0.35">
      <c r="A157">
        <v>280</v>
      </c>
      <c r="B157" s="3">
        <v>0.311</v>
      </c>
      <c r="C157" s="7">
        <v>3466028</v>
      </c>
      <c r="D157" s="3">
        <v>0.3776083170707219</v>
      </c>
      <c r="E157" s="7"/>
      <c r="F157" s="3"/>
      <c r="G157" s="3"/>
      <c r="H157" s="7"/>
    </row>
    <row r="158" spans="1:8" ht="14.5" x14ac:dyDescent="0.35">
      <c r="A158">
        <v>885</v>
      </c>
      <c r="B158" s="3">
        <v>0.52</v>
      </c>
      <c r="C158" s="7">
        <v>21453064</v>
      </c>
      <c r="D158" s="3">
        <v>0.41269125939306384</v>
      </c>
      <c r="E158" s="7"/>
      <c r="F158" s="3"/>
      <c r="G158" s="3"/>
      <c r="H158" s="7"/>
    </row>
    <row r="159" spans="1:8" ht="14.5" x14ac:dyDescent="0.35">
      <c r="A159">
        <v>722</v>
      </c>
      <c r="B159" s="3">
        <v>0.45400000000000001</v>
      </c>
      <c r="C159" s="7">
        <v>2905881</v>
      </c>
      <c r="D159" s="3">
        <v>0.42441689800786747</v>
      </c>
      <c r="E159" s="7"/>
      <c r="F159" s="3"/>
      <c r="G159" s="3"/>
      <c r="H159" s="7"/>
    </row>
    <row r="160" spans="1:8" ht="14.5" x14ac:dyDescent="0.35">
      <c r="A160">
        <v>676</v>
      </c>
      <c r="B160" s="3">
        <v>0.36700000000000005</v>
      </c>
      <c r="C160" s="7">
        <v>8453326</v>
      </c>
      <c r="D160" s="3">
        <v>0.33870609036017302</v>
      </c>
      <c r="E160" s="7"/>
      <c r="F160" s="3"/>
      <c r="G160" s="3"/>
      <c r="H160" s="7"/>
    </row>
    <row r="161" spans="1:8" ht="14.5" x14ac:dyDescent="0.35">
      <c r="A161">
        <v>419</v>
      </c>
      <c r="B161" s="3">
        <v>0.46100000000000002</v>
      </c>
      <c r="C161" s="7">
        <v>5494696</v>
      </c>
      <c r="D161" s="3">
        <v>0.44915205499994904</v>
      </c>
      <c r="E161" s="7"/>
      <c r="F161" s="3"/>
      <c r="G161" s="3"/>
      <c r="H161" s="7"/>
    </row>
    <row r="162" spans="1:8" ht="14.5" x14ac:dyDescent="0.35">
      <c r="A162">
        <v>268</v>
      </c>
      <c r="B162" s="3">
        <v>0.47000000000000003</v>
      </c>
      <c r="C162" s="7">
        <v>4105328</v>
      </c>
      <c r="D162" s="3">
        <v>0.45884811152726407</v>
      </c>
      <c r="E162" s="7"/>
      <c r="F162" s="3"/>
      <c r="G162" s="3"/>
      <c r="H162" s="7"/>
    </row>
    <row r="163" spans="1:8" ht="14.5" x14ac:dyDescent="0.35">
      <c r="A163">
        <v>277</v>
      </c>
      <c r="B163" s="3">
        <v>0.314</v>
      </c>
      <c r="C163" s="7">
        <v>3349138</v>
      </c>
      <c r="D163" s="3">
        <v>0.3397327909450133</v>
      </c>
      <c r="E163" s="7"/>
      <c r="F163" s="3"/>
      <c r="G163" s="3"/>
      <c r="H163" s="7"/>
    </row>
    <row r="164" spans="1:8" ht="14.5" x14ac:dyDescent="0.35">
      <c r="A164">
        <v>367</v>
      </c>
      <c r="B164" s="3">
        <v>0.436</v>
      </c>
      <c r="C164" s="7">
        <v>2583155</v>
      </c>
      <c r="D164" s="3">
        <v>0.43946995050626075</v>
      </c>
      <c r="E164" s="7"/>
      <c r="F164" s="3"/>
      <c r="G164" s="3"/>
      <c r="H164" s="7"/>
    </row>
    <row r="165" spans="1:8" ht="14.5" x14ac:dyDescent="0.35">
      <c r="A165">
        <v>461</v>
      </c>
      <c r="B165" s="3">
        <v>0.35399999999999998</v>
      </c>
      <c r="C165" s="7">
        <v>3172039</v>
      </c>
      <c r="D165" s="3">
        <v>0.36767360048221348</v>
      </c>
      <c r="E165" s="7"/>
      <c r="F165" s="3"/>
      <c r="G165" s="3"/>
      <c r="H165" s="7"/>
    </row>
    <row r="166" spans="1:8" ht="14.5" x14ac:dyDescent="0.35">
      <c r="A166">
        <v>586</v>
      </c>
      <c r="B166" s="3">
        <v>0.44700000000000006</v>
      </c>
      <c r="C166" s="7">
        <v>5660679</v>
      </c>
      <c r="D166" s="3">
        <v>0.46622834469151136</v>
      </c>
      <c r="E166" s="7"/>
      <c r="F166" s="3"/>
      <c r="G166" s="3"/>
      <c r="H166" s="7"/>
    </row>
    <row r="167" spans="1:8" ht="14.5" x14ac:dyDescent="0.35">
      <c r="A167">
        <v>492</v>
      </c>
      <c r="B167" s="3">
        <v>0.49200000000000005</v>
      </c>
      <c r="C167" s="7">
        <v>5203694</v>
      </c>
      <c r="D167" s="3">
        <v>0.48493185802239719</v>
      </c>
      <c r="E167" s="7"/>
      <c r="F167" s="3"/>
      <c r="G167" s="3"/>
      <c r="H167" s="7"/>
    </row>
    <row r="168" spans="1:8" ht="14.5" x14ac:dyDescent="0.35">
      <c r="A168">
        <v>917</v>
      </c>
      <c r="B168" s="3">
        <v>0.46200000000000002</v>
      </c>
      <c r="C168" s="7">
        <v>16671563</v>
      </c>
      <c r="D168" s="3">
        <v>0.34769877305445207</v>
      </c>
      <c r="E168" s="7"/>
      <c r="F168" s="3"/>
      <c r="G168" s="3"/>
      <c r="H168" s="7"/>
    </row>
    <row r="169" spans="1:8" ht="14.5" x14ac:dyDescent="0.35">
      <c r="A169">
        <v>385</v>
      </c>
      <c r="B169" s="3">
        <v>0.51900000000000002</v>
      </c>
      <c r="C169" s="7">
        <v>6587786</v>
      </c>
      <c r="D169" s="3">
        <v>0.52829873344398259</v>
      </c>
      <c r="E169" s="7"/>
      <c r="F169" s="3"/>
      <c r="G169" s="3"/>
      <c r="H169" s="7"/>
    </row>
    <row r="170" spans="1:8" ht="14.5" x14ac:dyDescent="0.35">
      <c r="A170">
        <v>254</v>
      </c>
      <c r="B170" s="3">
        <v>0.45700000000000002</v>
      </c>
      <c r="C170" s="7">
        <v>4407349</v>
      </c>
      <c r="D170" s="3">
        <v>0.52396554028283215</v>
      </c>
      <c r="E170" s="7"/>
      <c r="F170" s="3"/>
      <c r="G170" s="3"/>
      <c r="H170" s="7"/>
    </row>
    <row r="171" spans="1:8" ht="14.5" x14ac:dyDescent="0.35">
      <c r="A171">
        <v>465</v>
      </c>
      <c r="B171" s="3">
        <v>0.35700000000000004</v>
      </c>
      <c r="C171" s="7">
        <v>2722577</v>
      </c>
      <c r="D171" s="3">
        <v>0.3352026407333934</v>
      </c>
      <c r="E171" s="7"/>
      <c r="F171" s="3"/>
      <c r="G171" s="3"/>
      <c r="H171" s="7"/>
    </row>
    <row r="172" spans="1:8" ht="14.5" x14ac:dyDescent="0.35">
      <c r="A172">
        <v>427</v>
      </c>
      <c r="B172" s="3">
        <v>0.36799999999999999</v>
      </c>
      <c r="C172" s="7">
        <v>1323325</v>
      </c>
      <c r="D172" s="3">
        <v>0.4344465645249655</v>
      </c>
      <c r="E172" s="7"/>
      <c r="F172" s="3"/>
      <c r="G172" s="3"/>
      <c r="H172" s="7"/>
    </row>
    <row r="173" spans="1:8" ht="14.5" x14ac:dyDescent="0.35">
      <c r="A173">
        <v>472</v>
      </c>
      <c r="B173" s="3">
        <v>0.38100000000000001</v>
      </c>
      <c r="C173" s="7">
        <v>11567115</v>
      </c>
      <c r="D173" s="3">
        <v>0.35696195637373712</v>
      </c>
      <c r="E173" s="7"/>
      <c r="F173" s="3"/>
      <c r="G173" s="3"/>
      <c r="H173" s="7"/>
    </row>
    <row r="174" spans="1:8" ht="14.5" x14ac:dyDescent="0.35">
      <c r="A174">
        <v>203</v>
      </c>
      <c r="B174" s="3">
        <v>0.433</v>
      </c>
      <c r="C174" s="7">
        <v>542206</v>
      </c>
      <c r="D174" s="3">
        <v>0.38688432071943135</v>
      </c>
      <c r="E174" s="7"/>
      <c r="F174" s="3"/>
      <c r="G174" s="3"/>
      <c r="H174" s="7"/>
    </row>
    <row r="175" spans="1:8" ht="14.5" x14ac:dyDescent="0.35">
      <c r="A175">
        <v>496</v>
      </c>
      <c r="B175" s="3">
        <v>0.47200000000000003</v>
      </c>
      <c r="C175" s="7">
        <v>1175569</v>
      </c>
      <c r="D175" s="3">
        <v>0.44711369558060821</v>
      </c>
      <c r="E175" s="7"/>
      <c r="F175" s="3"/>
      <c r="G175" s="3"/>
      <c r="H175" s="7"/>
    </row>
    <row r="176" spans="1:8" ht="14.5" x14ac:dyDescent="0.35">
      <c r="A176">
        <v>424</v>
      </c>
      <c r="B176" s="3">
        <v>0.50700000000000001</v>
      </c>
      <c r="C176" s="7">
        <v>11600522</v>
      </c>
      <c r="D176" s="3">
        <v>0.50136416275060725</v>
      </c>
      <c r="E176" s="7"/>
      <c r="F176" s="3"/>
      <c r="G176" s="3"/>
      <c r="H176" s="7"/>
    </row>
    <row r="177" spans="1:8" ht="14.5" x14ac:dyDescent="0.35">
      <c r="A177">
        <v>480</v>
      </c>
      <c r="B177" s="3">
        <v>0.50600000000000001</v>
      </c>
      <c r="C177" s="7">
        <v>25694253</v>
      </c>
      <c r="D177" s="3">
        <v>0.28047248542310221</v>
      </c>
      <c r="E177" s="7"/>
      <c r="F177" s="3"/>
      <c r="G177" s="3"/>
      <c r="H177" s="7"/>
    </row>
    <row r="178" spans="1:8" ht="14.5" x14ac:dyDescent="0.35">
      <c r="A178">
        <v>616</v>
      </c>
      <c r="B178" s="3">
        <v>0.36499999999999999</v>
      </c>
      <c r="C178" s="7">
        <v>1895180</v>
      </c>
      <c r="D178" s="3">
        <v>0.4032962568199327</v>
      </c>
      <c r="E178" s="7"/>
      <c r="F178" s="3"/>
      <c r="G178" s="3"/>
      <c r="H178" s="7"/>
    </row>
    <row r="179" spans="1:8" ht="14.5" x14ac:dyDescent="0.35">
      <c r="A179">
        <v>795</v>
      </c>
      <c r="B179" s="3">
        <v>0.40399999999999997</v>
      </c>
      <c r="C179" s="7">
        <v>4409626</v>
      </c>
      <c r="D179" s="3">
        <v>0.39992779432994996</v>
      </c>
      <c r="E179" s="7"/>
      <c r="F179" s="3"/>
      <c r="G179" s="3"/>
      <c r="H179" s="7"/>
    </row>
    <row r="180" spans="1:8" ht="14.5" x14ac:dyDescent="0.35">
      <c r="A180">
        <v>505</v>
      </c>
      <c r="B180" s="3">
        <v>0.45299999999999996</v>
      </c>
      <c r="C180" s="7">
        <v>1950716</v>
      </c>
      <c r="D180" s="3">
        <v>0.5220647188006865</v>
      </c>
      <c r="E180" s="7"/>
      <c r="F180" s="3"/>
      <c r="G180" s="3"/>
      <c r="H180" s="7"/>
    </row>
    <row r="181" spans="1:8" ht="14.5" x14ac:dyDescent="0.35">
      <c r="A181">
        <v>596</v>
      </c>
      <c r="B181" s="3">
        <v>0.435</v>
      </c>
      <c r="C181" s="7">
        <v>2542251</v>
      </c>
      <c r="D181" s="3">
        <v>0.4350534231277714</v>
      </c>
      <c r="E181" s="7"/>
      <c r="F181" s="3"/>
      <c r="G181" s="3"/>
      <c r="H181" s="7"/>
    </row>
    <row r="182" spans="1:8" ht="14.5" x14ac:dyDescent="0.35">
      <c r="A182">
        <v>608</v>
      </c>
      <c r="B182" s="3">
        <v>0.42799999999999999</v>
      </c>
      <c r="C182" s="7">
        <v>3648281</v>
      </c>
      <c r="D182" s="3">
        <v>0.40848964210815997</v>
      </c>
      <c r="E182" s="7"/>
      <c r="F182" s="3"/>
      <c r="G182" s="3"/>
      <c r="H182" s="7"/>
    </row>
    <row r="183" spans="1:8" ht="14.5" x14ac:dyDescent="0.35">
      <c r="A183">
        <v>228</v>
      </c>
      <c r="B183" s="3">
        <v>0.58799999999999997</v>
      </c>
      <c r="C183" s="7">
        <v>779287</v>
      </c>
      <c r="D183" s="3">
        <v>0.60658525036347333</v>
      </c>
      <c r="E183" s="7"/>
      <c r="F183" s="3"/>
      <c r="G183" s="3"/>
      <c r="H183" s="7"/>
    </row>
    <row r="184" spans="1:8" ht="14.5" x14ac:dyDescent="0.35">
      <c r="A184">
        <v>661</v>
      </c>
      <c r="B184" s="3">
        <v>0.40399999999999997</v>
      </c>
      <c r="C184" s="7">
        <v>5149358</v>
      </c>
      <c r="D184" s="3">
        <v>0.40061965006123096</v>
      </c>
      <c r="E184" s="7"/>
      <c r="F184" s="3"/>
      <c r="G184" s="3"/>
      <c r="H184" s="7"/>
    </row>
    <row r="185" spans="1:8" ht="14.5" x14ac:dyDescent="0.35">
      <c r="A185">
        <v>299</v>
      </c>
      <c r="B185" s="3">
        <v>0.52500000000000002</v>
      </c>
      <c r="C185" s="7">
        <v>920005</v>
      </c>
      <c r="D185" s="3">
        <v>0.5657175776218607</v>
      </c>
      <c r="E185" s="7"/>
      <c r="F185" s="3"/>
      <c r="G185" s="3"/>
      <c r="H185" s="7"/>
    </row>
    <row r="186" spans="1:8" ht="14.5" x14ac:dyDescent="0.35">
      <c r="A186">
        <v>248</v>
      </c>
      <c r="B186" s="3">
        <v>0.41899999999999998</v>
      </c>
      <c r="C186" s="7">
        <v>817583</v>
      </c>
      <c r="D186" s="3">
        <v>0.43677400337335781</v>
      </c>
      <c r="E186" s="7"/>
      <c r="F186" s="3"/>
      <c r="G186" s="3"/>
      <c r="H186" s="7"/>
    </row>
    <row r="187" spans="1:8" ht="14.5" x14ac:dyDescent="0.35">
      <c r="A187">
        <v>559</v>
      </c>
      <c r="B187" s="3">
        <v>0.33500000000000002</v>
      </c>
      <c r="C187" s="7">
        <v>2526131</v>
      </c>
      <c r="D187" s="3">
        <v>0.36080591228245884</v>
      </c>
      <c r="E187" s="7"/>
      <c r="F187" s="3"/>
      <c r="G187" s="3"/>
      <c r="H187" s="7"/>
    </row>
    <row r="188" spans="1:8" ht="14.5" x14ac:dyDescent="0.35">
      <c r="A188">
        <v>362</v>
      </c>
      <c r="B188" s="3">
        <v>0.503</v>
      </c>
      <c r="C188" s="7">
        <v>4862764</v>
      </c>
      <c r="D188" s="3">
        <v>0.53330245925979547</v>
      </c>
      <c r="E188" s="7"/>
      <c r="F188" s="3"/>
      <c r="G188" s="3"/>
      <c r="H188" s="7"/>
    </row>
    <row r="189" spans="1:8" ht="14.5" x14ac:dyDescent="0.35">
      <c r="A189">
        <v>272</v>
      </c>
      <c r="B189" s="3">
        <v>0.36399999999999999</v>
      </c>
      <c r="C189" s="7">
        <v>3889136</v>
      </c>
      <c r="D189" s="3">
        <v>0.25485249165881574</v>
      </c>
      <c r="E189" s="7"/>
      <c r="F189" s="3"/>
      <c r="G189" s="3"/>
      <c r="H189" s="7"/>
    </row>
    <row r="190" spans="1:8" ht="14.5" x14ac:dyDescent="0.35">
      <c r="A190">
        <v>473</v>
      </c>
      <c r="B190" s="3">
        <v>0.27100000000000002</v>
      </c>
      <c r="C190" s="7">
        <v>5230213</v>
      </c>
      <c r="D190" s="3">
        <v>0.31654676396544462</v>
      </c>
      <c r="E190" s="7"/>
      <c r="F190" s="3"/>
      <c r="G190" s="3"/>
      <c r="H190" s="7"/>
    </row>
    <row r="191" spans="1:8" ht="14.5" x14ac:dyDescent="0.35">
      <c r="A191">
        <v>270</v>
      </c>
      <c r="B191" s="3">
        <v>0.57799999999999996</v>
      </c>
      <c r="C191" s="7">
        <v>2986937</v>
      </c>
      <c r="D191" s="3">
        <v>0.65246973739318903</v>
      </c>
      <c r="E191" s="7"/>
      <c r="F191" s="3"/>
      <c r="G191" s="3"/>
      <c r="H191" s="7"/>
    </row>
    <row r="192" spans="1:8" ht="14.5" x14ac:dyDescent="0.35">
      <c r="A192">
        <v>431</v>
      </c>
      <c r="B192" s="3">
        <v>0.47600000000000003</v>
      </c>
      <c r="C192" s="7">
        <v>5789418</v>
      </c>
      <c r="D192" s="3">
        <v>0.51360862179928968</v>
      </c>
      <c r="E192" s="7"/>
      <c r="F192" s="3"/>
      <c r="G192" s="3"/>
      <c r="H192" s="7"/>
    </row>
    <row r="193" spans="1:8" ht="14.5" x14ac:dyDescent="0.35">
      <c r="A193">
        <v>240</v>
      </c>
      <c r="B193" s="3">
        <v>0.504</v>
      </c>
      <c r="C193" s="7">
        <v>2894046</v>
      </c>
      <c r="D193" s="3">
        <v>0.49134637113577323</v>
      </c>
      <c r="E193" s="7"/>
      <c r="F193" s="3"/>
      <c r="G193" s="3"/>
      <c r="H193" s="7"/>
    </row>
    <row r="194" spans="1:8" ht="14.5" x14ac:dyDescent="0.35">
      <c r="A194">
        <v>449</v>
      </c>
      <c r="B194" s="3">
        <v>0.57899999999999996</v>
      </c>
      <c r="C194" s="7">
        <v>13298777</v>
      </c>
      <c r="D194" s="3">
        <v>0.52246706595651615</v>
      </c>
      <c r="E194" s="7"/>
      <c r="F194" s="3"/>
      <c r="G194" s="3"/>
      <c r="H194" s="7"/>
    </row>
    <row r="195" spans="1:8" ht="14.5" x14ac:dyDescent="0.35">
      <c r="A195">
        <v>461</v>
      </c>
      <c r="B195" s="3">
        <v>0.52700000000000002</v>
      </c>
      <c r="C195" s="7">
        <v>22461499</v>
      </c>
      <c r="D195" s="3">
        <v>0.33821478254857346</v>
      </c>
      <c r="E195" s="7"/>
      <c r="F195" s="3"/>
      <c r="G195" s="3"/>
      <c r="H195" s="7"/>
    </row>
    <row r="196" spans="1:8" ht="14.5" x14ac:dyDescent="0.35">
      <c r="A196">
        <v>315</v>
      </c>
      <c r="B196" s="3">
        <v>0.42499999999999999</v>
      </c>
      <c r="C196" s="7">
        <v>1136275</v>
      </c>
      <c r="D196" s="3">
        <v>0.50315900640249944</v>
      </c>
      <c r="E196" s="7"/>
      <c r="F196" s="3"/>
      <c r="G196" s="3"/>
      <c r="H196" s="7"/>
    </row>
    <row r="197" spans="1:8" ht="14.5" x14ac:dyDescent="0.35">
      <c r="A197">
        <v>694</v>
      </c>
      <c r="B197" s="3">
        <v>0.34399999999999997</v>
      </c>
      <c r="C197" s="7">
        <v>2609100</v>
      </c>
      <c r="D197" s="3">
        <v>0.34794718485301446</v>
      </c>
      <c r="E197" s="7"/>
      <c r="F197" s="3"/>
      <c r="G197" s="3"/>
      <c r="H197" s="7"/>
    </row>
    <row r="198" spans="1:8" ht="14.5" x14ac:dyDescent="0.35">
      <c r="A198">
        <v>517</v>
      </c>
      <c r="B198" s="3">
        <v>0.47200000000000003</v>
      </c>
      <c r="C198" s="7">
        <v>2523462</v>
      </c>
      <c r="D198" s="3">
        <v>0.43136453015737902</v>
      </c>
      <c r="E198" s="7"/>
      <c r="F198" s="3"/>
      <c r="G198" s="3"/>
      <c r="H198" s="7"/>
    </row>
    <row r="199" spans="1:8" ht="14.5" x14ac:dyDescent="0.35">
      <c r="A199">
        <v>767</v>
      </c>
      <c r="B199" s="3">
        <v>0.46500000000000002</v>
      </c>
      <c r="C199" s="7">
        <v>3449423</v>
      </c>
      <c r="D199" s="3">
        <v>0.45028980209153818</v>
      </c>
      <c r="E199" s="7"/>
      <c r="F199" s="3"/>
      <c r="G199" s="3"/>
      <c r="H199" s="7"/>
    </row>
    <row r="200" spans="1:8" ht="14.5" x14ac:dyDescent="0.35">
      <c r="A200">
        <v>500</v>
      </c>
      <c r="B200" s="3">
        <v>0.46399999999999997</v>
      </c>
      <c r="C200" s="7">
        <v>4070570</v>
      </c>
      <c r="D200" s="3">
        <v>0.49031265891509052</v>
      </c>
      <c r="E200" s="7"/>
      <c r="F200" s="3"/>
      <c r="G200" s="3"/>
      <c r="H200" s="7"/>
    </row>
    <row r="201" spans="1:8" ht="14.5" x14ac:dyDescent="0.35">
      <c r="A201">
        <v>468</v>
      </c>
      <c r="B201" s="3">
        <v>0.438</v>
      </c>
      <c r="C201" s="7">
        <v>2032992</v>
      </c>
      <c r="D201" s="3">
        <v>0.47482528214572411</v>
      </c>
      <c r="E201" s="7"/>
      <c r="F201" s="3"/>
      <c r="G201" s="3"/>
      <c r="H201" s="7"/>
    </row>
    <row r="202" spans="1:8" ht="14.5" x14ac:dyDescent="0.35">
      <c r="A202">
        <v>473</v>
      </c>
      <c r="B202" s="3">
        <v>0.33799999999999997</v>
      </c>
      <c r="C202" s="7">
        <v>5633416</v>
      </c>
      <c r="D202" s="3">
        <v>0.33209778933421569</v>
      </c>
      <c r="E202" s="7"/>
      <c r="F202" s="3"/>
      <c r="G202" s="3"/>
      <c r="H202" s="7"/>
    </row>
    <row r="203" spans="1:8" ht="14.5" x14ac:dyDescent="0.35">
      <c r="A203">
        <v>586</v>
      </c>
      <c r="B203" s="3">
        <v>0.41600000000000004</v>
      </c>
      <c r="C203" s="7">
        <v>8773153</v>
      </c>
      <c r="D203" s="3">
        <v>0.48248263765603999</v>
      </c>
      <c r="E203" s="7"/>
      <c r="F203" s="3"/>
      <c r="G203" s="3"/>
      <c r="H203" s="7"/>
    </row>
    <row r="204" spans="1:8" ht="14.5" x14ac:dyDescent="0.35">
      <c r="A204">
        <v>666</v>
      </c>
      <c r="B204" s="3">
        <v>0.434</v>
      </c>
      <c r="C204" s="7">
        <v>3625546</v>
      </c>
      <c r="D204" s="3">
        <v>0.42090515469945766</v>
      </c>
      <c r="E204" s="7"/>
      <c r="F204" s="3"/>
      <c r="G204" s="3"/>
      <c r="H204" s="7"/>
    </row>
    <row r="205" spans="1:8" ht="14.5" x14ac:dyDescent="0.35">
      <c r="A205">
        <v>234</v>
      </c>
      <c r="B205" s="3">
        <v>0.33299999999999996</v>
      </c>
      <c r="C205" s="7">
        <v>2229930</v>
      </c>
      <c r="D205" s="3">
        <v>0.4015767311081514</v>
      </c>
      <c r="E205" s="7"/>
      <c r="F205" s="3"/>
      <c r="G205" s="3"/>
      <c r="H205" s="7"/>
    </row>
    <row r="206" spans="1:8" ht="14.5" x14ac:dyDescent="0.35">
      <c r="A206">
        <v>666</v>
      </c>
      <c r="B206" s="3">
        <v>0.36600000000000005</v>
      </c>
      <c r="C206" s="7">
        <v>2964916</v>
      </c>
      <c r="D206" s="3">
        <v>0.3972948980679385</v>
      </c>
      <c r="E206" s="7"/>
      <c r="F206" s="3"/>
      <c r="G206" s="3"/>
      <c r="H206" s="7"/>
    </row>
    <row r="207" spans="1:8" ht="14.5" x14ac:dyDescent="0.35">
      <c r="A207">
        <v>438</v>
      </c>
      <c r="B207" s="3">
        <v>0.47299999999999998</v>
      </c>
      <c r="C207" s="7">
        <v>24823606</v>
      </c>
      <c r="D207" s="3">
        <v>0.36029112772737371</v>
      </c>
      <c r="E207" s="7"/>
      <c r="F207" s="3"/>
      <c r="G207" s="3"/>
      <c r="H207" s="7"/>
    </row>
    <row r="208" spans="1:8" ht="14.5" x14ac:dyDescent="0.35">
      <c r="A208">
        <v>346</v>
      </c>
      <c r="B208" s="3">
        <v>0.46799999999999997</v>
      </c>
      <c r="C208" s="7">
        <v>12592594</v>
      </c>
      <c r="D208" s="3">
        <v>0.52133404761560642</v>
      </c>
      <c r="E208" s="7"/>
      <c r="F208" s="3"/>
      <c r="G208" s="3"/>
      <c r="H208" s="7"/>
    </row>
    <row r="209" spans="1:8" ht="14.5" x14ac:dyDescent="0.35">
      <c r="A209">
        <v>495</v>
      </c>
      <c r="B209" s="3">
        <v>0.32299999999999995</v>
      </c>
      <c r="C209" s="7">
        <v>1181511</v>
      </c>
      <c r="D209" s="3">
        <v>0.39633147723550605</v>
      </c>
      <c r="E209" s="7"/>
      <c r="F209" s="3"/>
      <c r="G209" s="3"/>
      <c r="H209" s="7"/>
    </row>
    <row r="210" spans="1:8" ht="14.5" x14ac:dyDescent="0.35">
      <c r="A210">
        <v>417</v>
      </c>
      <c r="B210" s="3">
        <v>0.4</v>
      </c>
      <c r="C210" s="7">
        <v>75327515</v>
      </c>
      <c r="D210" s="3">
        <v>0.21721518358862629</v>
      </c>
      <c r="E210" s="7"/>
      <c r="F210" s="3"/>
      <c r="G210" s="3"/>
      <c r="H210" s="7"/>
    </row>
    <row r="211" spans="1:8" ht="14.5" x14ac:dyDescent="0.35">
      <c r="A211">
        <v>302</v>
      </c>
      <c r="B211" s="3">
        <v>0.318</v>
      </c>
      <c r="C211" s="7">
        <v>1395719</v>
      </c>
      <c r="D211" s="3">
        <v>0.36527911420565312</v>
      </c>
      <c r="E211" s="7"/>
      <c r="F211" s="3"/>
      <c r="G211" s="3"/>
      <c r="H211" s="7"/>
    </row>
    <row r="212" spans="1:8" ht="14.5" x14ac:dyDescent="0.35">
      <c r="A212">
        <v>302</v>
      </c>
      <c r="B212" s="3">
        <v>0.32500000000000001</v>
      </c>
      <c r="C212" s="7">
        <v>2217242</v>
      </c>
      <c r="D212" s="3">
        <v>0.46431287157649009</v>
      </c>
      <c r="E212" s="7"/>
      <c r="F212" s="3"/>
      <c r="G212" s="3"/>
      <c r="H212" s="7"/>
    </row>
    <row r="213" spans="1:8" ht="14.5" x14ac:dyDescent="0.35">
      <c r="A213">
        <v>1054</v>
      </c>
      <c r="B213" s="3">
        <v>0.45600000000000002</v>
      </c>
      <c r="C213" s="7">
        <v>20239048</v>
      </c>
      <c r="D213" s="3">
        <v>0.34926707026931308</v>
      </c>
      <c r="E213" s="7"/>
      <c r="F213" s="3"/>
      <c r="G213" s="3"/>
      <c r="H213" s="7"/>
    </row>
    <row r="214" spans="1:8" ht="14.5" x14ac:dyDescent="0.35">
      <c r="A214">
        <v>330</v>
      </c>
      <c r="B214" s="3">
        <v>0.46700000000000003</v>
      </c>
      <c r="C214" s="7">
        <v>1110856</v>
      </c>
      <c r="D214" s="3">
        <v>0.45599249587705337</v>
      </c>
      <c r="E214" s="7"/>
      <c r="F214" s="3"/>
      <c r="G214" s="3"/>
      <c r="H214" s="7"/>
    </row>
    <row r="215" spans="1:8" ht="14.5" x14ac:dyDescent="0.35">
      <c r="A215">
        <v>261</v>
      </c>
      <c r="B215" s="3">
        <v>0.375</v>
      </c>
      <c r="C215" s="7">
        <v>3214219</v>
      </c>
      <c r="D215" s="3">
        <v>0.46221212680280965</v>
      </c>
      <c r="E215" s="7"/>
      <c r="F215" s="3"/>
      <c r="G215" s="3"/>
      <c r="H215" s="7"/>
    </row>
    <row r="216" spans="1:8" ht="14.5" x14ac:dyDescent="0.35">
      <c r="A216">
        <v>362</v>
      </c>
      <c r="B216" s="3">
        <v>0.28999999999999998</v>
      </c>
      <c r="C216" s="7">
        <v>2454844</v>
      </c>
      <c r="D216" s="3">
        <v>0.32116826975563417</v>
      </c>
      <c r="E216" s="7"/>
      <c r="F216" s="3"/>
      <c r="G216" s="3"/>
      <c r="H216" s="7"/>
    </row>
    <row r="217" spans="1:8" ht="14.5" x14ac:dyDescent="0.35">
      <c r="A217">
        <v>172</v>
      </c>
      <c r="B217" s="3">
        <v>0.61</v>
      </c>
      <c r="C217" s="7">
        <v>540890</v>
      </c>
      <c r="D217" s="3">
        <v>0.57718020299876127</v>
      </c>
      <c r="E217" s="7"/>
      <c r="F217" s="3"/>
      <c r="G217" s="3"/>
      <c r="H217" s="7"/>
    </row>
    <row r="218" spans="1:8" ht="14.5" x14ac:dyDescent="0.35">
      <c r="A218">
        <v>746</v>
      </c>
      <c r="B218" s="3">
        <v>0.5</v>
      </c>
      <c r="C218" s="7">
        <v>72360663</v>
      </c>
      <c r="D218" s="3">
        <v>0.27731983329119025</v>
      </c>
      <c r="E218" s="7"/>
      <c r="F218" s="3"/>
      <c r="G218" s="3"/>
      <c r="H218" s="7"/>
    </row>
    <row r="219" spans="1:8" ht="14.5" x14ac:dyDescent="0.35">
      <c r="A219">
        <v>600</v>
      </c>
      <c r="B219" s="3">
        <v>0.36299999999999999</v>
      </c>
      <c r="C219" s="7">
        <v>12821935</v>
      </c>
      <c r="D219" s="3">
        <v>0.40737010443431509</v>
      </c>
      <c r="E219" s="7"/>
      <c r="F219" s="3"/>
      <c r="G219" s="3"/>
      <c r="H219" s="7"/>
    </row>
    <row r="220" spans="1:8" ht="14.5" x14ac:dyDescent="0.35">
      <c r="A220">
        <v>400</v>
      </c>
      <c r="B220" s="3">
        <v>0.42299999999999999</v>
      </c>
      <c r="C220" s="7">
        <v>7023115</v>
      </c>
      <c r="D220" s="3">
        <v>0.44762943508685249</v>
      </c>
      <c r="E220" s="7"/>
      <c r="F220" s="3"/>
      <c r="G220" s="3"/>
      <c r="H220" s="7"/>
    </row>
    <row r="221" spans="1:8" ht="14.5" x14ac:dyDescent="0.35">
      <c r="A221">
        <v>530</v>
      </c>
      <c r="B221" s="3">
        <v>0.45799999999999996</v>
      </c>
      <c r="C221" s="7">
        <v>9228360</v>
      </c>
      <c r="D221" s="3">
        <v>0.45260447143371085</v>
      </c>
      <c r="E221" s="7"/>
      <c r="F221" s="3"/>
      <c r="G221" s="3"/>
      <c r="H221" s="7"/>
    </row>
    <row r="222" spans="1:8" ht="14.5" x14ac:dyDescent="0.35">
      <c r="A222">
        <v>402</v>
      </c>
      <c r="B222" s="3">
        <v>0.38799999999999996</v>
      </c>
      <c r="C222" s="7">
        <v>2446863</v>
      </c>
      <c r="D222" s="3">
        <v>0.487810719276069</v>
      </c>
      <c r="E222" s="7"/>
      <c r="F222" s="3"/>
      <c r="G222" s="3"/>
      <c r="H222" s="7"/>
    </row>
    <row r="223" spans="1:8" ht="14.5" x14ac:dyDescent="0.35">
      <c r="A223">
        <v>812</v>
      </c>
      <c r="B223" s="3">
        <v>0.443</v>
      </c>
      <c r="C223" s="7">
        <v>32370943</v>
      </c>
      <c r="D223" s="3">
        <v>0.31041425021198793</v>
      </c>
      <c r="E223" s="7"/>
      <c r="F223" s="3"/>
      <c r="G223" s="3"/>
      <c r="H223" s="7"/>
    </row>
    <row r="224" spans="1:8" ht="14.5" x14ac:dyDescent="0.35">
      <c r="A224">
        <v>440</v>
      </c>
      <c r="B224" s="3">
        <v>0.47700000000000004</v>
      </c>
      <c r="C224" s="7">
        <v>17224262</v>
      </c>
      <c r="D224" s="3">
        <v>0.32122630275828362</v>
      </c>
      <c r="E224" s="7"/>
      <c r="F224" s="3"/>
      <c r="G224" s="3"/>
      <c r="H224" s="7"/>
    </row>
    <row r="225" spans="1:8" ht="14.5" x14ac:dyDescent="0.35">
      <c r="A225">
        <v>426</v>
      </c>
      <c r="B225" s="3">
        <v>0.312</v>
      </c>
      <c r="C225" s="7">
        <v>2071046</v>
      </c>
      <c r="D225" s="3">
        <v>0.3876688398036548</v>
      </c>
      <c r="E225" s="7"/>
      <c r="F225" s="3"/>
      <c r="G225" s="3"/>
      <c r="H225" s="7"/>
    </row>
    <row r="226" spans="1:8" ht="14.5" x14ac:dyDescent="0.35">
      <c r="A226">
        <v>505</v>
      </c>
      <c r="B226" s="3">
        <v>0.42399999999999999</v>
      </c>
      <c r="C226" s="7">
        <v>12309192</v>
      </c>
      <c r="D226" s="3">
        <v>0.4216966475135005</v>
      </c>
      <c r="E226" s="7"/>
      <c r="F226" s="3"/>
      <c r="G226" s="3"/>
      <c r="H226" s="7"/>
    </row>
    <row r="227" spans="1:8" ht="14.5" x14ac:dyDescent="0.35">
      <c r="A227">
        <v>491</v>
      </c>
      <c r="B227" s="3">
        <v>0.36499999999999999</v>
      </c>
      <c r="C227" s="7">
        <v>1544532</v>
      </c>
      <c r="D227" s="3">
        <v>0.40634056141277747</v>
      </c>
      <c r="E227" s="7"/>
      <c r="F227" s="3"/>
      <c r="G227" s="3"/>
      <c r="H227" s="7"/>
    </row>
    <row r="228" spans="1:8" ht="14.5" x14ac:dyDescent="0.35">
      <c r="A228">
        <v>315</v>
      </c>
      <c r="B228" s="3">
        <v>0.38100000000000001</v>
      </c>
      <c r="C228" s="7">
        <v>2650043</v>
      </c>
      <c r="D228" s="3">
        <v>0.41841019183462308</v>
      </c>
      <c r="E228" s="7"/>
      <c r="F228" s="3"/>
      <c r="G228" s="3"/>
      <c r="H228" s="7"/>
    </row>
    <row r="229" spans="1:8" ht="14.5" x14ac:dyDescent="0.35">
      <c r="A229">
        <v>357</v>
      </c>
      <c r="B229" s="3">
        <v>0.47600000000000003</v>
      </c>
      <c r="C229" s="7">
        <v>3780635</v>
      </c>
      <c r="D229" s="3">
        <v>0.48985395310576135</v>
      </c>
      <c r="E229" s="7"/>
      <c r="F229" s="3"/>
      <c r="G229" s="3"/>
      <c r="H229" s="7"/>
    </row>
    <row r="230" spans="1:8" ht="14.5" x14ac:dyDescent="0.35">
      <c r="A230">
        <v>315</v>
      </c>
      <c r="B230" s="3">
        <v>0.42499999999999999</v>
      </c>
      <c r="C230" s="7">
        <v>4124481</v>
      </c>
      <c r="D230" s="3">
        <v>0.50657500907386888</v>
      </c>
      <c r="E230" s="7"/>
      <c r="F230" s="3"/>
      <c r="G230" s="3"/>
      <c r="H230" s="7"/>
    </row>
    <row r="231" spans="1:8" ht="14.5" x14ac:dyDescent="0.35">
      <c r="A231">
        <v>537</v>
      </c>
      <c r="B231" s="3">
        <v>0.35000000000000003</v>
      </c>
      <c r="C231" s="7">
        <v>4228466</v>
      </c>
      <c r="D231" s="3">
        <v>0.34631518853409249</v>
      </c>
      <c r="E231" s="7"/>
      <c r="F231" s="3"/>
      <c r="G231" s="3"/>
      <c r="H231" s="7"/>
    </row>
    <row r="232" spans="1:8" ht="14.5" x14ac:dyDescent="0.35">
      <c r="A232">
        <v>263</v>
      </c>
      <c r="B232" s="3">
        <v>0.47500000000000003</v>
      </c>
      <c r="C232" s="7">
        <v>1156375</v>
      </c>
      <c r="D232" s="3">
        <v>0.48834417900767485</v>
      </c>
      <c r="E232" s="7"/>
      <c r="F232" s="3"/>
      <c r="G232" s="3"/>
      <c r="H232" s="7"/>
    </row>
    <row r="233" spans="1:8" ht="14.5" x14ac:dyDescent="0.35">
      <c r="A233">
        <v>604</v>
      </c>
      <c r="B233" s="3">
        <v>0.29499999999999998</v>
      </c>
      <c r="C233" s="7">
        <v>2300088</v>
      </c>
      <c r="D233" s="3">
        <v>0.32189072765911564</v>
      </c>
      <c r="E233" s="7"/>
      <c r="F233" s="3"/>
      <c r="G233" s="3"/>
      <c r="H233" s="7"/>
    </row>
    <row r="234" spans="1:8" ht="14.5" x14ac:dyDescent="0.35">
      <c r="A234">
        <v>378</v>
      </c>
      <c r="B234" s="3">
        <v>0.35200000000000004</v>
      </c>
      <c r="C234" s="7">
        <v>2061097</v>
      </c>
      <c r="D234" s="3">
        <v>0.3883815269247396</v>
      </c>
      <c r="E234" s="7"/>
      <c r="F234" s="3"/>
      <c r="G234" s="3"/>
      <c r="H234" s="7"/>
    </row>
    <row r="235" spans="1:8" ht="14.5" x14ac:dyDescent="0.35">
      <c r="A235">
        <v>893</v>
      </c>
      <c r="B235" s="3">
        <v>0.498</v>
      </c>
      <c r="C235" s="7">
        <v>15554195</v>
      </c>
      <c r="D235" s="3">
        <v>0.41091075430133156</v>
      </c>
      <c r="E235" s="7"/>
      <c r="F235" s="3"/>
      <c r="G235" s="3"/>
      <c r="H235" s="7"/>
    </row>
    <row r="236" spans="1:8" ht="14.5" x14ac:dyDescent="0.35">
      <c r="A236">
        <v>187</v>
      </c>
      <c r="B236" s="3">
        <v>0.42200000000000004</v>
      </c>
      <c r="C236" s="7">
        <v>386924</v>
      </c>
      <c r="D236" s="3">
        <v>0.52063195873091361</v>
      </c>
      <c r="E236" s="7"/>
      <c r="F236" s="3"/>
      <c r="G236" s="3"/>
      <c r="H236" s="7"/>
    </row>
    <row r="237" spans="1:8" ht="14.5" x14ac:dyDescent="0.35">
      <c r="A237">
        <v>362</v>
      </c>
      <c r="B237" s="3">
        <v>0.49399999999999999</v>
      </c>
      <c r="C237" s="7">
        <v>6538733</v>
      </c>
      <c r="D237" s="3">
        <v>0.50304913811284235</v>
      </c>
      <c r="E237" s="7"/>
      <c r="F237" s="3"/>
      <c r="G237" s="3"/>
      <c r="H237" s="7"/>
    </row>
    <row r="238" spans="1:8" ht="14.5" x14ac:dyDescent="0.35">
      <c r="A238">
        <v>516</v>
      </c>
      <c r="B238" s="3">
        <v>0.51200000000000001</v>
      </c>
      <c r="C238" s="7">
        <v>66825920</v>
      </c>
      <c r="D238" s="3">
        <v>0.2592074602190288</v>
      </c>
      <c r="E238" s="7"/>
      <c r="F238" s="3"/>
      <c r="G238" s="3"/>
      <c r="H238" s="7"/>
    </row>
    <row r="239" spans="1:8" ht="14.5" x14ac:dyDescent="0.35">
      <c r="A239">
        <v>202</v>
      </c>
      <c r="B239" s="3">
        <v>0.54</v>
      </c>
      <c r="C239" s="7">
        <v>2859710</v>
      </c>
      <c r="D239" s="3">
        <v>0.46435687534750025</v>
      </c>
      <c r="E239" s="7"/>
      <c r="F239" s="3"/>
      <c r="G239" s="3"/>
      <c r="H239" s="7"/>
    </row>
    <row r="240" spans="1:8" ht="14.5" x14ac:dyDescent="0.35">
      <c r="A240">
        <v>440</v>
      </c>
      <c r="B240" s="3">
        <v>0.32299999999999995</v>
      </c>
      <c r="C240" s="7">
        <v>1742021</v>
      </c>
      <c r="D240" s="3">
        <v>0.34811176214293627</v>
      </c>
      <c r="E240" s="7"/>
      <c r="F240" s="3"/>
      <c r="G240" s="3"/>
      <c r="H240" s="7"/>
    </row>
    <row r="241" spans="1:8" ht="14.5" x14ac:dyDescent="0.35">
      <c r="A241">
        <v>374</v>
      </c>
      <c r="B241" s="3">
        <v>0.47299999999999998</v>
      </c>
      <c r="C241" s="7">
        <v>10022180</v>
      </c>
      <c r="D241" s="3">
        <v>0.44719402365553201</v>
      </c>
      <c r="E241" s="7"/>
      <c r="F241" s="3"/>
      <c r="G241" s="3"/>
      <c r="H241" s="7"/>
    </row>
    <row r="242" spans="1:8" ht="14.5" x14ac:dyDescent="0.35">
      <c r="A242">
        <v>693</v>
      </c>
      <c r="B242" s="3">
        <v>0.44200000000000006</v>
      </c>
      <c r="C242" s="7">
        <v>31275909</v>
      </c>
      <c r="D242" s="3">
        <v>0.33440521265105355</v>
      </c>
      <c r="E242" s="7"/>
      <c r="F242" s="3"/>
      <c r="G242" s="3"/>
      <c r="H242" s="7"/>
    </row>
    <row r="243" spans="1:8" ht="14.5" x14ac:dyDescent="0.35">
      <c r="A243">
        <v>462</v>
      </c>
      <c r="B243" s="3">
        <v>0.41600000000000004</v>
      </c>
      <c r="C243" s="7">
        <v>17573649</v>
      </c>
      <c r="D243" s="3">
        <v>0.30519273487253556</v>
      </c>
      <c r="E243" s="7"/>
      <c r="F243" s="3"/>
      <c r="G243" s="3"/>
      <c r="H243" s="7"/>
    </row>
    <row r="244" spans="1:8" ht="14.5" x14ac:dyDescent="0.35">
      <c r="A244">
        <v>527</v>
      </c>
      <c r="B244" s="3">
        <v>0.501</v>
      </c>
      <c r="C244" s="7">
        <v>20017623</v>
      </c>
      <c r="D244" s="3">
        <v>0.36856678737530424</v>
      </c>
      <c r="E244" s="7"/>
      <c r="F244" s="3"/>
      <c r="G244" s="3"/>
      <c r="H244" s="7"/>
    </row>
    <row r="245" spans="1:8" ht="14.5" x14ac:dyDescent="0.35">
      <c r="A245">
        <v>367</v>
      </c>
      <c r="B245" s="3">
        <v>0.44400000000000001</v>
      </c>
      <c r="C245" s="7">
        <v>8001913</v>
      </c>
      <c r="D245" s="3">
        <v>0.33499089530216086</v>
      </c>
      <c r="E245" s="7"/>
      <c r="F245" s="3"/>
      <c r="G245" s="3"/>
      <c r="H245" s="7"/>
    </row>
    <row r="246" spans="1:8" ht="14.5" x14ac:dyDescent="0.35">
      <c r="A246">
        <v>311</v>
      </c>
      <c r="B246" s="3">
        <v>0.53400000000000003</v>
      </c>
      <c r="C246" s="7">
        <v>17736798</v>
      </c>
      <c r="D246" s="3">
        <v>0.46510136722535828</v>
      </c>
      <c r="E246" s="7"/>
      <c r="F246" s="3"/>
      <c r="G246" s="3"/>
      <c r="H246" s="7"/>
    </row>
    <row r="247" spans="1:8" ht="14.5" x14ac:dyDescent="0.35">
      <c r="A247">
        <v>387</v>
      </c>
      <c r="B247" s="3">
        <v>0.47000000000000003</v>
      </c>
      <c r="C247" s="7">
        <v>3989583</v>
      </c>
      <c r="D247" s="3">
        <v>0.48571066199149132</v>
      </c>
      <c r="E247" s="7"/>
      <c r="F247" s="3"/>
      <c r="G247" s="3"/>
      <c r="H247" s="7"/>
    </row>
    <row r="248" spans="1:8" ht="14.5" x14ac:dyDescent="0.35">
      <c r="A248">
        <v>358</v>
      </c>
      <c r="B248" s="3">
        <v>0.49700000000000005</v>
      </c>
      <c r="C248" s="7">
        <v>2167626</v>
      </c>
      <c r="D248" s="3">
        <v>0.54874780058921602</v>
      </c>
      <c r="E248" s="7"/>
      <c r="F248" s="3"/>
      <c r="G248" s="3"/>
      <c r="H248" s="7"/>
    </row>
    <row r="249" spans="1:8" ht="14.5" x14ac:dyDescent="0.35">
      <c r="A249">
        <v>913</v>
      </c>
      <c r="B249" s="3">
        <v>0.50700000000000001</v>
      </c>
      <c r="C249" s="7">
        <v>25438043</v>
      </c>
      <c r="D249" s="3">
        <v>0.48685679161718531</v>
      </c>
      <c r="E249" s="7"/>
      <c r="F249" s="3"/>
      <c r="G249" s="3"/>
      <c r="H249" s="7"/>
    </row>
    <row r="250" spans="1:8" ht="14.5" x14ac:dyDescent="0.35">
      <c r="A250">
        <v>355</v>
      </c>
      <c r="B250" s="3">
        <v>0.45100000000000001</v>
      </c>
      <c r="C250" s="7">
        <v>4906487</v>
      </c>
      <c r="D250" s="3">
        <v>0.42838246590686985</v>
      </c>
      <c r="E250" s="7"/>
      <c r="F250" s="3"/>
      <c r="G250" s="3"/>
      <c r="H250" s="7"/>
    </row>
    <row r="251" spans="1:8" ht="14.5" x14ac:dyDescent="0.35">
      <c r="A251">
        <v>310</v>
      </c>
      <c r="B251" s="3">
        <v>0.52900000000000003</v>
      </c>
      <c r="C251" s="7">
        <v>4213436</v>
      </c>
      <c r="D251" s="3">
        <v>0.46319440950331275</v>
      </c>
      <c r="E251" s="7"/>
      <c r="F251" s="3"/>
      <c r="G251" s="3"/>
      <c r="H251" s="7"/>
    </row>
    <row r="252" spans="1:8" ht="14.5" x14ac:dyDescent="0.35">
      <c r="B252" s="3"/>
    </row>
    <row r="253" spans="1:8" ht="14.5" x14ac:dyDescent="0.35">
      <c r="B253" s="3"/>
    </row>
    <row r="254" spans="1:8" ht="14.5" x14ac:dyDescent="0.35">
      <c r="B254" s="3"/>
    </row>
    <row r="255" spans="1:8" ht="14.5" x14ac:dyDescent="0.35">
      <c r="B255" s="3"/>
    </row>
    <row r="256" spans="1:8" ht="14.5" x14ac:dyDescent="0.35">
      <c r="B256" s="3"/>
    </row>
    <row r="257" spans="2:2" ht="14.5" x14ac:dyDescent="0.35">
      <c r="B257" s="3"/>
    </row>
    <row r="258" spans="2:2" ht="14.5" x14ac:dyDescent="0.35">
      <c r="B258" s="3"/>
    </row>
    <row r="259" spans="2:2" ht="14.5" x14ac:dyDescent="0.35">
      <c r="B259" s="3"/>
    </row>
    <row r="260" spans="2:2" ht="14.5" x14ac:dyDescent="0.35">
      <c r="B260" s="3"/>
    </row>
    <row r="261" spans="2:2" ht="14.5" x14ac:dyDescent="0.35">
      <c r="B261" s="3"/>
    </row>
    <row r="262" spans="2:2" ht="14.5" x14ac:dyDescent="0.35">
      <c r="B262" s="3"/>
    </row>
    <row r="263" spans="2:2" ht="14.5" x14ac:dyDescent="0.35">
      <c r="B263" s="3"/>
    </row>
    <row r="264" spans="2:2" ht="14.5" x14ac:dyDescent="0.35">
      <c r="B264" s="3"/>
    </row>
    <row r="265" spans="2:2" ht="14.5" x14ac:dyDescent="0.35">
      <c r="B265" s="3"/>
    </row>
    <row r="266" spans="2:2" ht="14.5" x14ac:dyDescent="0.35">
      <c r="B266" s="3"/>
    </row>
    <row r="267" spans="2:2" ht="14.5" x14ac:dyDescent="0.35">
      <c r="B267" s="3"/>
    </row>
    <row r="268" spans="2:2" ht="14.5" x14ac:dyDescent="0.35">
      <c r="B268" s="3"/>
    </row>
    <row r="269" spans="2:2" ht="14.5" x14ac:dyDescent="0.35">
      <c r="B269" s="3"/>
    </row>
    <row r="270" spans="2:2" ht="14.5" x14ac:dyDescent="0.35">
      <c r="B270" s="3"/>
    </row>
    <row r="271" spans="2:2" ht="14.5" x14ac:dyDescent="0.35">
      <c r="B271" s="3"/>
    </row>
    <row r="272" spans="2:2" ht="14.5" x14ac:dyDescent="0.35">
      <c r="B272" s="3"/>
    </row>
    <row r="273" spans="2:2" ht="14.5" x14ac:dyDescent="0.35">
      <c r="B273" s="3"/>
    </row>
    <row r="274" spans="2:2" ht="14.5" x14ac:dyDescent="0.35">
      <c r="B274" s="3"/>
    </row>
    <row r="275" spans="2:2" ht="14.5" x14ac:dyDescent="0.35">
      <c r="B275" s="3"/>
    </row>
    <row r="276" spans="2:2" ht="14.5" x14ac:dyDescent="0.35">
      <c r="B276" s="3"/>
    </row>
    <row r="277" spans="2:2" ht="14.5" x14ac:dyDescent="0.35">
      <c r="B277" s="3"/>
    </row>
    <row r="278" spans="2:2" ht="14.5" x14ac:dyDescent="0.35">
      <c r="B278" s="3"/>
    </row>
    <row r="279" spans="2:2" ht="14.5" x14ac:dyDescent="0.35">
      <c r="B279" s="3"/>
    </row>
    <row r="280" spans="2:2" ht="14.5" x14ac:dyDescent="0.35">
      <c r="B280" s="3"/>
    </row>
    <row r="281" spans="2:2" ht="14.5" x14ac:dyDescent="0.35">
      <c r="B281" s="3"/>
    </row>
    <row r="282" spans="2:2" ht="14.5" x14ac:dyDescent="0.35">
      <c r="B282" s="3"/>
    </row>
    <row r="283" spans="2:2" ht="14.5" x14ac:dyDescent="0.35">
      <c r="B283" s="3"/>
    </row>
    <row r="284" spans="2:2" ht="14.5" x14ac:dyDescent="0.35">
      <c r="B284" s="3"/>
    </row>
    <row r="285" spans="2:2" ht="14.5" x14ac:dyDescent="0.35">
      <c r="B285" s="3"/>
    </row>
    <row r="286" spans="2:2" ht="14.5" x14ac:dyDescent="0.35">
      <c r="B286" s="3"/>
    </row>
    <row r="287" spans="2:2" ht="14.5" x14ac:dyDescent="0.35">
      <c r="B287" s="3"/>
    </row>
    <row r="288" spans="2:2" ht="14.5" x14ac:dyDescent="0.35">
      <c r="B288" s="3"/>
    </row>
    <row r="289" spans="2:2" ht="14.5" x14ac:dyDescent="0.35">
      <c r="B289" s="3"/>
    </row>
    <row r="290" spans="2:2" ht="14.5" x14ac:dyDescent="0.35">
      <c r="B290" s="3"/>
    </row>
    <row r="291" spans="2:2" ht="14.5" x14ac:dyDescent="0.35">
      <c r="B291" s="3"/>
    </row>
    <row r="292" spans="2:2" ht="14.5" x14ac:dyDescent="0.35">
      <c r="B292" s="3"/>
    </row>
    <row r="293" spans="2:2" ht="14.5" x14ac:dyDescent="0.35">
      <c r="B293" s="3"/>
    </row>
    <row r="294" spans="2:2" ht="14.5" x14ac:dyDescent="0.35">
      <c r="B294" s="3"/>
    </row>
    <row r="295" spans="2:2" ht="14.5" x14ac:dyDescent="0.35">
      <c r="B295" s="3"/>
    </row>
    <row r="296" spans="2:2" ht="14.5" x14ac:dyDescent="0.35">
      <c r="B296" s="3"/>
    </row>
    <row r="297" spans="2:2" ht="14.5" x14ac:dyDescent="0.35">
      <c r="B297" s="3"/>
    </row>
    <row r="298" spans="2:2" ht="14.5" x14ac:dyDescent="0.35">
      <c r="B298" s="3"/>
    </row>
    <row r="299" spans="2:2" ht="14.5" x14ac:dyDescent="0.35">
      <c r="B299" s="3"/>
    </row>
    <row r="300" spans="2:2" ht="14.5" x14ac:dyDescent="0.35">
      <c r="B300" s="3"/>
    </row>
    <row r="301" spans="2:2" ht="14.5" x14ac:dyDescent="0.35">
      <c r="B301" s="3"/>
    </row>
    <row r="302" spans="2:2" ht="14.5" x14ac:dyDescent="0.35">
      <c r="B302" s="3"/>
    </row>
    <row r="303" spans="2:2" ht="14.5" x14ac:dyDescent="0.35">
      <c r="B303" s="3"/>
    </row>
    <row r="304" spans="2:2" ht="14.5" x14ac:dyDescent="0.35">
      <c r="B304" s="3"/>
    </row>
    <row r="305" spans="2:2" ht="14.5" x14ac:dyDescent="0.35">
      <c r="B305" s="3"/>
    </row>
    <row r="306" spans="2:2" ht="14.5" x14ac:dyDescent="0.35">
      <c r="B306" s="3"/>
    </row>
    <row r="307" spans="2:2" ht="14.5" x14ac:dyDescent="0.35">
      <c r="B307" s="3"/>
    </row>
    <row r="308" spans="2:2" ht="14.5" x14ac:dyDescent="0.35">
      <c r="B308" s="3"/>
    </row>
    <row r="309" spans="2:2" ht="14.5" x14ac:dyDescent="0.35">
      <c r="B309" s="3"/>
    </row>
    <row r="310" spans="2:2" ht="14.5" x14ac:dyDescent="0.35">
      <c r="B310" s="3"/>
    </row>
    <row r="311" spans="2:2" ht="14.5" x14ac:dyDescent="0.35">
      <c r="B311" s="3"/>
    </row>
    <row r="312" spans="2:2" ht="14.5" x14ac:dyDescent="0.35">
      <c r="B312" s="3"/>
    </row>
    <row r="313" spans="2:2" ht="14.5" x14ac:dyDescent="0.35">
      <c r="B313" s="3"/>
    </row>
    <row r="314" spans="2:2" ht="14.5" x14ac:dyDescent="0.35">
      <c r="B314" s="3"/>
    </row>
    <row r="315" spans="2:2" ht="14.5" x14ac:dyDescent="0.35">
      <c r="B315" s="3"/>
    </row>
    <row r="316" spans="2:2" ht="14.5" x14ac:dyDescent="0.35">
      <c r="B316" s="3"/>
    </row>
    <row r="317" spans="2:2" ht="14.5" x14ac:dyDescent="0.35">
      <c r="B317" s="3"/>
    </row>
    <row r="318" spans="2:2" ht="14.5" x14ac:dyDescent="0.35">
      <c r="B318" s="3"/>
    </row>
    <row r="319" spans="2:2" ht="14.5" x14ac:dyDescent="0.35">
      <c r="B319" s="3"/>
    </row>
    <row r="320" spans="2:2" ht="14.5" x14ac:dyDescent="0.35">
      <c r="B320" s="3"/>
    </row>
    <row r="321" spans="2:2" ht="14.5" x14ac:dyDescent="0.35">
      <c r="B321" s="3"/>
    </row>
    <row r="322" spans="2:2" ht="14.5" x14ac:dyDescent="0.35">
      <c r="B322" s="3"/>
    </row>
    <row r="323" spans="2:2" ht="14.5" x14ac:dyDescent="0.35">
      <c r="B323" s="3"/>
    </row>
    <row r="324" spans="2:2" ht="14.5" x14ac:dyDescent="0.35">
      <c r="B324" s="3"/>
    </row>
    <row r="325" spans="2:2" ht="14.5" x14ac:dyDescent="0.35">
      <c r="B325" s="3"/>
    </row>
    <row r="326" spans="2:2" ht="14.5" x14ac:dyDescent="0.35">
      <c r="B326" s="3"/>
    </row>
    <row r="327" spans="2:2" ht="14.5" x14ac:dyDescent="0.35">
      <c r="B327" s="3"/>
    </row>
    <row r="328" spans="2:2" ht="14.5" x14ac:dyDescent="0.35">
      <c r="B328" s="3"/>
    </row>
    <row r="329" spans="2:2" ht="14.5" x14ac:dyDescent="0.35">
      <c r="B329" s="3"/>
    </row>
    <row r="330" spans="2:2" ht="14.5" x14ac:dyDescent="0.35">
      <c r="B330" s="3"/>
    </row>
    <row r="331" spans="2:2" ht="14.5" x14ac:dyDescent="0.35">
      <c r="B331" s="3"/>
    </row>
    <row r="332" spans="2:2" ht="14.5" x14ac:dyDescent="0.35">
      <c r="B332" s="3"/>
    </row>
    <row r="333" spans="2:2" ht="14.5" x14ac:dyDescent="0.35">
      <c r="B333" s="3"/>
    </row>
    <row r="334" spans="2:2" ht="14.5" x14ac:dyDescent="0.35">
      <c r="B334" s="3"/>
    </row>
    <row r="335" spans="2:2" ht="14.5" x14ac:dyDescent="0.35">
      <c r="B335" s="3"/>
    </row>
    <row r="336" spans="2:2" ht="14.5" x14ac:dyDescent="0.35">
      <c r="B336" s="3"/>
    </row>
    <row r="337" spans="2:2" ht="14.5" x14ac:dyDescent="0.35">
      <c r="B337" s="3"/>
    </row>
    <row r="338" spans="2:2" ht="14.5" x14ac:dyDescent="0.35">
      <c r="B338" s="3"/>
    </row>
    <row r="339" spans="2:2" ht="14.5" x14ac:dyDescent="0.35">
      <c r="B339" s="3"/>
    </row>
    <row r="340" spans="2:2" ht="14.5" x14ac:dyDescent="0.35">
      <c r="B340" s="3"/>
    </row>
    <row r="341" spans="2:2" ht="14.5" x14ac:dyDescent="0.35">
      <c r="B341" s="3"/>
    </row>
    <row r="342" spans="2:2" ht="14.5" x14ac:dyDescent="0.35">
      <c r="B342" s="3"/>
    </row>
    <row r="343" spans="2:2" ht="14.5" x14ac:dyDescent="0.35">
      <c r="B343" s="3"/>
    </row>
    <row r="344" spans="2:2" ht="14.5" x14ac:dyDescent="0.35">
      <c r="B344" s="3"/>
    </row>
    <row r="345" spans="2:2" ht="14.5" x14ac:dyDescent="0.35">
      <c r="B345" s="3"/>
    </row>
    <row r="346" spans="2:2" ht="14.5" x14ac:dyDescent="0.35">
      <c r="B346" s="3"/>
    </row>
    <row r="347" spans="2:2" ht="14.5" x14ac:dyDescent="0.35">
      <c r="B347" s="3"/>
    </row>
    <row r="348" spans="2:2" ht="14.5" x14ac:dyDescent="0.35">
      <c r="B348" s="3"/>
    </row>
    <row r="349" spans="2:2" ht="14.5" x14ac:dyDescent="0.35">
      <c r="B349" s="3"/>
    </row>
    <row r="350" spans="2:2" ht="14.5" x14ac:dyDescent="0.35">
      <c r="B350" s="3"/>
    </row>
    <row r="351" spans="2:2" ht="14.5" x14ac:dyDescent="0.35">
      <c r="B351" s="3"/>
    </row>
    <row r="352" spans="2:2" ht="14.5" x14ac:dyDescent="0.35">
      <c r="B352" s="3"/>
    </row>
    <row r="353" spans="2:2" ht="14.5" x14ac:dyDescent="0.35">
      <c r="B353" s="3"/>
    </row>
    <row r="354" spans="2:2" ht="14.5" x14ac:dyDescent="0.35">
      <c r="B354" s="3"/>
    </row>
    <row r="355" spans="2:2" ht="14.5" x14ac:dyDescent="0.35">
      <c r="B355" s="3"/>
    </row>
    <row r="356" spans="2:2" ht="14.5" x14ac:dyDescent="0.35">
      <c r="B356" s="3"/>
    </row>
    <row r="357" spans="2:2" ht="14.5" x14ac:dyDescent="0.35">
      <c r="B357" s="3"/>
    </row>
    <row r="358" spans="2:2" ht="14.5" x14ac:dyDescent="0.35">
      <c r="B358" s="3"/>
    </row>
    <row r="359" spans="2:2" ht="14.5" x14ac:dyDescent="0.35">
      <c r="B359" s="3"/>
    </row>
    <row r="360" spans="2:2" ht="14.5" x14ac:dyDescent="0.35">
      <c r="B360" s="3"/>
    </row>
    <row r="361" spans="2:2" ht="14.5" x14ac:dyDescent="0.35">
      <c r="B361" s="3"/>
    </row>
    <row r="362" spans="2:2" ht="14.5" x14ac:dyDescent="0.35">
      <c r="B362" s="3"/>
    </row>
    <row r="363" spans="2:2" ht="14.5" x14ac:dyDescent="0.35">
      <c r="B363" s="3"/>
    </row>
    <row r="364" spans="2:2" ht="14.5" x14ac:dyDescent="0.35">
      <c r="B364" s="3"/>
    </row>
    <row r="365" spans="2:2" ht="14.5" x14ac:dyDescent="0.35">
      <c r="B365" s="3"/>
    </row>
    <row r="366" spans="2:2" ht="14.5" x14ac:dyDescent="0.35">
      <c r="B366" s="3"/>
    </row>
    <row r="367" spans="2:2" ht="14.5" x14ac:dyDescent="0.35">
      <c r="B367" s="3"/>
    </row>
    <row r="368" spans="2:2" ht="14.5" x14ac:dyDescent="0.35">
      <c r="B368" s="3"/>
    </row>
    <row r="369" spans="2:2" ht="14.5" x14ac:dyDescent="0.35">
      <c r="B369" s="3"/>
    </row>
    <row r="370" spans="2:2" ht="14.5" x14ac:dyDescent="0.35">
      <c r="B370" s="3"/>
    </row>
    <row r="371" spans="2:2" ht="14.5" x14ac:dyDescent="0.35">
      <c r="B371" s="3"/>
    </row>
    <row r="372" spans="2:2" ht="14.5" x14ac:dyDescent="0.35">
      <c r="B372" s="3"/>
    </row>
    <row r="373" spans="2:2" ht="14.5" x14ac:dyDescent="0.35">
      <c r="B373" s="3"/>
    </row>
    <row r="374" spans="2:2" ht="14.5" x14ac:dyDescent="0.35">
      <c r="B374" s="3"/>
    </row>
    <row r="375" spans="2:2" ht="14.5" x14ac:dyDescent="0.35">
      <c r="B375" s="3"/>
    </row>
    <row r="376" spans="2:2" ht="14.5" x14ac:dyDescent="0.35">
      <c r="B376" s="3"/>
    </row>
    <row r="377" spans="2:2" ht="14.5" x14ac:dyDescent="0.35">
      <c r="B377" s="3"/>
    </row>
    <row r="378" spans="2:2" ht="14.5" x14ac:dyDescent="0.35">
      <c r="B378" s="3"/>
    </row>
    <row r="379" spans="2:2" ht="14.5" x14ac:dyDescent="0.35">
      <c r="B379" s="3"/>
    </row>
    <row r="380" spans="2:2" ht="14.5" x14ac:dyDescent="0.35">
      <c r="B380" s="3"/>
    </row>
    <row r="381" spans="2:2" ht="14.5" x14ac:dyDescent="0.35">
      <c r="B381" s="3"/>
    </row>
    <row r="382" spans="2:2" ht="14.5" x14ac:dyDescent="0.35">
      <c r="B382" s="3"/>
    </row>
    <row r="383" spans="2:2" ht="14.5" x14ac:dyDescent="0.35">
      <c r="B383" s="3"/>
    </row>
    <row r="384" spans="2:2" ht="14.5" x14ac:dyDescent="0.35">
      <c r="B384" s="3"/>
    </row>
    <row r="385" spans="2:2" ht="14.5" x14ac:dyDescent="0.35">
      <c r="B385" s="3"/>
    </row>
    <row r="386" spans="2:2" ht="14.5" x14ac:dyDescent="0.35">
      <c r="B386" s="3"/>
    </row>
    <row r="387" spans="2:2" ht="14.5" x14ac:dyDescent="0.35">
      <c r="B387" s="3"/>
    </row>
    <row r="388" spans="2:2" ht="14.5" x14ac:dyDescent="0.35">
      <c r="B388" s="3"/>
    </row>
    <row r="389" spans="2:2" ht="14.5" x14ac:dyDescent="0.35">
      <c r="B389" s="3"/>
    </row>
    <row r="390" spans="2:2" ht="14.5" x14ac:dyDescent="0.35">
      <c r="B390" s="3"/>
    </row>
    <row r="391" spans="2:2" ht="14.5" x14ac:dyDescent="0.35">
      <c r="B391" s="3"/>
    </row>
    <row r="392" spans="2:2" ht="14.5" x14ac:dyDescent="0.35">
      <c r="B392" s="3"/>
    </row>
    <row r="393" spans="2:2" ht="14.5" x14ac:dyDescent="0.35">
      <c r="B393" s="3"/>
    </row>
    <row r="394" spans="2:2" ht="14.5" x14ac:dyDescent="0.35">
      <c r="B394" s="3"/>
    </row>
    <row r="395" spans="2:2" ht="14.5" x14ac:dyDescent="0.35">
      <c r="B395" s="3"/>
    </row>
    <row r="396" spans="2:2" ht="14.5" x14ac:dyDescent="0.35">
      <c r="B396" s="3"/>
    </row>
    <row r="397" spans="2:2" ht="14.5" x14ac:dyDescent="0.35">
      <c r="B397" s="3"/>
    </row>
    <row r="398" spans="2:2" ht="14.5" x14ac:dyDescent="0.35">
      <c r="B398" s="3"/>
    </row>
    <row r="399" spans="2:2" ht="14.5" x14ac:dyDescent="0.35">
      <c r="B399" s="3"/>
    </row>
    <row r="400" spans="2:2" ht="14.5" x14ac:dyDescent="0.35">
      <c r="B400" s="3"/>
    </row>
    <row r="401" spans="2:2" ht="14.5" x14ac:dyDescent="0.35">
      <c r="B401" s="3"/>
    </row>
    <row r="402" spans="2:2" ht="14.5" x14ac:dyDescent="0.35">
      <c r="B402" s="3"/>
    </row>
    <row r="403" spans="2:2" ht="14.5" x14ac:dyDescent="0.35">
      <c r="B403" s="3"/>
    </row>
    <row r="404" spans="2:2" ht="14.5" x14ac:dyDescent="0.35">
      <c r="B404" s="3"/>
    </row>
    <row r="405" spans="2:2" ht="14.5" x14ac:dyDescent="0.35">
      <c r="B405" s="3"/>
    </row>
    <row r="406" spans="2:2" ht="14.5" x14ac:dyDescent="0.35">
      <c r="B406" s="3"/>
    </row>
    <row r="407" spans="2:2" ht="14.5" x14ac:dyDescent="0.35">
      <c r="B407" s="3"/>
    </row>
    <row r="408" spans="2:2" ht="14.5" x14ac:dyDescent="0.35">
      <c r="B408" s="3"/>
    </row>
    <row r="409" spans="2:2" ht="14.5" x14ac:dyDescent="0.35">
      <c r="B409" s="3"/>
    </row>
    <row r="410" spans="2:2" ht="14.5" x14ac:dyDescent="0.35">
      <c r="B410" s="3"/>
    </row>
    <row r="411" spans="2:2" ht="14.5" x14ac:dyDescent="0.35">
      <c r="B411" s="3"/>
    </row>
    <row r="412" spans="2:2" ht="14.5" x14ac:dyDescent="0.35">
      <c r="B412" s="3"/>
    </row>
    <row r="413" spans="2:2" ht="14.5" x14ac:dyDescent="0.35">
      <c r="B413" s="3"/>
    </row>
    <row r="414" spans="2:2" ht="14.5" x14ac:dyDescent="0.35">
      <c r="B414" s="3"/>
    </row>
    <row r="415" spans="2:2" ht="14.5" x14ac:dyDescent="0.35">
      <c r="B415" s="3"/>
    </row>
    <row r="416" spans="2:2" ht="14.5" x14ac:dyDescent="0.35">
      <c r="B416" s="3"/>
    </row>
    <row r="417" spans="2:2" ht="14.5" x14ac:dyDescent="0.35">
      <c r="B417" s="3"/>
    </row>
    <row r="418" spans="2:2" ht="14.5" x14ac:dyDescent="0.35">
      <c r="B418" s="3"/>
    </row>
    <row r="419" spans="2:2" ht="14.5" x14ac:dyDescent="0.35">
      <c r="B419" s="3"/>
    </row>
    <row r="420" spans="2:2" ht="14.5" x14ac:dyDescent="0.35">
      <c r="B420" s="3"/>
    </row>
    <row r="421" spans="2:2" ht="14.5" x14ac:dyDescent="0.35">
      <c r="B421" s="3"/>
    </row>
    <row r="422" spans="2:2" ht="14.5" x14ac:dyDescent="0.35">
      <c r="B422" s="3"/>
    </row>
    <row r="423" spans="2:2" ht="14.5" x14ac:dyDescent="0.35">
      <c r="B423" s="3"/>
    </row>
    <row r="424" spans="2:2" ht="14.5" x14ac:dyDescent="0.35">
      <c r="B424" s="3"/>
    </row>
    <row r="425" spans="2:2" ht="14.5" x14ac:dyDescent="0.35">
      <c r="B425" s="3"/>
    </row>
    <row r="426" spans="2:2" ht="14.5" x14ac:dyDescent="0.35">
      <c r="B426" s="3"/>
    </row>
    <row r="427" spans="2:2" ht="14.5" x14ac:dyDescent="0.35">
      <c r="B427" s="3"/>
    </row>
    <row r="428" spans="2:2" ht="14.5" x14ac:dyDescent="0.35">
      <c r="B428" s="3"/>
    </row>
    <row r="429" spans="2:2" ht="14.5" x14ac:dyDescent="0.35">
      <c r="B429" s="3"/>
    </row>
    <row r="430" spans="2:2" ht="14.5" x14ac:dyDescent="0.35">
      <c r="B430" s="3"/>
    </row>
    <row r="431" spans="2:2" ht="14.5" x14ac:dyDescent="0.35">
      <c r="B431" s="3"/>
    </row>
    <row r="432" spans="2:2" ht="14.5" x14ac:dyDescent="0.35">
      <c r="B432" s="3"/>
    </row>
    <row r="433" spans="2:2" ht="14.5" x14ac:dyDescent="0.35">
      <c r="B433" s="3"/>
    </row>
    <row r="434" spans="2:2" ht="14.5" x14ac:dyDescent="0.35">
      <c r="B434" s="3"/>
    </row>
    <row r="435" spans="2:2" ht="14.5" x14ac:dyDescent="0.35">
      <c r="B435" s="3"/>
    </row>
    <row r="436" spans="2:2" ht="14.5" x14ac:dyDescent="0.35">
      <c r="B436" s="3"/>
    </row>
    <row r="437" spans="2:2" ht="14.5" x14ac:dyDescent="0.35">
      <c r="B437" s="3"/>
    </row>
    <row r="438" spans="2:2" ht="14.5" x14ac:dyDescent="0.35">
      <c r="B438" s="3"/>
    </row>
    <row r="439" spans="2:2" ht="14.5" x14ac:dyDescent="0.35">
      <c r="B439" s="3"/>
    </row>
    <row r="440" spans="2:2" ht="14.5" x14ac:dyDescent="0.35">
      <c r="B440" s="3"/>
    </row>
    <row r="441" spans="2:2" ht="14.5" x14ac:dyDescent="0.35">
      <c r="B441" s="3"/>
    </row>
    <row r="442" spans="2:2" ht="14.5" x14ac:dyDescent="0.35">
      <c r="B442" s="3"/>
    </row>
    <row r="443" spans="2:2" ht="14.5" x14ac:dyDescent="0.35">
      <c r="B443" s="3"/>
    </row>
    <row r="444" spans="2:2" ht="14.5" x14ac:dyDescent="0.35">
      <c r="B444" s="3"/>
    </row>
    <row r="445" spans="2:2" ht="14.5" x14ac:dyDescent="0.35">
      <c r="B445" s="3"/>
    </row>
    <row r="446" spans="2:2" ht="14.5" x14ac:dyDescent="0.35">
      <c r="B446" s="3"/>
    </row>
    <row r="447" spans="2:2" ht="14.5" x14ac:dyDescent="0.35">
      <c r="B447" s="3"/>
    </row>
    <row r="448" spans="2:2" ht="14.5" x14ac:dyDescent="0.35">
      <c r="B448" s="3"/>
    </row>
    <row r="449" spans="2:2" ht="14.5" x14ac:dyDescent="0.35">
      <c r="B449" s="3"/>
    </row>
    <row r="450" spans="2:2" ht="14.5" x14ac:dyDescent="0.35">
      <c r="B450" s="3"/>
    </row>
    <row r="451" spans="2:2" ht="14.5" x14ac:dyDescent="0.35">
      <c r="B451" s="3"/>
    </row>
    <row r="452" spans="2:2" ht="14.5" x14ac:dyDescent="0.35">
      <c r="B452" s="3"/>
    </row>
    <row r="453" spans="2:2" ht="14.5" x14ac:dyDescent="0.35">
      <c r="B453" s="3"/>
    </row>
    <row r="454" spans="2:2" ht="14.5" x14ac:dyDescent="0.35">
      <c r="B454" s="3"/>
    </row>
    <row r="455" spans="2:2" ht="14.5" x14ac:dyDescent="0.35">
      <c r="B455" s="3"/>
    </row>
    <row r="456" spans="2:2" ht="14.5" x14ac:dyDescent="0.35">
      <c r="B456" s="3"/>
    </row>
    <row r="457" spans="2:2" ht="14.5" x14ac:dyDescent="0.35">
      <c r="B457" s="3"/>
    </row>
    <row r="458" spans="2:2" ht="14.5" x14ac:dyDescent="0.35">
      <c r="B458" s="3"/>
    </row>
    <row r="459" spans="2:2" ht="14.5" x14ac:dyDescent="0.35">
      <c r="B459" s="3"/>
    </row>
    <row r="460" spans="2:2" ht="14.5" x14ac:dyDescent="0.35">
      <c r="B460" s="3"/>
    </row>
    <row r="461" spans="2:2" ht="14.5" x14ac:dyDescent="0.35">
      <c r="B461" s="3"/>
    </row>
    <row r="462" spans="2:2" ht="14.5" x14ac:dyDescent="0.35">
      <c r="B462" s="3"/>
    </row>
    <row r="463" spans="2:2" ht="14.5" x14ac:dyDescent="0.35">
      <c r="B463" s="3"/>
    </row>
    <row r="464" spans="2:2" ht="14.5" x14ac:dyDescent="0.35">
      <c r="B464" s="3"/>
    </row>
    <row r="465" spans="2:2" ht="14.5" x14ac:dyDescent="0.35">
      <c r="B465" s="3"/>
    </row>
    <row r="466" spans="2:2" ht="14.5" x14ac:dyDescent="0.35">
      <c r="B466" s="3"/>
    </row>
    <row r="467" spans="2:2" ht="14.5" x14ac:dyDescent="0.35">
      <c r="B467" s="3"/>
    </row>
    <row r="468" spans="2:2" ht="14.5" x14ac:dyDescent="0.35">
      <c r="B468" s="3"/>
    </row>
    <row r="469" spans="2:2" ht="14.5" x14ac:dyDescent="0.35">
      <c r="B469" s="3"/>
    </row>
    <row r="470" spans="2:2" ht="14.5" x14ac:dyDescent="0.35">
      <c r="B470" s="3"/>
    </row>
    <row r="471" spans="2:2" ht="14.5" x14ac:dyDescent="0.35">
      <c r="B471" s="3"/>
    </row>
    <row r="472" spans="2:2" ht="14.5" x14ac:dyDescent="0.35">
      <c r="B472" s="3"/>
    </row>
    <row r="473" spans="2:2" ht="14.5" x14ac:dyDescent="0.35">
      <c r="B473" s="3"/>
    </row>
    <row r="474" spans="2:2" ht="14.5" x14ac:dyDescent="0.35">
      <c r="B474" s="3"/>
    </row>
    <row r="475" spans="2:2" ht="14.5" x14ac:dyDescent="0.35">
      <c r="B475" s="3"/>
    </row>
    <row r="476" spans="2:2" ht="14.5" x14ac:dyDescent="0.35">
      <c r="B476" s="3"/>
    </row>
    <row r="477" spans="2:2" ht="14.5" x14ac:dyDescent="0.35">
      <c r="B477" s="3"/>
    </row>
    <row r="478" spans="2:2" ht="14.5" x14ac:dyDescent="0.35">
      <c r="B478" s="3"/>
    </row>
    <row r="479" spans="2:2" ht="14.5" x14ac:dyDescent="0.35">
      <c r="B479" s="3"/>
    </row>
    <row r="480" spans="2:2" ht="14.5" x14ac:dyDescent="0.35">
      <c r="B480" s="3"/>
    </row>
    <row r="481" spans="2:2" ht="14.5" x14ac:dyDescent="0.35">
      <c r="B481" s="3"/>
    </row>
    <row r="482" spans="2:2" ht="14.5" x14ac:dyDescent="0.35">
      <c r="B482" s="3"/>
    </row>
    <row r="483" spans="2:2" ht="14.5" x14ac:dyDescent="0.35">
      <c r="B483" s="3"/>
    </row>
    <row r="484" spans="2:2" ht="14.5" x14ac:dyDescent="0.35">
      <c r="B484" s="3"/>
    </row>
    <row r="485" spans="2:2" ht="14.5" x14ac:dyDescent="0.35">
      <c r="B485" s="3"/>
    </row>
    <row r="486" spans="2:2" ht="14.5" x14ac:dyDescent="0.35">
      <c r="B486" s="3"/>
    </row>
    <row r="487" spans="2:2" ht="14.5" x14ac:dyDescent="0.35">
      <c r="B487" s="3"/>
    </row>
    <row r="488" spans="2:2" ht="14.5" x14ac:dyDescent="0.35">
      <c r="B488" s="3"/>
    </row>
    <row r="489" spans="2:2" ht="14.5" x14ac:dyDescent="0.35">
      <c r="B489" s="3"/>
    </row>
    <row r="490" spans="2:2" ht="14.5" x14ac:dyDescent="0.35">
      <c r="B490" s="3"/>
    </row>
    <row r="491" spans="2:2" ht="14.5" x14ac:dyDescent="0.35">
      <c r="B491" s="3"/>
    </row>
    <row r="492" spans="2:2" ht="14.5" x14ac:dyDescent="0.35">
      <c r="B492" s="3"/>
    </row>
    <row r="493" spans="2:2" ht="14.5" x14ac:dyDescent="0.35">
      <c r="B493" s="3"/>
    </row>
    <row r="494" spans="2:2" ht="14.5" x14ac:dyDescent="0.35">
      <c r="B494" s="3"/>
    </row>
    <row r="495" spans="2:2" ht="14.5" x14ac:dyDescent="0.35">
      <c r="B495" s="3"/>
    </row>
    <row r="496" spans="2:2" ht="14.5" x14ac:dyDescent="0.35">
      <c r="B496" s="3"/>
    </row>
    <row r="497" spans="2:2" ht="14.5" x14ac:dyDescent="0.35">
      <c r="B497" s="3"/>
    </row>
    <row r="498" spans="2:2" ht="14.5" x14ac:dyDescent="0.35">
      <c r="B498" s="3"/>
    </row>
    <row r="499" spans="2:2" ht="14.5" x14ac:dyDescent="0.35">
      <c r="B499" s="3"/>
    </row>
    <row r="500" spans="2:2" ht="14.5" x14ac:dyDescent="0.35">
      <c r="B500" s="3"/>
    </row>
    <row r="501" spans="2:2" ht="14.5" x14ac:dyDescent="0.35">
      <c r="B501" s="3"/>
    </row>
    <row r="502" spans="2:2" ht="14.5" x14ac:dyDescent="0.35"/>
    <row r="503" spans="2:2" ht="14.5" x14ac:dyDescent="0.35"/>
  </sheetData>
  <conditionalFormatting sqref="G3:J6">
    <cfRule type="colorScale" priority="1">
      <colorScale>
        <cfvo type="min"/>
        <cfvo type="percentile" val="50"/>
        <cfvo type="max"/>
        <color rgb="FFF8696B"/>
        <color rgb="FFFCFCFF"/>
        <color rgb="FF5A8AC6"/>
      </colorScale>
    </cfRule>
    <cfRule type="colorScale" priority="2">
      <colorScale>
        <cfvo type="min"/>
        <cfvo type="max"/>
        <color rgb="FF63BE7B"/>
        <color rgb="FFFFEF9C"/>
      </colorScale>
    </cfRule>
  </conditionalFormatting>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21BC5-D578-494F-AC1F-0D714DA6BF24}">
  <dimension ref="A1:I307"/>
  <sheetViews>
    <sheetView topLeftCell="A3" zoomScale="48" workbookViewId="0">
      <selection activeCell="Z47" sqref="Z47"/>
    </sheetView>
  </sheetViews>
  <sheetFormatPr defaultColWidth="8.81640625" defaultRowHeight="14.5" x14ac:dyDescent="0.35"/>
  <cols>
    <col min="1" max="1" width="16.453125" customWidth="1"/>
    <col min="2" max="2" width="12.54296875" bestFit="1" customWidth="1"/>
    <col min="3" max="3" width="12.453125" bestFit="1" customWidth="1"/>
    <col min="4" max="4" width="9.1796875" bestFit="1" customWidth="1"/>
    <col min="5" max="5" width="11.81640625" bestFit="1" customWidth="1"/>
    <col min="6" max="9" width="12.453125" bestFit="1" customWidth="1"/>
  </cols>
  <sheetData>
    <row r="1" spans="1:9" x14ac:dyDescent="0.35">
      <c r="A1" t="s">
        <v>1197</v>
      </c>
    </row>
    <row r="2" spans="1:9" ht="15" thickBot="1" x14ac:dyDescent="0.4"/>
    <row r="3" spans="1:9" x14ac:dyDescent="0.35">
      <c r="A3" s="6" t="s">
        <v>1198</v>
      </c>
      <c r="B3" s="6"/>
    </row>
    <row r="4" spans="1:9" x14ac:dyDescent="0.35">
      <c r="A4" t="s">
        <v>1199</v>
      </c>
      <c r="B4">
        <v>0.85042144282192045</v>
      </c>
    </row>
    <row r="5" spans="1:9" x14ac:dyDescent="0.35">
      <c r="A5" t="s">
        <v>1200</v>
      </c>
      <c r="B5">
        <v>0.7232166304113169</v>
      </c>
    </row>
    <row r="6" spans="1:9" x14ac:dyDescent="0.35">
      <c r="A6" t="s">
        <v>1201</v>
      </c>
      <c r="B6">
        <v>0.71107826848106581</v>
      </c>
    </row>
    <row r="7" spans="1:9" x14ac:dyDescent="0.35">
      <c r="A7" t="s">
        <v>1131</v>
      </c>
      <c r="B7">
        <v>4.6809550900610161E-2</v>
      </c>
    </row>
    <row r="8" spans="1:9" ht="15" thickBot="1" x14ac:dyDescent="0.4">
      <c r="A8" s="5" t="s">
        <v>1189</v>
      </c>
      <c r="B8" s="5">
        <v>250</v>
      </c>
    </row>
    <row r="10" spans="1:9" ht="15" thickBot="1" x14ac:dyDescent="0.4">
      <c r="A10" t="s">
        <v>1202</v>
      </c>
    </row>
    <row r="11" spans="1:9" x14ac:dyDescent="0.35">
      <c r="A11" s="6"/>
      <c r="B11" s="6" t="s">
        <v>1191</v>
      </c>
      <c r="C11" s="6" t="s">
        <v>1203</v>
      </c>
      <c r="D11" s="6" t="s">
        <v>1204</v>
      </c>
      <c r="E11" s="6" t="s">
        <v>1205</v>
      </c>
      <c r="F11" s="6" t="s">
        <v>1206</v>
      </c>
    </row>
    <row r="12" spans="1:9" x14ac:dyDescent="0.35">
      <c r="A12" t="s">
        <v>1207</v>
      </c>
      <c r="B12">
        <v>8</v>
      </c>
      <c r="C12">
        <v>1.3855197693603967</v>
      </c>
      <c r="D12">
        <v>0.17318997117004958</v>
      </c>
      <c r="E12">
        <v>90.332855319629715</v>
      </c>
      <c r="F12">
        <v>3.8451933736013538E-68</v>
      </c>
    </row>
    <row r="13" spans="1:9" x14ac:dyDescent="0.35">
      <c r="A13" t="s">
        <v>1208</v>
      </c>
      <c r="B13">
        <v>242</v>
      </c>
      <c r="C13">
        <v>0.53025444143506884</v>
      </c>
      <c r="D13">
        <v>2.1911340555168133E-3</v>
      </c>
    </row>
    <row r="14" spans="1:9" ht="15" thickBot="1" x14ac:dyDescent="0.4">
      <c r="A14" s="5" t="s">
        <v>1209</v>
      </c>
      <c r="B14" s="5">
        <v>250</v>
      </c>
      <c r="C14" s="5">
        <v>1.9157742107954654</v>
      </c>
      <c r="D14" s="5"/>
      <c r="E14" s="5"/>
      <c r="F14" s="5"/>
    </row>
    <row r="15" spans="1:9" ht="15" thickBot="1" x14ac:dyDescent="0.4"/>
    <row r="16" spans="1:9" x14ac:dyDescent="0.35">
      <c r="A16" s="6"/>
      <c r="B16" s="6" t="s">
        <v>1210</v>
      </c>
      <c r="C16" s="6" t="s">
        <v>1131</v>
      </c>
      <c r="D16" s="6" t="s">
        <v>1192</v>
      </c>
      <c r="E16" s="6" t="s">
        <v>1211</v>
      </c>
      <c r="F16" s="6" t="s">
        <v>1212</v>
      </c>
      <c r="G16" s="6" t="s">
        <v>1213</v>
      </c>
      <c r="H16" s="6" t="s">
        <v>1214</v>
      </c>
      <c r="I16" s="6" t="s">
        <v>1215</v>
      </c>
    </row>
    <row r="17" spans="1:9" x14ac:dyDescent="0.35">
      <c r="A17" t="s">
        <v>1216</v>
      </c>
      <c r="B17">
        <v>0.10623960493758729</v>
      </c>
      <c r="C17">
        <v>2.5210408316886927E-2</v>
      </c>
      <c r="D17">
        <v>4.2141167886766757</v>
      </c>
      <c r="E17">
        <v>3.5420529587769752E-5</v>
      </c>
      <c r="F17">
        <v>5.6579761097249368E-2</v>
      </c>
      <c r="G17">
        <v>0.15589944877792522</v>
      </c>
      <c r="H17">
        <v>5.6579761097249368E-2</v>
      </c>
      <c r="I17">
        <v>0.15589944877792522</v>
      </c>
    </row>
    <row r="18" spans="1:9" x14ac:dyDescent="0.35">
      <c r="A18" t="s">
        <v>4</v>
      </c>
      <c r="B18">
        <v>1.4282639894699394E-2</v>
      </c>
      <c r="C18">
        <v>6.4286781338517224E-3</v>
      </c>
      <c r="D18">
        <v>2.2217071063942027</v>
      </c>
      <c r="E18">
        <v>2.7228717734174256E-2</v>
      </c>
      <c r="F18">
        <v>1.6193324141526716E-3</v>
      </c>
      <c r="G18">
        <v>2.6945947375246117E-2</v>
      </c>
      <c r="H18">
        <v>1.6193324141526716E-3</v>
      </c>
      <c r="I18">
        <v>2.6945947375246117E-2</v>
      </c>
    </row>
    <row r="19" spans="1:9" x14ac:dyDescent="0.35">
      <c r="A19" t="s">
        <v>1116</v>
      </c>
      <c r="B19">
        <v>0</v>
      </c>
      <c r="C19">
        <v>0</v>
      </c>
      <c r="D19">
        <v>65535</v>
      </c>
      <c r="E19" t="e">
        <v>#NUM!</v>
      </c>
      <c r="F19">
        <v>0</v>
      </c>
      <c r="G19">
        <v>0</v>
      </c>
      <c r="H19">
        <v>0</v>
      </c>
      <c r="I19">
        <v>0</v>
      </c>
    </row>
    <row r="20" spans="1:9" x14ac:dyDescent="0.35">
      <c r="A20" t="s">
        <v>1114</v>
      </c>
      <c r="B20">
        <v>4.0654377461901627E-2</v>
      </c>
      <c r="C20">
        <v>9.5167015105194121E-3</v>
      </c>
      <c r="D20">
        <v>4.2718979277603459</v>
      </c>
      <c r="E20" t="e">
        <v>#NUM!</v>
      </c>
      <c r="F20">
        <v>2.1908234799430854E-2</v>
      </c>
      <c r="G20">
        <v>5.94005201243724E-2</v>
      </c>
      <c r="H20">
        <v>2.1908234799430854E-2</v>
      </c>
      <c r="I20">
        <v>5.94005201243724E-2</v>
      </c>
    </row>
    <row r="21" spans="1:9" x14ac:dyDescent="0.35">
      <c r="A21" t="s">
        <v>1115</v>
      </c>
      <c r="B21">
        <v>2.65428468584126E-2</v>
      </c>
      <c r="C21">
        <v>9.7052148749227334E-3</v>
      </c>
      <c r="D21">
        <v>2.7349056358346644</v>
      </c>
      <c r="E21">
        <v>6.7015020274747436E-3</v>
      </c>
      <c r="F21">
        <v>7.4253677177533728E-3</v>
      </c>
      <c r="G21">
        <v>4.5660325999071827E-2</v>
      </c>
      <c r="H21">
        <v>7.4253677177533728E-3</v>
      </c>
      <c r="I21">
        <v>4.5660325999071827E-2</v>
      </c>
    </row>
    <row r="22" spans="1:9" x14ac:dyDescent="0.35">
      <c r="A22" t="s">
        <v>28</v>
      </c>
      <c r="B22">
        <v>-4.4768404362182981E-5</v>
      </c>
      <c r="C22">
        <v>1.8442082732896035E-5</v>
      </c>
      <c r="D22">
        <v>-2.4275134761394064</v>
      </c>
      <c r="E22">
        <v>1.5933245309756414E-2</v>
      </c>
      <c r="F22">
        <v>-8.1095898034419528E-5</v>
      </c>
      <c r="G22">
        <v>-8.4409106899464281E-6</v>
      </c>
      <c r="H22">
        <v>-8.1095898034419528E-5</v>
      </c>
      <c r="I22">
        <v>-8.4409106899464281E-6</v>
      </c>
    </row>
    <row r="23" spans="1:9" x14ac:dyDescent="0.35">
      <c r="A23" t="s">
        <v>15</v>
      </c>
      <c r="B23">
        <v>0.77287632402928219</v>
      </c>
      <c r="C23">
        <v>4.3187117107353512E-2</v>
      </c>
      <c r="D23">
        <v>17.895992504155455</v>
      </c>
      <c r="E23">
        <v>3.3815191010448814E-46</v>
      </c>
      <c r="F23">
        <v>0.68780568715153756</v>
      </c>
      <c r="G23">
        <v>0.85794696090702682</v>
      </c>
      <c r="H23">
        <v>0.68780568715153756</v>
      </c>
      <c r="I23">
        <v>0.85794696090702682</v>
      </c>
    </row>
    <row r="24" spans="1:9" x14ac:dyDescent="0.35">
      <c r="A24" t="s">
        <v>17</v>
      </c>
      <c r="B24">
        <v>-2.7616216079584436E-9</v>
      </c>
      <c r="C24">
        <v>2.5362383649958133E-10</v>
      </c>
      <c r="D24">
        <v>-10.888651658587312</v>
      </c>
      <c r="E24">
        <v>9.874546429962728E-23</v>
      </c>
      <c r="F24">
        <v>-3.2612136794728122E-9</v>
      </c>
      <c r="G24">
        <v>-2.2620295364440749E-9</v>
      </c>
      <c r="H24">
        <v>-3.2612136794728122E-9</v>
      </c>
      <c r="I24">
        <v>-2.2620295364440749E-9</v>
      </c>
    </row>
    <row r="25" spans="1:9" ht="15" thickBot="1" x14ac:dyDescent="0.4">
      <c r="A25" s="5" t="s">
        <v>10</v>
      </c>
      <c r="B25" s="5">
        <v>-3.7224622809186045E-3</v>
      </c>
      <c r="C25" s="5">
        <v>6.070160865863268E-3</v>
      </c>
      <c r="D25" s="5">
        <v>-0.61323947802645495</v>
      </c>
      <c r="E25" s="5">
        <v>0.54029392300725132</v>
      </c>
      <c r="F25" s="5">
        <v>-1.5679557021132776E-2</v>
      </c>
      <c r="G25" s="5">
        <v>8.234632459295569E-3</v>
      </c>
      <c r="H25" s="5">
        <v>-1.5679557021132776E-2</v>
      </c>
      <c r="I25" s="5">
        <v>8.234632459295569E-3</v>
      </c>
    </row>
    <row r="27" spans="1:9" ht="23.5" x14ac:dyDescent="0.55000000000000004">
      <c r="A27" s="16" t="s">
        <v>1217</v>
      </c>
    </row>
    <row r="29" spans="1:9" x14ac:dyDescent="0.35">
      <c r="A29" t="s">
        <v>1218</v>
      </c>
    </row>
    <row r="30" spans="1:9" ht="15" thickBot="1" x14ac:dyDescent="0.4"/>
    <row r="31" spans="1:9" x14ac:dyDescent="0.35">
      <c r="A31" s="10" t="s">
        <v>1198</v>
      </c>
      <c r="B31" s="10"/>
    </row>
    <row r="32" spans="1:9" x14ac:dyDescent="0.35">
      <c r="A32" t="s">
        <v>1199</v>
      </c>
      <c r="B32">
        <v>0.85016852162701984</v>
      </c>
    </row>
    <row r="33" spans="1:9" x14ac:dyDescent="0.35">
      <c r="A33" t="s">
        <v>1200</v>
      </c>
      <c r="B33">
        <v>0.72278651516547243</v>
      </c>
    </row>
    <row r="34" spans="1:9" x14ac:dyDescent="0.35">
      <c r="A34" t="s">
        <v>1201</v>
      </c>
      <c r="B34" s="8">
        <v>0.71594173776215075</v>
      </c>
    </row>
    <row r="35" spans="1:9" x14ac:dyDescent="0.35">
      <c r="A35" t="s">
        <v>1131</v>
      </c>
      <c r="B35">
        <v>4.6749417158433115E-2</v>
      </c>
    </row>
    <row r="36" spans="1:9" ht="15" thickBot="1" x14ac:dyDescent="0.4">
      <c r="A36" s="5" t="s">
        <v>1189</v>
      </c>
      <c r="B36" s="5">
        <v>250</v>
      </c>
    </row>
    <row r="38" spans="1:9" ht="15" thickBot="1" x14ac:dyDescent="0.4">
      <c r="A38" t="s">
        <v>1202</v>
      </c>
    </row>
    <row r="39" spans="1:9" x14ac:dyDescent="0.35">
      <c r="A39" s="6"/>
      <c r="B39" s="6" t="s">
        <v>1191</v>
      </c>
      <c r="C39" s="6" t="s">
        <v>1203</v>
      </c>
      <c r="D39" s="6" t="s">
        <v>1204</v>
      </c>
      <c r="E39" s="6" t="s">
        <v>1205</v>
      </c>
      <c r="F39" s="6" t="s">
        <v>1206</v>
      </c>
    </row>
    <row r="40" spans="1:9" x14ac:dyDescent="0.35">
      <c r="A40" t="s">
        <v>1207</v>
      </c>
      <c r="B40">
        <v>6</v>
      </c>
      <c r="C40">
        <v>1.3846957656647378</v>
      </c>
      <c r="D40">
        <v>0.23078262761078963</v>
      </c>
      <c r="E40">
        <v>105.59678899341782</v>
      </c>
      <c r="F40" s="8">
        <v>7.9699632622872459E-65</v>
      </c>
    </row>
    <row r="41" spans="1:9" x14ac:dyDescent="0.35">
      <c r="A41" t="s">
        <v>1208</v>
      </c>
      <c r="B41">
        <v>243</v>
      </c>
      <c r="C41">
        <v>0.53107844513072777</v>
      </c>
      <c r="D41">
        <v>2.1855080046532006E-3</v>
      </c>
    </row>
    <row r="42" spans="1:9" ht="15" thickBot="1" x14ac:dyDescent="0.4">
      <c r="A42" s="5" t="s">
        <v>1209</v>
      </c>
      <c r="B42" s="5">
        <v>249</v>
      </c>
      <c r="C42" s="5">
        <v>1.9157742107954656</v>
      </c>
      <c r="D42" s="5"/>
      <c r="E42" s="5"/>
      <c r="F42" s="5"/>
    </row>
    <row r="43" spans="1:9" ht="15" thickBot="1" x14ac:dyDescent="0.4"/>
    <row r="44" spans="1:9" x14ac:dyDescent="0.35">
      <c r="A44" s="6"/>
      <c r="B44" s="6" t="s">
        <v>1210</v>
      </c>
      <c r="C44" s="6" t="s">
        <v>1131</v>
      </c>
      <c r="D44" s="6" t="s">
        <v>1192</v>
      </c>
      <c r="E44" s="6" t="s">
        <v>1211</v>
      </c>
      <c r="F44" s="6" t="s">
        <v>1212</v>
      </c>
      <c r="G44" s="6" t="s">
        <v>1213</v>
      </c>
      <c r="H44" s="6" t="s">
        <v>1214</v>
      </c>
      <c r="I44" s="6" t="s">
        <v>1215</v>
      </c>
    </row>
    <row r="45" spans="1:9" x14ac:dyDescent="0.35">
      <c r="A45" t="s">
        <v>1216</v>
      </c>
      <c r="B45" s="8">
        <v>0.1049120704199771</v>
      </c>
      <c r="C45">
        <v>2.5085025459293409E-2</v>
      </c>
      <c r="D45">
        <v>4.182258877521277</v>
      </c>
      <c r="E45" s="8">
        <v>4.0327301292935745E-5</v>
      </c>
      <c r="F45">
        <v>5.5500229561632752E-2</v>
      </c>
      <c r="G45">
        <v>0.15432391127832146</v>
      </c>
      <c r="H45">
        <v>5.5500229561632752E-2</v>
      </c>
      <c r="I45">
        <v>0.15432391127832146</v>
      </c>
    </row>
    <row r="46" spans="1:9" x14ac:dyDescent="0.35">
      <c r="A46" t="s">
        <v>4</v>
      </c>
      <c r="B46" s="8">
        <v>1.4120192818126695E-2</v>
      </c>
      <c r="C46">
        <v>6.4149665199796056E-3</v>
      </c>
      <c r="D46">
        <v>2.2011327376610512</v>
      </c>
      <c r="E46" s="8">
        <v>2.8667453222084152E-2</v>
      </c>
      <c r="F46">
        <v>1.4841560195510139E-3</v>
      </c>
      <c r="G46">
        <v>2.6756229616702376E-2</v>
      </c>
      <c r="H46">
        <v>1.4841560195510139E-3</v>
      </c>
      <c r="I46">
        <v>2.6756229616702376E-2</v>
      </c>
    </row>
    <row r="47" spans="1:9" x14ac:dyDescent="0.35">
      <c r="A47" t="s">
        <v>1114</v>
      </c>
      <c r="B47" s="8">
        <v>4.1032507214238595E-2</v>
      </c>
      <c r="C47">
        <v>9.4845047499241501E-3</v>
      </c>
      <c r="D47">
        <v>4.3262677700242325</v>
      </c>
      <c r="E47" s="8">
        <v>2.2160770383655284E-5</v>
      </c>
      <c r="F47">
        <v>2.2350172604534597E-2</v>
      </c>
      <c r="G47">
        <v>5.9714841823942592E-2</v>
      </c>
      <c r="H47">
        <v>2.2350172604534597E-2</v>
      </c>
      <c r="I47">
        <v>5.9714841823942592E-2</v>
      </c>
    </row>
    <row r="48" spans="1:9" x14ac:dyDescent="0.35">
      <c r="A48" t="s">
        <v>1115</v>
      </c>
      <c r="B48" s="8">
        <v>2.6850510209501188E-2</v>
      </c>
      <c r="C48">
        <v>9.6797875987852024E-3</v>
      </c>
      <c r="D48">
        <v>2.7738739032735475</v>
      </c>
      <c r="E48" s="8">
        <v>5.9693206410438718E-3</v>
      </c>
      <c r="F48">
        <v>7.783512444244696E-3</v>
      </c>
      <c r="G48">
        <v>4.5917507974757681E-2</v>
      </c>
      <c r="H48">
        <v>7.783512444244696E-3</v>
      </c>
      <c r="I48">
        <v>4.5917507974757681E-2</v>
      </c>
    </row>
    <row r="49" spans="1:9" x14ac:dyDescent="0.35">
      <c r="A49" t="s">
        <v>28</v>
      </c>
      <c r="B49" s="8">
        <v>-4.4283965111886123E-5</v>
      </c>
      <c r="C49">
        <v>1.8401485998957121E-5</v>
      </c>
      <c r="D49">
        <v>-2.4065428799824025</v>
      </c>
      <c r="E49" s="8">
        <v>1.6851537506814982E-2</v>
      </c>
      <c r="F49">
        <v>-8.0530741070435719E-5</v>
      </c>
      <c r="G49">
        <v>-8.037189153336526E-6</v>
      </c>
      <c r="H49">
        <v>-8.0530741070435719E-5</v>
      </c>
      <c r="I49">
        <v>-8.037189153336526E-6</v>
      </c>
    </row>
    <row r="50" spans="1:9" x14ac:dyDescent="0.35">
      <c r="A50" t="s">
        <v>15</v>
      </c>
      <c r="B50" s="8">
        <v>0.77170880253152008</v>
      </c>
      <c r="C50">
        <v>4.308970562241058E-2</v>
      </c>
      <c r="D50">
        <v>17.909354250268098</v>
      </c>
      <c r="E50" s="8">
        <v>2.6572680311029416E-46</v>
      </c>
      <c r="F50">
        <v>0.68683180369001962</v>
      </c>
      <c r="G50">
        <v>0.85658580137302054</v>
      </c>
      <c r="H50">
        <v>0.68683180369001962</v>
      </c>
      <c r="I50">
        <v>0.85658580137302054</v>
      </c>
    </row>
    <row r="51" spans="1:9" ht="15" thickBot="1" x14ac:dyDescent="0.4">
      <c r="A51" s="5" t="s">
        <v>17</v>
      </c>
      <c r="B51" s="17">
        <v>-2.7708379866258044E-9</v>
      </c>
      <c r="C51" s="5">
        <v>2.5285291305520586E-10</v>
      </c>
      <c r="D51" s="5">
        <v>-10.958299642056495</v>
      </c>
      <c r="E51" s="17">
        <v>5.6974998878132028E-23</v>
      </c>
      <c r="F51" s="5">
        <v>-3.2689011805710156E-9</v>
      </c>
      <c r="G51" s="5">
        <v>-2.2727747926805932E-9</v>
      </c>
      <c r="H51" s="5">
        <v>-3.2689011805710156E-9</v>
      </c>
      <c r="I51" s="5">
        <v>-2.2727747926805932E-9</v>
      </c>
    </row>
    <row r="55" spans="1:9" x14ac:dyDescent="0.35">
      <c r="A55" t="s">
        <v>1219</v>
      </c>
    </row>
    <row r="56" spans="1:9" ht="15" thickBot="1" x14ac:dyDescent="0.4"/>
    <row r="57" spans="1:9" x14ac:dyDescent="0.35">
      <c r="A57" s="6" t="s">
        <v>1220</v>
      </c>
      <c r="B57" s="6" t="s">
        <v>1221</v>
      </c>
      <c r="C57" s="6" t="s">
        <v>1222</v>
      </c>
      <c r="D57" s="6" t="s">
        <v>1223</v>
      </c>
    </row>
    <row r="58" spans="1:9" x14ac:dyDescent="0.35">
      <c r="A58">
        <v>1</v>
      </c>
      <c r="B58">
        <v>0.54925933237435753</v>
      </c>
      <c r="C58">
        <v>-5.3345753982558808E-3</v>
      </c>
      <c r="D58">
        <v>-0.11551016222427309</v>
      </c>
    </row>
    <row r="59" spans="1:9" x14ac:dyDescent="0.35">
      <c r="A59">
        <v>2</v>
      </c>
      <c r="B59">
        <v>0.53844092522058007</v>
      </c>
      <c r="C59">
        <v>3.7142916721940034E-2</v>
      </c>
      <c r="D59">
        <v>0.80425976122423604</v>
      </c>
    </row>
    <row r="60" spans="1:9" x14ac:dyDescent="0.35">
      <c r="A60">
        <v>3</v>
      </c>
      <c r="B60">
        <v>0.48440002230962492</v>
      </c>
      <c r="C60">
        <v>6.3632015209022119E-2</v>
      </c>
      <c r="D60">
        <v>1.3778311956851634</v>
      </c>
    </row>
    <row r="61" spans="1:9" x14ac:dyDescent="0.35">
      <c r="A61">
        <v>4</v>
      </c>
      <c r="B61">
        <v>0.35849001455963869</v>
      </c>
      <c r="C61">
        <v>-7.0147168820580863E-2</v>
      </c>
      <c r="D61">
        <v>-1.5189045509953645</v>
      </c>
    </row>
    <row r="62" spans="1:9" x14ac:dyDescent="0.35">
      <c r="A62">
        <v>5</v>
      </c>
      <c r="B62">
        <v>0.41410007698957063</v>
      </c>
      <c r="C62">
        <v>-1.0130009469184131E-2</v>
      </c>
      <c r="D62">
        <v>-0.21934623653486038</v>
      </c>
    </row>
    <row r="63" spans="1:9" x14ac:dyDescent="0.35">
      <c r="A63">
        <v>6</v>
      </c>
      <c r="B63">
        <v>0.44673148381080691</v>
      </c>
      <c r="C63">
        <v>-4.3798895114771863E-2</v>
      </c>
      <c r="D63">
        <v>-0.94838241139216284</v>
      </c>
    </row>
    <row r="64" spans="1:9" x14ac:dyDescent="0.35">
      <c r="A64">
        <v>7</v>
      </c>
      <c r="B64">
        <v>0.35367848822032177</v>
      </c>
      <c r="C64">
        <v>-4.0828383693807979E-2</v>
      </c>
      <c r="D64">
        <v>-0.8840615928623925</v>
      </c>
    </row>
    <row r="65" spans="1:4" x14ac:dyDescent="0.35">
      <c r="A65">
        <v>8</v>
      </c>
      <c r="B65">
        <v>0.35847278718228831</v>
      </c>
      <c r="C65">
        <v>-4.1739432165530943E-2</v>
      </c>
      <c r="D65">
        <v>-0.90378862808197191</v>
      </c>
    </row>
    <row r="66" spans="1:4" x14ac:dyDescent="0.35">
      <c r="A66">
        <v>9</v>
      </c>
      <c r="B66">
        <v>0.37455966458074902</v>
      </c>
      <c r="C66">
        <v>-2.424651855519705E-2</v>
      </c>
      <c r="D66">
        <v>-0.52501259849103321</v>
      </c>
    </row>
    <row r="67" spans="1:4" x14ac:dyDescent="0.35">
      <c r="A67">
        <v>10</v>
      </c>
      <c r="B67">
        <v>0.34059621408791502</v>
      </c>
      <c r="C67">
        <v>-1.7317226551329223E-2</v>
      </c>
      <c r="D67">
        <v>-0.37497185790504028</v>
      </c>
    </row>
    <row r="68" spans="1:4" x14ac:dyDescent="0.35">
      <c r="A68">
        <v>11</v>
      </c>
      <c r="B68">
        <v>0.55868745266960274</v>
      </c>
      <c r="C68">
        <v>2.5075771403070268E-3</v>
      </c>
      <c r="D68">
        <v>5.4296850385026636E-2</v>
      </c>
    </row>
    <row r="69" spans="1:4" x14ac:dyDescent="0.35">
      <c r="A69">
        <v>12</v>
      </c>
      <c r="B69">
        <v>0.38087092786033244</v>
      </c>
      <c r="C69">
        <v>-1.1714544813047956E-2</v>
      </c>
      <c r="D69">
        <v>-0.25365635888867427</v>
      </c>
    </row>
    <row r="70" spans="1:4" x14ac:dyDescent="0.35">
      <c r="A70">
        <v>13</v>
      </c>
      <c r="B70">
        <v>0.4901845482127713</v>
      </c>
      <c r="C70">
        <v>2.8962148423792689E-2</v>
      </c>
      <c r="D70">
        <v>0.62712066341578776</v>
      </c>
    </row>
    <row r="71" spans="1:4" x14ac:dyDescent="0.35">
      <c r="A71">
        <v>14</v>
      </c>
      <c r="B71">
        <v>0.41030061951755498</v>
      </c>
      <c r="C71">
        <v>8.4663257721761753E-2</v>
      </c>
      <c r="D71">
        <v>1.8332230597159618</v>
      </c>
    </row>
    <row r="72" spans="1:4" x14ac:dyDescent="0.35">
      <c r="A72">
        <v>15</v>
      </c>
      <c r="B72">
        <v>0.57020066358140387</v>
      </c>
      <c r="C72">
        <v>-7.334168595128443E-2</v>
      </c>
      <c r="D72">
        <v>-1.5880757904001785</v>
      </c>
    </row>
    <row r="73" spans="1:4" x14ac:dyDescent="0.35">
      <c r="A73">
        <v>16</v>
      </c>
      <c r="B73">
        <v>0.40119318613253946</v>
      </c>
      <c r="C73">
        <v>2.0688453461174428E-2</v>
      </c>
      <c r="D73">
        <v>0.44796941407012342</v>
      </c>
    </row>
    <row r="74" spans="1:4" x14ac:dyDescent="0.35">
      <c r="A74">
        <v>17</v>
      </c>
      <c r="B74">
        <v>0.47717783994750884</v>
      </c>
      <c r="C74">
        <v>5.4134865031117418E-3</v>
      </c>
      <c r="D74">
        <v>0.1172188332698032</v>
      </c>
    </row>
    <row r="75" spans="1:4" x14ac:dyDescent="0.35">
      <c r="A75">
        <v>18</v>
      </c>
      <c r="B75">
        <v>0.35739646324286789</v>
      </c>
      <c r="C75">
        <v>1.9445024219699902E-2</v>
      </c>
      <c r="D75">
        <v>0.4210453005888356</v>
      </c>
    </row>
    <row r="76" spans="1:4" x14ac:dyDescent="0.35">
      <c r="A76">
        <v>19</v>
      </c>
      <c r="B76">
        <v>0.43549702840868854</v>
      </c>
      <c r="C76">
        <v>3.6520169403153613E-3</v>
      </c>
      <c r="D76">
        <v>7.9077534335636426E-2</v>
      </c>
    </row>
    <row r="77" spans="1:4" x14ac:dyDescent="0.35">
      <c r="A77">
        <v>20</v>
      </c>
      <c r="B77">
        <v>0.54414850456648012</v>
      </c>
      <c r="C77">
        <v>-6.7613090133375575E-2</v>
      </c>
      <c r="D77">
        <v>-1.464033859629027</v>
      </c>
    </row>
    <row r="78" spans="1:4" x14ac:dyDescent="0.35">
      <c r="A78">
        <v>21</v>
      </c>
      <c r="B78">
        <v>0.41425980810377283</v>
      </c>
      <c r="C78">
        <v>3.1471355216155072E-2</v>
      </c>
      <c r="D78">
        <v>0.68145280084040616</v>
      </c>
    </row>
    <row r="79" spans="1:4" x14ac:dyDescent="0.35">
      <c r="A79">
        <v>22</v>
      </c>
      <c r="B79">
        <v>0.41238642211914439</v>
      </c>
      <c r="C79">
        <v>0.11247237631704993</v>
      </c>
      <c r="D79">
        <v>2.4353770383261457</v>
      </c>
    </row>
    <row r="80" spans="1:4" x14ac:dyDescent="0.35">
      <c r="A80">
        <v>23</v>
      </c>
      <c r="B80">
        <v>0.2206368049078897</v>
      </c>
      <c r="C80">
        <v>5.207256450127315E-2</v>
      </c>
      <c r="D80">
        <v>1.1275331069352843</v>
      </c>
    </row>
    <row r="81" spans="1:4" x14ac:dyDescent="0.35">
      <c r="A81">
        <v>24</v>
      </c>
      <c r="B81">
        <v>0.40362745368512981</v>
      </c>
      <c r="C81">
        <v>-2.0663002102265682E-2</v>
      </c>
      <c r="D81">
        <v>-0.44741831292768969</v>
      </c>
    </row>
    <row r="82" spans="1:4" x14ac:dyDescent="0.35">
      <c r="A82">
        <v>25</v>
      </c>
      <c r="B82">
        <v>0.51508195766894038</v>
      </c>
      <c r="C82">
        <v>2.1033861955958133E-2</v>
      </c>
      <c r="D82">
        <v>0.45544858312998004</v>
      </c>
    </row>
    <row r="83" spans="1:4" x14ac:dyDescent="0.35">
      <c r="A83">
        <v>26</v>
      </c>
      <c r="B83">
        <v>0.37862699385938547</v>
      </c>
      <c r="C83">
        <v>-1.3672521500146584E-2</v>
      </c>
      <c r="D83">
        <v>-0.29605264872873377</v>
      </c>
    </row>
    <row r="84" spans="1:4" x14ac:dyDescent="0.35">
      <c r="A84">
        <v>27</v>
      </c>
      <c r="B84">
        <v>0.40572683378967211</v>
      </c>
      <c r="C84">
        <v>-5.1016419629036525E-2</v>
      </c>
      <c r="D84">
        <v>-1.1046642830052162</v>
      </c>
    </row>
    <row r="85" spans="1:4" x14ac:dyDescent="0.35">
      <c r="A85">
        <v>28</v>
      </c>
      <c r="B85">
        <v>0.46657069462081113</v>
      </c>
      <c r="C85">
        <v>2.8298108515835141E-2</v>
      </c>
      <c r="D85">
        <v>0.61274213246154441</v>
      </c>
    </row>
    <row r="86" spans="1:4" x14ac:dyDescent="0.35">
      <c r="A86">
        <v>29</v>
      </c>
      <c r="B86">
        <v>0.51714067185568047</v>
      </c>
      <c r="C86">
        <v>7.7186684539566341E-2</v>
      </c>
      <c r="D86">
        <v>1.6713319781053431</v>
      </c>
    </row>
    <row r="87" spans="1:4" x14ac:dyDescent="0.35">
      <c r="A87">
        <v>30</v>
      </c>
      <c r="B87">
        <v>0.44605637764251804</v>
      </c>
      <c r="C87">
        <v>-3.6833740573344709E-2</v>
      </c>
      <c r="D87">
        <v>-0.797565135239233</v>
      </c>
    </row>
    <row r="88" spans="1:4" x14ac:dyDescent="0.35">
      <c r="A88">
        <v>31</v>
      </c>
      <c r="B88">
        <v>0.50176556473931333</v>
      </c>
      <c r="C88">
        <v>3.0795601682177431E-2</v>
      </c>
      <c r="D88">
        <v>0.66682063342200149</v>
      </c>
    </row>
    <row r="89" spans="1:4" x14ac:dyDescent="0.35">
      <c r="A89">
        <v>32</v>
      </c>
      <c r="B89">
        <v>0.57545752395273975</v>
      </c>
      <c r="C89">
        <v>-2.3794658806409519E-2</v>
      </c>
      <c r="D89">
        <v>-0.51522842843278804</v>
      </c>
    </row>
    <row r="90" spans="1:4" x14ac:dyDescent="0.35">
      <c r="A90">
        <v>33</v>
      </c>
      <c r="B90">
        <v>0.4606088199013994</v>
      </c>
      <c r="C90">
        <v>3.9112009185115093E-2</v>
      </c>
      <c r="D90">
        <v>0.8468967422162581</v>
      </c>
    </row>
    <row r="91" spans="1:4" x14ac:dyDescent="0.35">
      <c r="A91">
        <v>34</v>
      </c>
      <c r="B91">
        <v>0.32966786426479122</v>
      </c>
      <c r="C91">
        <v>-8.470353064022168E-2</v>
      </c>
      <c r="D91">
        <v>-1.8340950937575224</v>
      </c>
    </row>
    <row r="92" spans="1:4" x14ac:dyDescent="0.35">
      <c r="A92">
        <v>35</v>
      </c>
      <c r="B92">
        <v>0.37014791867483898</v>
      </c>
      <c r="C92">
        <v>-6.1890682120288587E-2</v>
      </c>
      <c r="D92">
        <v>-1.3401259140929551</v>
      </c>
    </row>
    <row r="93" spans="1:4" x14ac:dyDescent="0.35">
      <c r="A93">
        <v>36</v>
      </c>
      <c r="B93">
        <v>0.41537371174084248</v>
      </c>
      <c r="C93">
        <v>-1.1383754395795809E-2</v>
      </c>
      <c r="D93">
        <v>-0.24649371670884437</v>
      </c>
    </row>
    <row r="94" spans="1:4" x14ac:dyDescent="0.35">
      <c r="A94">
        <v>37</v>
      </c>
      <c r="B94">
        <v>0.36233827321049422</v>
      </c>
      <c r="C94">
        <v>-1.5185722631792631E-2</v>
      </c>
      <c r="D94">
        <v>-0.328818163347111</v>
      </c>
    </row>
    <row r="95" spans="1:4" x14ac:dyDescent="0.35">
      <c r="A95">
        <v>38</v>
      </c>
      <c r="B95">
        <v>0.37055579407899353</v>
      </c>
      <c r="C95">
        <v>2.6833706816984826E-2</v>
      </c>
      <c r="D95">
        <v>0.58103327746044997</v>
      </c>
    </row>
    <row r="96" spans="1:4" x14ac:dyDescent="0.35">
      <c r="A96">
        <v>39</v>
      </c>
      <c r="B96">
        <v>0.37289340466695969</v>
      </c>
      <c r="C96">
        <v>-0.10391986704247108</v>
      </c>
      <c r="D96">
        <v>-2.2501885912654496</v>
      </c>
    </row>
    <row r="97" spans="1:4" x14ac:dyDescent="0.35">
      <c r="A97">
        <v>40</v>
      </c>
      <c r="B97">
        <v>0.4638464984688685</v>
      </c>
      <c r="C97">
        <v>7.7703507696118002E-3</v>
      </c>
      <c r="D97">
        <v>0.16825228081522969</v>
      </c>
    </row>
    <row r="98" spans="1:4" x14ac:dyDescent="0.35">
      <c r="A98">
        <v>41</v>
      </c>
      <c r="B98">
        <v>0.22189842802801521</v>
      </c>
      <c r="C98">
        <v>7.0719355113745247E-2</v>
      </c>
      <c r="D98">
        <v>1.5312941652779806</v>
      </c>
    </row>
    <row r="99" spans="1:4" x14ac:dyDescent="0.35">
      <c r="A99">
        <v>42</v>
      </c>
      <c r="B99">
        <v>0.45836614385419944</v>
      </c>
      <c r="C99">
        <v>5.7703450527940847E-2</v>
      </c>
      <c r="D99">
        <v>1.2494593165862777</v>
      </c>
    </row>
    <row r="100" spans="1:4" x14ac:dyDescent="0.35">
      <c r="A100">
        <v>43</v>
      </c>
      <c r="B100">
        <v>0.33398403052667996</v>
      </c>
      <c r="C100">
        <v>-1.9286956099882624E-2</v>
      </c>
      <c r="D100">
        <v>-0.41762263377854941</v>
      </c>
    </row>
    <row r="101" spans="1:4" x14ac:dyDescent="0.35">
      <c r="A101">
        <v>44</v>
      </c>
      <c r="B101">
        <v>0.48523288085280036</v>
      </c>
      <c r="C101">
        <v>6.0910088668537976E-2</v>
      </c>
      <c r="D101">
        <v>1.3188930135841712</v>
      </c>
    </row>
    <row r="102" spans="1:4" x14ac:dyDescent="0.35">
      <c r="A102">
        <v>45</v>
      </c>
      <c r="B102">
        <v>0.50276415039687028</v>
      </c>
      <c r="C102">
        <v>3.536690373418383E-2</v>
      </c>
      <c r="D102">
        <v>0.76580355187059057</v>
      </c>
    </row>
    <row r="103" spans="1:4" x14ac:dyDescent="0.35">
      <c r="A103">
        <v>46</v>
      </c>
      <c r="B103">
        <v>0.50793447856011176</v>
      </c>
      <c r="C103">
        <v>-3.4698781452857652E-3</v>
      </c>
      <c r="D103">
        <v>-7.5133662482577454E-2</v>
      </c>
    </row>
    <row r="104" spans="1:4" x14ac:dyDescent="0.35">
      <c r="A104">
        <v>47</v>
      </c>
      <c r="B104">
        <v>0.54668464575269771</v>
      </c>
      <c r="C104">
        <v>3.7413456620708607E-2</v>
      </c>
      <c r="D104">
        <v>0.81011779213802038</v>
      </c>
    </row>
    <row r="105" spans="1:4" x14ac:dyDescent="0.35">
      <c r="A105">
        <v>48</v>
      </c>
      <c r="B105">
        <v>0.48335964925473468</v>
      </c>
      <c r="C105">
        <v>3.1848619951115376E-2</v>
      </c>
      <c r="D105">
        <v>0.68962175665852243</v>
      </c>
    </row>
    <row r="106" spans="1:4" x14ac:dyDescent="0.35">
      <c r="A106">
        <v>49</v>
      </c>
      <c r="B106">
        <v>0.39474096544746656</v>
      </c>
      <c r="C106">
        <v>9.9641475004241253E-3</v>
      </c>
      <c r="D106">
        <v>0.2157548086351686</v>
      </c>
    </row>
    <row r="107" spans="1:4" x14ac:dyDescent="0.35">
      <c r="A107">
        <v>50</v>
      </c>
      <c r="B107">
        <v>0.48655699418414095</v>
      </c>
      <c r="C107">
        <v>1.0041589251443273E-2</v>
      </c>
      <c r="D107">
        <v>0.21743166359649843</v>
      </c>
    </row>
    <row r="108" spans="1:4" x14ac:dyDescent="0.35">
      <c r="A108">
        <v>51</v>
      </c>
      <c r="B108">
        <v>0.22620557472433811</v>
      </c>
      <c r="C108">
        <v>3.0566755781056942E-2</v>
      </c>
      <c r="D108">
        <v>0.66186540733757304</v>
      </c>
    </row>
    <row r="109" spans="1:4" x14ac:dyDescent="0.35">
      <c r="A109">
        <v>52</v>
      </c>
      <c r="B109">
        <v>0.48297794568257674</v>
      </c>
      <c r="C109">
        <v>3.4157574071014329E-2</v>
      </c>
      <c r="D109">
        <v>0.73961780040084746</v>
      </c>
    </row>
    <row r="110" spans="1:4" x14ac:dyDescent="0.35">
      <c r="A110">
        <v>53</v>
      </c>
      <c r="B110">
        <v>0.41992040662875113</v>
      </c>
      <c r="C110">
        <v>8.7639083648571148E-2</v>
      </c>
      <c r="D110">
        <v>1.8976589538396693</v>
      </c>
    </row>
    <row r="111" spans="1:4" x14ac:dyDescent="0.35">
      <c r="A111">
        <v>54</v>
      </c>
      <c r="B111">
        <v>0.48644847462317442</v>
      </c>
      <c r="C111">
        <v>-2.4168324820024734E-3</v>
      </c>
      <c r="D111">
        <v>-5.2331946073209762E-2</v>
      </c>
    </row>
    <row r="112" spans="1:4" x14ac:dyDescent="0.35">
      <c r="A112">
        <v>55</v>
      </c>
      <c r="B112">
        <v>0.26601702919478354</v>
      </c>
      <c r="C112">
        <v>-5.6428204473502608E-3</v>
      </c>
      <c r="D112">
        <v>-0.12218462700686139</v>
      </c>
    </row>
    <row r="113" spans="1:4" x14ac:dyDescent="0.35">
      <c r="A113">
        <v>56</v>
      </c>
      <c r="B113">
        <v>0.32218391273218244</v>
      </c>
      <c r="C113">
        <v>-9.5280094335154303E-2</v>
      </c>
      <c r="D113">
        <v>-2.0631106192624116</v>
      </c>
    </row>
    <row r="114" spans="1:4" x14ac:dyDescent="0.35">
      <c r="A114">
        <v>57</v>
      </c>
      <c r="B114">
        <v>0.44670163336804447</v>
      </c>
      <c r="C114">
        <v>3.0411834867045573E-2</v>
      </c>
      <c r="D114">
        <v>0.65851088732924457</v>
      </c>
    </row>
    <row r="115" spans="1:4" x14ac:dyDescent="0.35">
      <c r="A115">
        <v>58</v>
      </c>
      <c r="B115">
        <v>0.56527110940269432</v>
      </c>
      <c r="C115">
        <v>-6.2469311255009319E-2</v>
      </c>
      <c r="D115">
        <v>-1.3526550359498015</v>
      </c>
    </row>
    <row r="116" spans="1:4" x14ac:dyDescent="0.35">
      <c r="A116">
        <v>59</v>
      </c>
      <c r="B116">
        <v>0.40108075223411699</v>
      </c>
      <c r="C116">
        <v>-1.6662787831112302E-2</v>
      </c>
      <c r="D116">
        <v>-0.36080122255085301</v>
      </c>
    </row>
    <row r="117" spans="1:4" x14ac:dyDescent="0.35">
      <c r="A117">
        <v>60</v>
      </c>
      <c r="B117">
        <v>0.43658628455695581</v>
      </c>
      <c r="C117">
        <v>-5.4402859215497867E-2</v>
      </c>
      <c r="D117">
        <v>-1.1779912409713069</v>
      </c>
    </row>
    <row r="118" spans="1:4" x14ac:dyDescent="0.35">
      <c r="A118">
        <v>61</v>
      </c>
      <c r="B118">
        <v>0.49307497648325854</v>
      </c>
      <c r="C118">
        <v>-3.0852920172391163E-3</v>
      </c>
      <c r="D118">
        <v>-6.6806175714952495E-2</v>
      </c>
    </row>
    <row r="119" spans="1:4" x14ac:dyDescent="0.35">
      <c r="A119">
        <v>62</v>
      </c>
      <c r="B119">
        <v>0.50146014319571119</v>
      </c>
      <c r="C119">
        <v>-6.1798371865050772E-2</v>
      </c>
      <c r="D119">
        <v>-1.3381271097343233</v>
      </c>
    </row>
    <row r="120" spans="1:4" x14ac:dyDescent="0.35">
      <c r="A120">
        <v>63</v>
      </c>
      <c r="B120">
        <v>0.12707804324274175</v>
      </c>
      <c r="C120">
        <v>0.10863791503476972</v>
      </c>
      <c r="D120">
        <v>2.3523490160952307</v>
      </c>
    </row>
    <row r="121" spans="1:4" x14ac:dyDescent="0.35">
      <c r="A121">
        <v>64</v>
      </c>
      <c r="B121">
        <v>0.37204779021080031</v>
      </c>
      <c r="C121">
        <v>-3.3259469982305168E-2</v>
      </c>
      <c r="D121">
        <v>-0.72017105136530168</v>
      </c>
    </row>
    <row r="122" spans="1:4" x14ac:dyDescent="0.35">
      <c r="A122">
        <v>65</v>
      </c>
      <c r="B122">
        <v>0.40743176429555822</v>
      </c>
      <c r="C122">
        <v>-2.1343348446685728E-2</v>
      </c>
      <c r="D122">
        <v>-0.462149928988144</v>
      </c>
    </row>
    <row r="123" spans="1:4" x14ac:dyDescent="0.35">
      <c r="A123">
        <v>66</v>
      </c>
      <c r="B123">
        <v>0.45601466291476639</v>
      </c>
      <c r="C123">
        <v>-2.3303198044443196E-2</v>
      </c>
      <c r="D123">
        <v>-0.50458677317374812</v>
      </c>
    </row>
    <row r="124" spans="1:4" x14ac:dyDescent="0.35">
      <c r="A124">
        <v>67</v>
      </c>
      <c r="B124">
        <v>0.46868912438221272</v>
      </c>
      <c r="C124">
        <v>9.314791510945386E-3</v>
      </c>
      <c r="D124">
        <v>0.20169423022240196</v>
      </c>
    </row>
    <row r="125" spans="1:4" x14ac:dyDescent="0.35">
      <c r="A125">
        <v>68</v>
      </c>
      <c r="B125">
        <v>0.41529106127455112</v>
      </c>
      <c r="C125">
        <v>-3.9478209086495297E-2</v>
      </c>
      <c r="D125">
        <v>-0.85482610994602537</v>
      </c>
    </row>
    <row r="126" spans="1:4" x14ac:dyDescent="0.35">
      <c r="A126">
        <v>69</v>
      </c>
      <c r="B126">
        <v>0.4321399104614207</v>
      </c>
      <c r="C126">
        <v>4.6552525397751843E-2</v>
      </c>
      <c r="D126">
        <v>1.0080070782019488</v>
      </c>
    </row>
    <row r="127" spans="1:4" x14ac:dyDescent="0.35">
      <c r="A127">
        <v>70</v>
      </c>
      <c r="B127">
        <v>0.48784884694246766</v>
      </c>
      <c r="C127">
        <v>1.658047984598221E-2</v>
      </c>
      <c r="D127">
        <v>0.35901899847396801</v>
      </c>
    </row>
    <row r="128" spans="1:4" x14ac:dyDescent="0.35">
      <c r="A128">
        <v>71</v>
      </c>
      <c r="B128">
        <v>0.384988968230079</v>
      </c>
      <c r="C128">
        <v>2.5190849401737547E-2</v>
      </c>
      <c r="D128">
        <v>0.54546030072295626</v>
      </c>
    </row>
    <row r="129" spans="1:4" x14ac:dyDescent="0.35">
      <c r="A129">
        <v>72</v>
      </c>
      <c r="B129">
        <v>0.46712152205292862</v>
      </c>
      <c r="C129">
        <v>-2.174988068305328E-2</v>
      </c>
      <c r="D129">
        <v>-0.47095261731223542</v>
      </c>
    </row>
    <row r="130" spans="1:4" x14ac:dyDescent="0.35">
      <c r="A130">
        <v>73</v>
      </c>
      <c r="B130">
        <v>0.45070335187069271</v>
      </c>
      <c r="C130">
        <v>-4.9229851725663965E-3</v>
      </c>
      <c r="D130">
        <v>-0.10659795268743506</v>
      </c>
    </row>
    <row r="131" spans="1:4" x14ac:dyDescent="0.35">
      <c r="A131">
        <v>74</v>
      </c>
      <c r="B131">
        <v>0.36140790965508418</v>
      </c>
      <c r="C131">
        <v>-2.7271225216195738E-2</v>
      </c>
      <c r="D131">
        <v>-0.5905069126602599</v>
      </c>
    </row>
    <row r="132" spans="1:4" x14ac:dyDescent="0.35">
      <c r="A132">
        <v>75</v>
      </c>
      <c r="B132">
        <v>0.30860894476530332</v>
      </c>
      <c r="C132">
        <v>-2.1446956389231497E-2</v>
      </c>
      <c r="D132">
        <v>-0.4643933634431332</v>
      </c>
    </row>
    <row r="133" spans="1:4" x14ac:dyDescent="0.35">
      <c r="A133">
        <v>76</v>
      </c>
      <c r="B133">
        <v>0.37551867112712078</v>
      </c>
      <c r="C133">
        <v>-3.4711886449338591E-2</v>
      </c>
      <c r="D133">
        <v>-0.75162038879131088</v>
      </c>
    </row>
    <row r="134" spans="1:4" x14ac:dyDescent="0.35">
      <c r="A134">
        <v>77</v>
      </c>
      <c r="B134">
        <v>0.55821993924573832</v>
      </c>
      <c r="C134">
        <v>-2.4330553688543644E-2</v>
      </c>
      <c r="D134">
        <v>-0.52683222070287361</v>
      </c>
    </row>
    <row r="135" spans="1:4" x14ac:dyDescent="0.35">
      <c r="A135">
        <v>78</v>
      </c>
      <c r="B135">
        <v>0.50000176167389743</v>
      </c>
      <c r="C135">
        <v>-6.2724944960435458E-2</v>
      </c>
      <c r="D135">
        <v>-1.3581903013794399</v>
      </c>
    </row>
    <row r="136" spans="1:4" x14ac:dyDescent="0.35">
      <c r="A136">
        <v>79</v>
      </c>
      <c r="B136">
        <v>0.32321612765373969</v>
      </c>
      <c r="C136">
        <v>-6.5007825513048623E-2</v>
      </c>
      <c r="D136">
        <v>-1.4076217712312296</v>
      </c>
    </row>
    <row r="137" spans="1:4" x14ac:dyDescent="0.35">
      <c r="A137">
        <v>80</v>
      </c>
      <c r="B137">
        <v>0.40699753655952442</v>
      </c>
      <c r="C137">
        <v>6.514526673178217E-2</v>
      </c>
      <c r="D137">
        <v>1.4105978014280105</v>
      </c>
    </row>
    <row r="138" spans="1:4" x14ac:dyDescent="0.35">
      <c r="A138">
        <v>81</v>
      </c>
      <c r="B138">
        <v>0.51059758449124815</v>
      </c>
      <c r="C138">
        <v>1.3805283241508093E-4</v>
      </c>
      <c r="D138">
        <v>2.9892735367467171E-3</v>
      </c>
    </row>
    <row r="139" spans="1:4" x14ac:dyDescent="0.35">
      <c r="A139">
        <v>82</v>
      </c>
      <c r="B139">
        <v>0.41996559140082274</v>
      </c>
      <c r="C139">
        <v>-5.1746921079664943E-2</v>
      </c>
      <c r="D139">
        <v>-1.1204819132321211</v>
      </c>
    </row>
    <row r="140" spans="1:4" x14ac:dyDescent="0.35">
      <c r="A140">
        <v>83</v>
      </c>
      <c r="B140">
        <v>0.34762226529261675</v>
      </c>
      <c r="C140">
        <v>3.7441122076222855E-2</v>
      </c>
      <c r="D140">
        <v>0.81071683536374817</v>
      </c>
    </row>
    <row r="141" spans="1:4" x14ac:dyDescent="0.35">
      <c r="A141">
        <v>84</v>
      </c>
      <c r="B141">
        <v>0.41802319395677873</v>
      </c>
      <c r="C141">
        <v>3.9214538910679608E-3</v>
      </c>
      <c r="D141">
        <v>8.4911682991745355E-2</v>
      </c>
    </row>
    <row r="142" spans="1:4" x14ac:dyDescent="0.35">
      <c r="A142">
        <v>85</v>
      </c>
      <c r="B142">
        <v>0.49461900943198134</v>
      </c>
      <c r="C142">
        <v>5.9817756110396303E-3</v>
      </c>
      <c r="D142">
        <v>0.1295240613613397</v>
      </c>
    </row>
    <row r="143" spans="1:4" x14ac:dyDescent="0.35">
      <c r="A143">
        <v>86</v>
      </c>
      <c r="B143">
        <v>0.49033333285791086</v>
      </c>
      <c r="C143">
        <v>3.6322625366768668E-3</v>
      </c>
      <c r="D143">
        <v>7.864979000763006E-2</v>
      </c>
    </row>
    <row r="144" spans="1:4" x14ac:dyDescent="0.35">
      <c r="A144">
        <v>87</v>
      </c>
      <c r="B144">
        <v>0.39306302591610875</v>
      </c>
      <c r="C144">
        <v>-1.2638647350910359E-2</v>
      </c>
      <c r="D144">
        <v>-0.27366605527336646</v>
      </c>
    </row>
    <row r="145" spans="1:4" x14ac:dyDescent="0.35">
      <c r="A145">
        <v>88</v>
      </c>
      <c r="B145">
        <v>0.55326361975628668</v>
      </c>
      <c r="C145">
        <v>-4.5134946417732857E-2</v>
      </c>
      <c r="D145">
        <v>-0.97731208080792042</v>
      </c>
    </row>
    <row r="146" spans="1:4" x14ac:dyDescent="0.35">
      <c r="A146">
        <v>89</v>
      </c>
      <c r="B146">
        <v>0.40896954593720658</v>
      </c>
      <c r="C146">
        <v>6.3341323589580389E-2</v>
      </c>
      <c r="D146">
        <v>1.3715368172928495</v>
      </c>
    </row>
    <row r="147" spans="1:4" x14ac:dyDescent="0.35">
      <c r="A147">
        <v>90</v>
      </c>
      <c r="B147">
        <v>0.44683291853714213</v>
      </c>
      <c r="C147">
        <v>5.5662258608883519E-2</v>
      </c>
      <c r="D147">
        <v>1.2052611579515204</v>
      </c>
    </row>
    <row r="148" spans="1:4" x14ac:dyDescent="0.35">
      <c r="A148">
        <v>91</v>
      </c>
      <c r="B148">
        <v>0.46240962706247046</v>
      </c>
      <c r="C148">
        <v>2.3071590004053844E-2</v>
      </c>
      <c r="D148">
        <v>0.49957173817647971</v>
      </c>
    </row>
    <row r="149" spans="1:4" x14ac:dyDescent="0.35">
      <c r="A149">
        <v>92</v>
      </c>
      <c r="B149">
        <v>0.43074414457951871</v>
      </c>
      <c r="C149">
        <v>3.7341733494358709E-2</v>
      </c>
      <c r="D149">
        <v>0.80856476320105619</v>
      </c>
    </row>
    <row r="150" spans="1:4" x14ac:dyDescent="0.35">
      <c r="A150">
        <v>93</v>
      </c>
      <c r="B150">
        <v>0.4808233368277931</v>
      </c>
      <c r="C150">
        <v>2.5724818118956327E-2</v>
      </c>
      <c r="D150">
        <v>0.55702238552708028</v>
      </c>
    </row>
    <row r="151" spans="1:4" x14ac:dyDescent="0.35">
      <c r="A151">
        <v>94</v>
      </c>
      <c r="B151">
        <v>0.40045883118178266</v>
      </c>
      <c r="C151">
        <v>3.9734151677435825E-2</v>
      </c>
      <c r="D151">
        <v>0.86036806370851349</v>
      </c>
    </row>
    <row r="152" spans="1:4" x14ac:dyDescent="0.35">
      <c r="A152">
        <v>95</v>
      </c>
      <c r="B152">
        <v>0.49847773039275656</v>
      </c>
      <c r="C152">
        <v>2.2794157922151892E-2</v>
      </c>
      <c r="D152">
        <v>0.49356447004466369</v>
      </c>
    </row>
    <row r="153" spans="1:4" x14ac:dyDescent="0.35">
      <c r="A153">
        <v>96</v>
      </c>
      <c r="B153">
        <v>0.37685811947212489</v>
      </c>
      <c r="C153">
        <v>-5.3466334105582991E-3</v>
      </c>
      <c r="D153">
        <v>-0.11577125572341268</v>
      </c>
    </row>
    <row r="154" spans="1:4" x14ac:dyDescent="0.35">
      <c r="A154">
        <v>97</v>
      </c>
      <c r="B154">
        <v>0.34633238951165879</v>
      </c>
      <c r="C154">
        <v>2.7488632889553222E-2</v>
      </c>
      <c r="D154">
        <v>0.59521446551002088</v>
      </c>
    </row>
    <row r="155" spans="1:4" x14ac:dyDescent="0.35">
      <c r="A155">
        <v>98</v>
      </c>
      <c r="B155">
        <v>0.2639747824536689</v>
      </c>
      <c r="C155">
        <v>-4.51765586410105E-2</v>
      </c>
      <c r="D155">
        <v>-0.97821311496761842</v>
      </c>
    </row>
    <row r="156" spans="1:4" x14ac:dyDescent="0.35">
      <c r="A156">
        <v>99</v>
      </c>
      <c r="B156">
        <v>0.42292324446502022</v>
      </c>
      <c r="C156">
        <v>-0.11271439793155752</v>
      </c>
      <c r="D156">
        <v>-2.4406175596172486</v>
      </c>
    </row>
    <row r="157" spans="1:4" x14ac:dyDescent="0.35">
      <c r="A157">
        <v>100</v>
      </c>
      <c r="B157">
        <v>0.25853207221683472</v>
      </c>
      <c r="C157">
        <v>-7.4506311232665601E-2</v>
      </c>
      <c r="D157">
        <v>-1.6132935528535521</v>
      </c>
    </row>
    <row r="158" spans="1:4" x14ac:dyDescent="0.35">
      <c r="A158">
        <v>101</v>
      </c>
      <c r="B158">
        <v>0.51036843563057732</v>
      </c>
      <c r="C158">
        <v>-2.5590412711256061E-2</v>
      </c>
      <c r="D158">
        <v>-0.55411209008869289</v>
      </c>
    </row>
    <row r="159" spans="1:4" x14ac:dyDescent="0.35">
      <c r="A159">
        <v>102</v>
      </c>
      <c r="B159">
        <v>0.52515132416232624</v>
      </c>
      <c r="C159">
        <v>-9.5661107921958533E-2</v>
      </c>
      <c r="D159">
        <v>-2.071360749391943</v>
      </c>
    </row>
    <row r="160" spans="1:4" x14ac:dyDescent="0.35">
      <c r="A160">
        <v>103</v>
      </c>
      <c r="B160">
        <v>0.51459286645462843</v>
      </c>
      <c r="C160">
        <v>-2.3553497507783461E-2</v>
      </c>
      <c r="D160">
        <v>-0.51000653565841281</v>
      </c>
    </row>
    <row r="161" spans="1:4" x14ac:dyDescent="0.35">
      <c r="A161">
        <v>104</v>
      </c>
      <c r="B161">
        <v>0.51437751713938462</v>
      </c>
      <c r="C161">
        <v>-2.0930425841695854E-2</v>
      </c>
      <c r="D161">
        <v>-0.45320886929217569</v>
      </c>
    </row>
    <row r="162" spans="1:4" x14ac:dyDescent="0.35">
      <c r="A162">
        <v>105</v>
      </c>
      <c r="B162">
        <v>0.44034397257189278</v>
      </c>
      <c r="C162">
        <v>1.7389589781981463E-2</v>
      </c>
      <c r="D162">
        <v>0.37653874709259311</v>
      </c>
    </row>
    <row r="163" spans="1:4" x14ac:dyDescent="0.35">
      <c r="A163">
        <v>106</v>
      </c>
      <c r="B163">
        <v>0.4899146501091462</v>
      </c>
      <c r="C163">
        <v>-0.10935412475640355</v>
      </c>
      <c r="D163">
        <v>-2.3678571859037545</v>
      </c>
    </row>
    <row r="164" spans="1:4" x14ac:dyDescent="0.35">
      <c r="A164">
        <v>107</v>
      </c>
      <c r="B164">
        <v>0.47802322205516845</v>
      </c>
      <c r="C164">
        <v>3.8083180752000678E-2</v>
      </c>
      <c r="D164">
        <v>0.82461940422065216</v>
      </c>
    </row>
    <row r="165" spans="1:4" x14ac:dyDescent="0.35">
      <c r="A165">
        <v>108</v>
      </c>
      <c r="B165">
        <v>0.43185471273900877</v>
      </c>
      <c r="C165">
        <v>3.7794637907341333E-2</v>
      </c>
      <c r="D165">
        <v>0.81837155349083557</v>
      </c>
    </row>
    <row r="166" spans="1:4" x14ac:dyDescent="0.35">
      <c r="A166">
        <v>109</v>
      </c>
      <c r="B166">
        <v>0.50226043475648752</v>
      </c>
      <c r="C166">
        <v>4.5082843041208687E-2</v>
      </c>
      <c r="D166">
        <v>0.97618388052478122</v>
      </c>
    </row>
    <row r="167" spans="1:4" x14ac:dyDescent="0.35">
      <c r="A167">
        <v>110</v>
      </c>
      <c r="B167">
        <v>0.51204446468660225</v>
      </c>
      <c r="C167">
        <v>0.14009348608560201</v>
      </c>
      <c r="D167">
        <v>3.0334600406252665</v>
      </c>
    </row>
    <row r="168" spans="1:4" x14ac:dyDescent="0.35">
      <c r="A168">
        <v>111</v>
      </c>
      <c r="B168">
        <v>0.5387474301348455</v>
      </c>
      <c r="C168">
        <v>-8.2759318907173363E-2</v>
      </c>
      <c r="D168">
        <v>-1.7919968580186161</v>
      </c>
    </row>
    <row r="169" spans="1:4" x14ac:dyDescent="0.35">
      <c r="A169">
        <v>112</v>
      </c>
      <c r="B169">
        <v>0.55344402083730038</v>
      </c>
      <c r="C169">
        <v>-1.6551340322174202E-2</v>
      </c>
      <c r="D169">
        <v>-0.35838803708137029</v>
      </c>
    </row>
    <row r="170" spans="1:4" x14ac:dyDescent="0.35">
      <c r="A170">
        <v>113</v>
      </c>
      <c r="B170">
        <v>0.4204142126870527</v>
      </c>
      <c r="C170">
        <v>-3.9208211698138984E-2</v>
      </c>
      <c r="D170">
        <v>-0.84897982607133038</v>
      </c>
    </row>
    <row r="171" spans="1:4" x14ac:dyDescent="0.35">
      <c r="A171">
        <v>114</v>
      </c>
      <c r="B171">
        <v>0.47042663210480967</v>
      </c>
      <c r="C171">
        <v>1.9848425232886047E-2</v>
      </c>
      <c r="D171">
        <v>0.42978018818453861</v>
      </c>
    </row>
    <row r="172" spans="1:4" x14ac:dyDescent="0.35">
      <c r="A172">
        <v>115</v>
      </c>
      <c r="B172">
        <v>0.38528378816920844</v>
      </c>
      <c r="C172">
        <v>7.0896857564549665E-2</v>
      </c>
      <c r="D172">
        <v>1.535137645847086</v>
      </c>
    </row>
    <row r="173" spans="1:4" x14ac:dyDescent="0.35">
      <c r="A173">
        <v>116</v>
      </c>
      <c r="B173">
        <v>0.33188810873292957</v>
      </c>
      <c r="C173">
        <v>-1.9685239494836859E-2</v>
      </c>
      <c r="D173">
        <v>-0.42624670900999884</v>
      </c>
    </row>
    <row r="174" spans="1:4" x14ac:dyDescent="0.35">
      <c r="A174">
        <v>117</v>
      </c>
      <c r="B174">
        <v>0.48263136212897434</v>
      </c>
      <c r="C174">
        <v>6.5104989272734726E-2</v>
      </c>
      <c r="D174">
        <v>1.4097256690685966</v>
      </c>
    </row>
    <row r="175" spans="1:4" x14ac:dyDescent="0.35">
      <c r="A175">
        <v>118</v>
      </c>
      <c r="B175">
        <v>0.37282825278326676</v>
      </c>
      <c r="C175">
        <v>-5.8892371788674125E-2</v>
      </c>
      <c r="D175">
        <v>-1.2752031626183515</v>
      </c>
    </row>
    <row r="176" spans="1:4" x14ac:dyDescent="0.35">
      <c r="A176">
        <v>119</v>
      </c>
      <c r="B176">
        <v>0.36983120798372437</v>
      </c>
      <c r="C176">
        <v>5.6868047579114789E-2</v>
      </c>
      <c r="D176">
        <v>1.2313702423980897</v>
      </c>
    </row>
    <row r="177" spans="1:4" x14ac:dyDescent="0.35">
      <c r="A177">
        <v>120</v>
      </c>
      <c r="B177">
        <v>0.61098418355329343</v>
      </c>
      <c r="C177">
        <v>-3.8373058920818104E-2</v>
      </c>
      <c r="D177">
        <v>-0.83089616887493434</v>
      </c>
    </row>
    <row r="178" spans="1:4" x14ac:dyDescent="0.35">
      <c r="A178">
        <v>121</v>
      </c>
      <c r="B178">
        <v>0.48949970391985331</v>
      </c>
      <c r="C178">
        <v>3.2651080342524619E-2</v>
      </c>
      <c r="D178">
        <v>0.70699752193883703</v>
      </c>
    </row>
    <row r="179" spans="1:4" x14ac:dyDescent="0.35">
      <c r="A179">
        <v>122</v>
      </c>
      <c r="B179">
        <v>0.46033492168741658</v>
      </c>
      <c r="C179">
        <v>9.163916422758539E-2</v>
      </c>
      <c r="D179">
        <v>1.9842731493655521</v>
      </c>
    </row>
    <row r="180" spans="1:4" x14ac:dyDescent="0.35">
      <c r="A180">
        <v>123</v>
      </c>
      <c r="B180">
        <v>0.35138144275750477</v>
      </c>
      <c r="C180">
        <v>-2.6923541630464454E-2</v>
      </c>
      <c r="D180">
        <v>-0.58297848079974701</v>
      </c>
    </row>
    <row r="181" spans="1:4" x14ac:dyDescent="0.35">
      <c r="A181">
        <v>124</v>
      </c>
      <c r="B181">
        <v>0.49514697938192337</v>
      </c>
      <c r="C181">
        <v>3.0161104534654537E-2</v>
      </c>
      <c r="D181">
        <v>0.6530817951884712</v>
      </c>
    </row>
    <row r="182" spans="1:4" x14ac:dyDescent="0.35">
      <c r="A182">
        <v>125</v>
      </c>
      <c r="B182">
        <v>0.44380065556966225</v>
      </c>
      <c r="C182">
        <v>3.4549800517980844E-2</v>
      </c>
      <c r="D182">
        <v>0.74811072385499244</v>
      </c>
    </row>
    <row r="183" spans="1:4" x14ac:dyDescent="0.35">
      <c r="A183">
        <v>126</v>
      </c>
      <c r="B183">
        <v>0.51200608695332317</v>
      </c>
      <c r="C183">
        <v>5.7322208914412531E-2</v>
      </c>
      <c r="D183">
        <v>1.2412042489683943</v>
      </c>
    </row>
    <row r="184" spans="1:4" x14ac:dyDescent="0.35">
      <c r="A184">
        <v>127</v>
      </c>
      <c r="B184">
        <v>0.36411892698284826</v>
      </c>
      <c r="C184">
        <v>-9.1370794636873032E-3</v>
      </c>
      <c r="D184">
        <v>-0.19784621123766699</v>
      </c>
    </row>
    <row r="185" spans="1:4" x14ac:dyDescent="0.35">
      <c r="A185">
        <v>128</v>
      </c>
      <c r="B185">
        <v>0.3249122428656257</v>
      </c>
      <c r="C185">
        <v>4.2531302588771913E-3</v>
      </c>
      <c r="D185">
        <v>9.2093508758820997E-2</v>
      </c>
    </row>
    <row r="186" spans="1:4" x14ac:dyDescent="0.35">
      <c r="A186">
        <v>129</v>
      </c>
      <c r="B186">
        <v>0.50516427512765882</v>
      </c>
      <c r="C186">
        <v>1.4883165558763345E-3</v>
      </c>
      <c r="D186">
        <v>3.2226686095120895E-2</v>
      </c>
    </row>
    <row r="187" spans="1:4" x14ac:dyDescent="0.35">
      <c r="A187">
        <v>130</v>
      </c>
      <c r="B187">
        <v>0.50217112369610439</v>
      </c>
      <c r="C187">
        <v>-9.3982071936070666E-3</v>
      </c>
      <c r="D187">
        <v>-0.2035004393987592</v>
      </c>
    </row>
    <row r="188" spans="1:4" x14ac:dyDescent="0.35">
      <c r="A188">
        <v>131</v>
      </c>
      <c r="B188">
        <v>0.47643008268519865</v>
      </c>
      <c r="C188">
        <v>3.1880064738244618E-2</v>
      </c>
      <c r="D188">
        <v>0.69030263417758309</v>
      </c>
    </row>
    <row r="189" spans="1:4" x14ac:dyDescent="0.35">
      <c r="A189">
        <v>132</v>
      </c>
      <c r="B189">
        <v>0.44551302486563948</v>
      </c>
      <c r="C189">
        <v>-2.5268392298565923E-2</v>
      </c>
      <c r="D189">
        <v>-0.54713934580589085</v>
      </c>
    </row>
    <row r="190" spans="1:4" x14ac:dyDescent="0.35">
      <c r="A190">
        <v>133</v>
      </c>
      <c r="B190">
        <v>0.3657629472159763</v>
      </c>
      <c r="C190">
        <v>2.1535602353037753E-3</v>
      </c>
      <c r="D190">
        <v>4.6631282448648732E-2</v>
      </c>
    </row>
    <row r="191" spans="1:4" x14ac:dyDescent="0.35">
      <c r="A191">
        <v>134</v>
      </c>
      <c r="B191">
        <v>0.34888846428921139</v>
      </c>
      <c r="C191">
        <v>9.8340436296627254E-3</v>
      </c>
      <c r="D191">
        <v>0.2129376548608366</v>
      </c>
    </row>
    <row r="192" spans="1:4" x14ac:dyDescent="0.35">
      <c r="A192">
        <v>135</v>
      </c>
      <c r="B192">
        <v>0.41701003941049719</v>
      </c>
      <c r="C192">
        <v>-4.2142703945263704E-2</v>
      </c>
      <c r="D192">
        <v>-0.91252071737114604</v>
      </c>
    </row>
    <row r="193" spans="1:4" x14ac:dyDescent="0.35">
      <c r="A193">
        <v>136</v>
      </c>
      <c r="B193">
        <v>0.48661287990307167</v>
      </c>
      <c r="C193">
        <v>-1.6864591952364671E-2</v>
      </c>
      <c r="D193">
        <v>-0.36517090992859808</v>
      </c>
    </row>
    <row r="194" spans="1:4" x14ac:dyDescent="0.35">
      <c r="A194">
        <v>137</v>
      </c>
      <c r="B194">
        <v>0.35927736583878711</v>
      </c>
      <c r="C194">
        <v>6.1075362208514672E-2</v>
      </c>
      <c r="D194">
        <v>1.3224717001691111</v>
      </c>
    </row>
    <row r="195" spans="1:4" x14ac:dyDescent="0.35">
      <c r="A195">
        <v>138</v>
      </c>
      <c r="B195">
        <v>0.36346021672150219</v>
      </c>
      <c r="C195">
        <v>2.4080993993472966E-2</v>
      </c>
      <c r="D195">
        <v>0.521428476503911</v>
      </c>
    </row>
    <row r="196" spans="1:4" x14ac:dyDescent="0.35">
      <c r="A196">
        <v>139</v>
      </c>
      <c r="B196">
        <v>0.4271330986599236</v>
      </c>
      <c r="C196">
        <v>3.2142951689626609E-2</v>
      </c>
      <c r="D196">
        <v>0.69599495495923447</v>
      </c>
    </row>
    <row r="197" spans="1:4" x14ac:dyDescent="0.35">
      <c r="A197">
        <v>140</v>
      </c>
      <c r="B197">
        <v>0.32445186889082389</v>
      </c>
      <c r="C197">
        <v>1.8702454448523587E-2</v>
      </c>
      <c r="D197">
        <v>0.40496635365719019</v>
      </c>
    </row>
    <row r="198" spans="1:4" x14ac:dyDescent="0.35">
      <c r="A198">
        <v>141</v>
      </c>
      <c r="B198">
        <v>0.43169343938243532</v>
      </c>
      <c r="C198">
        <v>7.6866413634948172E-2</v>
      </c>
      <c r="D198">
        <v>1.6643971161179663</v>
      </c>
    </row>
    <row r="199" spans="1:4" x14ac:dyDescent="0.35">
      <c r="A199">
        <v>142</v>
      </c>
      <c r="B199">
        <v>0.51143827417014698</v>
      </c>
      <c r="C199">
        <v>5.0820265501128503E-2</v>
      </c>
      <c r="D199">
        <v>1.1004169355700251</v>
      </c>
    </row>
    <row r="200" spans="1:4" x14ac:dyDescent="0.35">
      <c r="A200">
        <v>143</v>
      </c>
      <c r="B200">
        <v>0.45956586982553077</v>
      </c>
      <c r="C200">
        <v>-1.8092530878452029E-2</v>
      </c>
      <c r="D200">
        <v>-0.39175960986528363</v>
      </c>
    </row>
    <row r="201" spans="1:4" x14ac:dyDescent="0.35">
      <c r="A201">
        <v>144</v>
      </c>
      <c r="B201">
        <v>0.51002590021719985</v>
      </c>
      <c r="C201">
        <v>-2.4578049833672344E-2</v>
      </c>
      <c r="D201">
        <v>-0.53219128262241178</v>
      </c>
    </row>
    <row r="202" spans="1:4" x14ac:dyDescent="0.35">
      <c r="A202">
        <v>145</v>
      </c>
      <c r="B202">
        <v>0.40186222681495815</v>
      </c>
      <c r="C202">
        <v>1.3430830829830542E-2</v>
      </c>
      <c r="D202">
        <v>0.29081929340950319</v>
      </c>
    </row>
    <row r="203" spans="1:4" x14ac:dyDescent="0.35">
      <c r="A203">
        <v>146</v>
      </c>
      <c r="B203">
        <v>0.38154287576420282</v>
      </c>
      <c r="C203">
        <v>-2.1110245799853877E-2</v>
      </c>
      <c r="D203">
        <v>-0.45710253110915672</v>
      </c>
    </row>
    <row r="204" spans="1:4" x14ac:dyDescent="0.35">
      <c r="A204">
        <v>147</v>
      </c>
      <c r="B204">
        <v>0.4479531550986372</v>
      </c>
      <c r="C204">
        <v>1.6988919065044017E-2</v>
      </c>
      <c r="D204">
        <v>0.3678629789092262</v>
      </c>
    </row>
    <row r="205" spans="1:4" x14ac:dyDescent="0.35">
      <c r="A205">
        <v>148</v>
      </c>
      <c r="B205">
        <v>0.43160786922224126</v>
      </c>
      <c r="C205">
        <v>1.2433089432248801E-2</v>
      </c>
      <c r="D205">
        <v>0.26921508649732412</v>
      </c>
    </row>
    <row r="206" spans="1:4" x14ac:dyDescent="0.35">
      <c r="A206">
        <v>149</v>
      </c>
      <c r="B206">
        <v>0.46075318582972441</v>
      </c>
      <c r="C206">
        <v>-2.193252768500531E-2</v>
      </c>
      <c r="D206">
        <v>-0.47490749342705307</v>
      </c>
    </row>
    <row r="207" spans="1:4" x14ac:dyDescent="0.35">
      <c r="A207">
        <v>150</v>
      </c>
      <c r="B207">
        <v>0.41680522998450409</v>
      </c>
      <c r="C207">
        <v>0.10969569328679185</v>
      </c>
      <c r="D207">
        <v>2.375253207781852</v>
      </c>
    </row>
    <row r="208" spans="1:4" x14ac:dyDescent="0.35">
      <c r="A208">
        <v>151</v>
      </c>
      <c r="B208">
        <v>0.46490013602001123</v>
      </c>
      <c r="C208">
        <v>6.6954501896202223E-2</v>
      </c>
      <c r="D208">
        <v>1.4497733743165944</v>
      </c>
    </row>
    <row r="209" spans="1:4" x14ac:dyDescent="0.35">
      <c r="A209">
        <v>152</v>
      </c>
      <c r="B209">
        <v>0.45912911700899262</v>
      </c>
      <c r="C209">
        <v>3.2687661031705284E-2</v>
      </c>
      <c r="D209">
        <v>0.70778960772375554</v>
      </c>
    </row>
    <row r="210" spans="1:4" x14ac:dyDescent="0.35">
      <c r="A210">
        <v>153</v>
      </c>
      <c r="B210">
        <v>0.44329908836235898</v>
      </c>
      <c r="C210">
        <v>-1.4674089835746806E-2</v>
      </c>
      <c r="D210">
        <v>-0.31773972076106494</v>
      </c>
    </row>
    <row r="211" spans="1:4" x14ac:dyDescent="0.35">
      <c r="A211">
        <v>154</v>
      </c>
      <c r="B211">
        <v>0.50375836308624544</v>
      </c>
      <c r="C211">
        <v>-2.385517668396353E-2</v>
      </c>
      <c r="D211">
        <v>-0.51653882885491309</v>
      </c>
    </row>
    <row r="212" spans="1:4" x14ac:dyDescent="0.35">
      <c r="A212">
        <v>155</v>
      </c>
      <c r="B212">
        <v>0.41708682492125676</v>
      </c>
      <c r="C212">
        <v>-6.8726704566471397E-2</v>
      </c>
      <c r="D212">
        <v>-1.4881470784363282</v>
      </c>
    </row>
    <row r="213" spans="1:4" x14ac:dyDescent="0.35">
      <c r="A213">
        <v>156</v>
      </c>
      <c r="B213">
        <v>0.36394270294508163</v>
      </c>
      <c r="C213">
        <v>1.3665614125640269E-2</v>
      </c>
      <c r="D213">
        <v>0.2959030825701921</v>
      </c>
    </row>
    <row r="214" spans="1:4" x14ac:dyDescent="0.35">
      <c r="A214">
        <v>157</v>
      </c>
      <c r="B214">
        <v>0.42168656676976052</v>
      </c>
      <c r="C214">
        <v>-8.9953073766966818E-3</v>
      </c>
      <c r="D214">
        <v>-0.19477640426249243</v>
      </c>
    </row>
    <row r="215" spans="1:4" x14ac:dyDescent="0.35">
      <c r="A215">
        <v>158</v>
      </c>
      <c r="B215">
        <v>0.44209362870859248</v>
      </c>
      <c r="C215">
        <v>-1.7676730700725007E-2</v>
      </c>
      <c r="D215">
        <v>-0.382756241762579</v>
      </c>
    </row>
    <row r="216" spans="1:4" x14ac:dyDescent="0.35">
      <c r="A216">
        <v>159</v>
      </c>
      <c r="B216">
        <v>0.38992314377164372</v>
      </c>
      <c r="C216">
        <v>-5.1217053411470703E-2</v>
      </c>
      <c r="D216">
        <v>-1.1090086289046517</v>
      </c>
    </row>
    <row r="217" spans="1:4" x14ac:dyDescent="0.35">
      <c r="A217">
        <v>160</v>
      </c>
      <c r="B217">
        <v>0.48204263463573205</v>
      </c>
      <c r="C217">
        <v>-3.2890579635783013E-2</v>
      </c>
      <c r="D217">
        <v>-0.71218342712370342</v>
      </c>
    </row>
    <row r="218" spans="1:4" x14ac:dyDescent="0.35">
      <c r="A218">
        <v>161</v>
      </c>
      <c r="B218">
        <v>0.44437190618984757</v>
      </c>
      <c r="C218">
        <v>1.4476205337416503E-2</v>
      </c>
      <c r="D218">
        <v>0.31345490542013349</v>
      </c>
    </row>
    <row r="219" spans="1:4" x14ac:dyDescent="0.35">
      <c r="A219">
        <v>162</v>
      </c>
      <c r="B219">
        <v>0.38083475731839533</v>
      </c>
      <c r="C219">
        <v>-4.1101966373382037E-2</v>
      </c>
      <c r="D219">
        <v>-0.8899855094518333</v>
      </c>
    </row>
    <row r="220" spans="1:4" x14ac:dyDescent="0.35">
      <c r="A220">
        <v>163</v>
      </c>
      <c r="B220">
        <v>0.45893809215594311</v>
      </c>
      <c r="C220">
        <v>-1.9468141649682358E-2</v>
      </c>
      <c r="D220">
        <v>-0.42154586490522988</v>
      </c>
    </row>
    <row r="221" spans="1:4" x14ac:dyDescent="0.35">
      <c r="A221">
        <v>164</v>
      </c>
      <c r="B221">
        <v>0.38986357547092498</v>
      </c>
      <c r="C221">
        <v>-2.2189974988711503E-2</v>
      </c>
      <c r="D221">
        <v>-0.48048202890461456</v>
      </c>
    </row>
    <row r="222" spans="1:4" x14ac:dyDescent="0.35">
      <c r="A222">
        <v>165</v>
      </c>
      <c r="B222">
        <v>0.44926318440694496</v>
      </c>
      <c r="C222">
        <v>1.6965160284566405E-2</v>
      </c>
      <c r="D222">
        <v>0.36734852735828982</v>
      </c>
    </row>
    <row r="223" spans="1:4" x14ac:dyDescent="0.35">
      <c r="A223">
        <v>166</v>
      </c>
      <c r="B223">
        <v>0.48941900463869886</v>
      </c>
      <c r="C223">
        <v>-4.4871466163016738E-3</v>
      </c>
      <c r="D223">
        <v>-9.7160691316231881E-2</v>
      </c>
    </row>
    <row r="224" spans="1:4" x14ac:dyDescent="0.35">
      <c r="A224">
        <v>167</v>
      </c>
      <c r="B224">
        <v>0.38875913394324124</v>
      </c>
      <c r="C224">
        <v>-4.1060360888789171E-2</v>
      </c>
      <c r="D224">
        <v>-0.88908462120563603</v>
      </c>
    </row>
    <row r="225" spans="1:4" x14ac:dyDescent="0.35">
      <c r="A225">
        <v>168</v>
      </c>
      <c r="B225">
        <v>0.5252786247015635</v>
      </c>
      <c r="C225">
        <v>3.020108742419092E-3</v>
      </c>
      <c r="D225">
        <v>6.5394754920106837E-2</v>
      </c>
    </row>
    <row r="226" spans="1:4" x14ac:dyDescent="0.35">
      <c r="A226">
        <v>169</v>
      </c>
      <c r="B226">
        <v>0.48927551604131075</v>
      </c>
      <c r="C226">
        <v>3.46900242415214E-2</v>
      </c>
      <c r="D226">
        <v>0.75114700394190559</v>
      </c>
    </row>
    <row r="227" spans="1:4" x14ac:dyDescent="0.35">
      <c r="A227">
        <v>170</v>
      </c>
      <c r="B227">
        <v>0.39324695240121688</v>
      </c>
      <c r="C227">
        <v>-5.8044311667823478E-2</v>
      </c>
      <c r="D227">
        <v>-1.2568400212580435</v>
      </c>
    </row>
    <row r="228" spans="1:4" x14ac:dyDescent="0.35">
      <c r="A228">
        <v>171</v>
      </c>
      <c r="B228">
        <v>0.40729564049777744</v>
      </c>
      <c r="C228">
        <v>2.715092402718805E-2</v>
      </c>
      <c r="D228">
        <v>0.58790201745855475</v>
      </c>
    </row>
    <row r="229" spans="1:4" x14ac:dyDescent="0.35">
      <c r="A229">
        <v>172</v>
      </c>
      <c r="B229">
        <v>0.34598049101400685</v>
      </c>
      <c r="C229">
        <v>1.0981465359730269E-2</v>
      </c>
      <c r="D229">
        <v>0.2377829068790368</v>
      </c>
    </row>
    <row r="230" spans="1:4" x14ac:dyDescent="0.35">
      <c r="A230">
        <v>173</v>
      </c>
      <c r="B230">
        <v>0.45542048222653714</v>
      </c>
      <c r="C230">
        <v>-6.8536161507105786E-2</v>
      </c>
      <c r="D230">
        <v>-1.4840212281005682</v>
      </c>
    </row>
    <row r="231" spans="1:4" x14ac:dyDescent="0.35">
      <c r="A231">
        <v>174</v>
      </c>
      <c r="B231">
        <v>0.47078697748776055</v>
      </c>
      <c r="C231">
        <v>-2.3673281907152344E-2</v>
      </c>
      <c r="D231">
        <v>-0.51260024075583444</v>
      </c>
    </row>
    <row r="232" spans="1:4" x14ac:dyDescent="0.35">
      <c r="A232">
        <v>175</v>
      </c>
      <c r="B232">
        <v>0.45936905789185645</v>
      </c>
      <c r="C232">
        <v>4.1995104858750798E-2</v>
      </c>
      <c r="D232">
        <v>0.90932473771870093</v>
      </c>
    </row>
    <row r="233" spans="1:4" x14ac:dyDescent="0.35">
      <c r="A233">
        <v>176</v>
      </c>
      <c r="B233">
        <v>0.4029458089968469</v>
      </c>
      <c r="C233">
        <v>-0.12247332357374469</v>
      </c>
      <c r="D233">
        <v>-2.6519286762306176</v>
      </c>
    </row>
    <row r="234" spans="1:4" x14ac:dyDescent="0.35">
      <c r="A234">
        <v>177</v>
      </c>
      <c r="B234">
        <v>0.38090613430906778</v>
      </c>
      <c r="C234">
        <v>2.2390122510864918E-2</v>
      </c>
      <c r="D234">
        <v>0.48481584575539638</v>
      </c>
    </row>
    <row r="235" spans="1:4" x14ac:dyDescent="0.35">
      <c r="A235">
        <v>178</v>
      </c>
      <c r="B235">
        <v>0.41022901817877683</v>
      </c>
      <c r="C235">
        <v>-1.0301223848826868E-2</v>
      </c>
      <c r="D235">
        <v>-0.22305356079053157</v>
      </c>
    </row>
    <row r="236" spans="1:4" x14ac:dyDescent="0.35">
      <c r="A236">
        <v>179</v>
      </c>
      <c r="B236">
        <v>0.45357814780083561</v>
      </c>
      <c r="C236">
        <v>6.8486570999850893E-2</v>
      </c>
      <c r="D236">
        <v>1.4829474392588791</v>
      </c>
    </row>
    <row r="237" spans="1:4" x14ac:dyDescent="0.35">
      <c r="A237">
        <v>180</v>
      </c>
      <c r="B237">
        <v>0.44813869369979464</v>
      </c>
      <c r="C237">
        <v>-1.3085270572023244E-2</v>
      </c>
      <c r="D237">
        <v>-0.28333683820779526</v>
      </c>
    </row>
    <row r="238" spans="1:4" x14ac:dyDescent="0.35">
      <c r="A238">
        <v>181</v>
      </c>
      <c r="B238">
        <v>0.43914069456238364</v>
      </c>
      <c r="C238">
        <v>-3.0651052454223671E-2</v>
      </c>
      <c r="D238">
        <v>-0.66369069270061032</v>
      </c>
    </row>
    <row r="239" spans="1:4" x14ac:dyDescent="0.35">
      <c r="A239">
        <v>182</v>
      </c>
      <c r="B239">
        <v>0.58739152726854493</v>
      </c>
      <c r="C239">
        <v>1.9193723094928394E-2</v>
      </c>
      <c r="D239">
        <v>0.41560384901632813</v>
      </c>
    </row>
    <row r="240" spans="1:4" x14ac:dyDescent="0.35">
      <c r="A240">
        <v>183</v>
      </c>
      <c r="B240">
        <v>0.41411339197824681</v>
      </c>
      <c r="C240">
        <v>-1.3493741917015856E-2</v>
      </c>
      <c r="D240">
        <v>-0.29218151426945332</v>
      </c>
    </row>
    <row r="241" spans="1:4" x14ac:dyDescent="0.35">
      <c r="A241">
        <v>184</v>
      </c>
      <c r="B241">
        <v>0.53523980440631336</v>
      </c>
      <c r="C241">
        <v>3.0477773215547344E-2</v>
      </c>
      <c r="D241">
        <v>0.65993865781960648</v>
      </c>
    </row>
    <row r="242" spans="1:4" x14ac:dyDescent="0.35">
      <c r="A242">
        <v>185</v>
      </c>
      <c r="B242">
        <v>0.45598094832694458</v>
      </c>
      <c r="C242">
        <v>-1.9206944953586769E-2</v>
      </c>
      <c r="D242">
        <v>-0.41589014341176112</v>
      </c>
    </row>
    <row r="243" spans="1:4" x14ac:dyDescent="0.35">
      <c r="A243">
        <v>186</v>
      </c>
      <c r="B243">
        <v>0.37265098606412683</v>
      </c>
      <c r="C243">
        <v>-1.1845073781667992E-2</v>
      </c>
      <c r="D243">
        <v>-0.25648271735484141</v>
      </c>
    </row>
    <row r="244" spans="1:4" x14ac:dyDescent="0.35">
      <c r="A244">
        <v>187</v>
      </c>
      <c r="B244">
        <v>0.51872957154399779</v>
      </c>
      <c r="C244">
        <v>1.4572887715797678E-2</v>
      </c>
      <c r="D244">
        <v>0.31554837985386058</v>
      </c>
    </row>
    <row r="245" spans="1:4" x14ac:dyDescent="0.35">
      <c r="A245">
        <v>188</v>
      </c>
      <c r="B245">
        <v>0.41814537029942872</v>
      </c>
      <c r="C245">
        <v>-0.16329287864061298</v>
      </c>
      <c r="D245">
        <v>-3.5357991018390327</v>
      </c>
    </row>
    <row r="246" spans="1:4" x14ac:dyDescent="0.35">
      <c r="A246">
        <v>189</v>
      </c>
      <c r="B246">
        <v>0.33375946758191816</v>
      </c>
      <c r="C246">
        <v>-1.7212703616473535E-2</v>
      </c>
      <c r="D246">
        <v>-0.37270861101845859</v>
      </c>
    </row>
    <row r="247" spans="1:4" x14ac:dyDescent="0.35">
      <c r="A247">
        <v>190</v>
      </c>
      <c r="B247">
        <v>0.57175927641396684</v>
      </c>
      <c r="C247">
        <v>8.0710460979222187E-2</v>
      </c>
      <c r="D247">
        <v>1.747632706429437</v>
      </c>
    </row>
    <row r="248" spans="1:4" x14ac:dyDescent="0.35">
      <c r="A248">
        <v>191</v>
      </c>
      <c r="B248">
        <v>0.49227023217926791</v>
      </c>
      <c r="C248">
        <v>2.1338389620021769E-2</v>
      </c>
      <c r="D248">
        <v>0.46204255495560465</v>
      </c>
    </row>
    <row r="249" spans="1:4" x14ac:dyDescent="0.35">
      <c r="A249">
        <v>192</v>
      </c>
      <c r="B249">
        <v>0.53035892270953333</v>
      </c>
      <c r="C249">
        <v>-3.9012551573760101E-2</v>
      </c>
      <c r="D249">
        <v>-0.84474317535022225</v>
      </c>
    </row>
    <row r="250" spans="1:4" x14ac:dyDescent="0.35">
      <c r="A250">
        <v>193</v>
      </c>
      <c r="B250">
        <v>0.49499921026322474</v>
      </c>
      <c r="C250">
        <v>2.746785569329141E-2</v>
      </c>
      <c r="D250">
        <v>0.59476457453808862</v>
      </c>
    </row>
    <row r="251" spans="1:4" x14ac:dyDescent="0.35">
      <c r="A251">
        <v>194</v>
      </c>
      <c r="B251">
        <v>0.42895052677175122</v>
      </c>
      <c r="C251">
        <v>-9.0735744223177761E-2</v>
      </c>
      <c r="D251">
        <v>-1.9647112942083644</v>
      </c>
    </row>
    <row r="252" spans="1:4" x14ac:dyDescent="0.35">
      <c r="A252">
        <v>195</v>
      </c>
      <c r="B252">
        <v>0.45676113158000359</v>
      </c>
      <c r="C252">
        <v>4.6397874822495855E-2</v>
      </c>
      <c r="D252">
        <v>1.0046584118691537</v>
      </c>
    </row>
    <row r="253" spans="1:4" x14ac:dyDescent="0.35">
      <c r="A253">
        <v>196</v>
      </c>
      <c r="B253">
        <v>0.37338813633989348</v>
      </c>
      <c r="C253">
        <v>-2.5440951486879027E-2</v>
      </c>
      <c r="D253">
        <v>-0.55087578935524106</v>
      </c>
    </row>
    <row r="254" spans="1:4" x14ac:dyDescent="0.35">
      <c r="A254">
        <v>197</v>
      </c>
      <c r="B254">
        <v>0.48024241391223066</v>
      </c>
      <c r="C254">
        <v>-4.8877883754851636E-2</v>
      </c>
      <c r="D254">
        <v>-1.0583583247408928</v>
      </c>
    </row>
    <row r="255" spans="1:4" x14ac:dyDescent="0.35">
      <c r="A255">
        <v>198</v>
      </c>
      <c r="B255">
        <v>0.46120377310360439</v>
      </c>
      <c r="C255">
        <v>-1.0913971012066204E-2</v>
      </c>
      <c r="D255">
        <v>-0.23632144416347622</v>
      </c>
    </row>
    <row r="256" spans="1:4" x14ac:dyDescent="0.35">
      <c r="A256">
        <v>199</v>
      </c>
      <c r="B256">
        <v>0.48471678228780524</v>
      </c>
      <c r="C256">
        <v>5.5958766272852789E-3</v>
      </c>
      <c r="D256">
        <v>0.12116814718113693</v>
      </c>
    </row>
    <row r="257" spans="1:4" x14ac:dyDescent="0.35">
      <c r="A257">
        <v>200</v>
      </c>
      <c r="B257">
        <v>0.45753324182394173</v>
      </c>
      <c r="C257">
        <v>1.7292040321782387E-2</v>
      </c>
      <c r="D257">
        <v>0.37442649763855607</v>
      </c>
    </row>
    <row r="258" spans="1:4" x14ac:dyDescent="0.35">
      <c r="A258">
        <v>201</v>
      </c>
      <c r="B258">
        <v>0.38434674716280842</v>
      </c>
      <c r="C258">
        <v>-5.2248957828592735E-2</v>
      </c>
      <c r="D258">
        <v>-1.1313525715285913</v>
      </c>
    </row>
    <row r="259" spans="1:4" x14ac:dyDescent="0.35">
      <c r="A259">
        <v>202</v>
      </c>
      <c r="B259">
        <v>0.43083624315500935</v>
      </c>
      <c r="C259">
        <v>5.1646394501030646E-2</v>
      </c>
      <c r="D259">
        <v>1.1183051998971301</v>
      </c>
    </row>
    <row r="260" spans="1:4" x14ac:dyDescent="0.35">
      <c r="A260">
        <v>203</v>
      </c>
      <c r="B260">
        <v>0.4412654724027093</v>
      </c>
      <c r="C260">
        <v>-2.036031770325164E-2</v>
      </c>
      <c r="D260">
        <v>-0.44086425352789199</v>
      </c>
    </row>
    <row r="261" spans="1:4" x14ac:dyDescent="0.35">
      <c r="A261">
        <v>204</v>
      </c>
      <c r="B261">
        <v>0.38638238628951405</v>
      </c>
      <c r="C261">
        <v>1.5194344818637351E-2</v>
      </c>
      <c r="D261">
        <v>0.32900486053044958</v>
      </c>
    </row>
    <row r="262" spans="1:4" x14ac:dyDescent="0.35">
      <c r="A262">
        <v>205</v>
      </c>
      <c r="B262">
        <v>0.39061977252967056</v>
      </c>
      <c r="C262">
        <v>6.6751255382679342E-3</v>
      </c>
      <c r="D262">
        <v>0.144537245465648</v>
      </c>
    </row>
    <row r="263" spans="1:4" x14ac:dyDescent="0.35">
      <c r="A263">
        <v>206</v>
      </c>
      <c r="B263">
        <v>0.38175176682854772</v>
      </c>
      <c r="C263">
        <v>-2.1460639101174017E-2</v>
      </c>
      <c r="D263">
        <v>-0.46468963674665897</v>
      </c>
    </row>
    <row r="264" spans="1:4" x14ac:dyDescent="0.35">
      <c r="A264">
        <v>207</v>
      </c>
      <c r="B264">
        <v>0.42997769308878631</v>
      </c>
      <c r="C264">
        <v>9.1356354526820116E-2</v>
      </c>
      <c r="D264">
        <v>1.9781494390465124</v>
      </c>
    </row>
    <row r="265" spans="1:4" x14ac:dyDescent="0.35">
      <c r="A265">
        <v>208</v>
      </c>
      <c r="B265">
        <v>0.36995037837448602</v>
      </c>
      <c r="C265">
        <v>2.6381098861020025E-2</v>
      </c>
      <c r="D265">
        <v>0.57123290638788371</v>
      </c>
    </row>
    <row r="266" spans="1:4" x14ac:dyDescent="0.35">
      <c r="A266">
        <v>209</v>
      </c>
      <c r="B266">
        <v>0.18640883798080354</v>
      </c>
      <c r="C266">
        <v>3.0806345607822749E-2</v>
      </c>
      <c r="D266">
        <v>0.66705327285467719</v>
      </c>
    </row>
    <row r="267" spans="1:4" x14ac:dyDescent="0.35">
      <c r="A267">
        <v>210</v>
      </c>
      <c r="B267">
        <v>0.35992491114685671</v>
      </c>
      <c r="C267">
        <v>5.354203058796414E-3</v>
      </c>
      <c r="D267">
        <v>0.11593516216969726</v>
      </c>
    </row>
    <row r="268" spans="1:4" x14ac:dyDescent="0.35">
      <c r="A268">
        <v>211</v>
      </c>
      <c r="B268">
        <v>0.39135275545215464</v>
      </c>
      <c r="C268">
        <v>7.296011612433545E-2</v>
      </c>
      <c r="D268">
        <v>1.5798136159401128</v>
      </c>
    </row>
    <row r="269" spans="1:4" x14ac:dyDescent="0.35">
      <c r="A269">
        <v>212</v>
      </c>
      <c r="B269">
        <v>0.36817705495300601</v>
      </c>
      <c r="C269">
        <v>-1.8909984683692926E-2</v>
      </c>
      <c r="D269">
        <v>-0.40946002922482572</v>
      </c>
    </row>
    <row r="270" spans="1:4" x14ac:dyDescent="0.35">
      <c r="A270">
        <v>213</v>
      </c>
      <c r="B270">
        <v>0.48857907374043119</v>
      </c>
      <c r="C270">
        <v>-3.2586577863377819E-2</v>
      </c>
      <c r="D270">
        <v>-0.70560084248941912</v>
      </c>
    </row>
    <row r="271" spans="1:4" x14ac:dyDescent="0.35">
      <c r="A271">
        <v>214</v>
      </c>
      <c r="B271">
        <v>0.41487118358679903</v>
      </c>
      <c r="C271">
        <v>4.7340943216010622E-2</v>
      </c>
      <c r="D271">
        <v>1.0250787780634514</v>
      </c>
    </row>
    <row r="272" spans="1:4" x14ac:dyDescent="0.35">
      <c r="A272">
        <v>215</v>
      </c>
      <c r="B272">
        <v>0.34690735999141331</v>
      </c>
      <c r="C272">
        <v>-2.5739090235779138E-2</v>
      </c>
      <c r="D272">
        <v>-0.55733142128089597</v>
      </c>
    </row>
    <row r="273" spans="1:4" x14ac:dyDescent="0.35">
      <c r="A273">
        <v>216</v>
      </c>
      <c r="B273">
        <v>0.60750958243400166</v>
      </c>
      <c r="C273">
        <v>-3.0329379435240389E-2</v>
      </c>
      <c r="D273">
        <v>-0.65672547057288888</v>
      </c>
    </row>
    <row r="274" spans="1:4" x14ac:dyDescent="0.35">
      <c r="A274">
        <v>217</v>
      </c>
      <c r="B274">
        <v>0.25723095993444173</v>
      </c>
      <c r="C274">
        <v>2.0088873356748527E-2</v>
      </c>
      <c r="D274">
        <v>0.4349866385053941</v>
      </c>
    </row>
    <row r="275" spans="1:4" x14ac:dyDescent="0.35">
      <c r="A275">
        <v>218</v>
      </c>
      <c r="B275">
        <v>0.37809718214410559</v>
      </c>
      <c r="C275">
        <v>2.9272922290209502E-2</v>
      </c>
      <c r="D275">
        <v>0.6338498849648182</v>
      </c>
    </row>
    <row r="276" spans="1:4" x14ac:dyDescent="0.35">
      <c r="A276">
        <v>219</v>
      </c>
      <c r="B276">
        <v>0.43514209704724199</v>
      </c>
      <c r="C276">
        <v>1.2487338039610496E-2</v>
      </c>
      <c r="D276">
        <v>0.27038973770552321</v>
      </c>
    </row>
    <row r="277" spans="1:4" x14ac:dyDescent="0.35">
      <c r="A277">
        <v>220</v>
      </c>
      <c r="B277">
        <v>0.4093139100278555</v>
      </c>
      <c r="C277">
        <v>4.3290561405855355E-2</v>
      </c>
      <c r="D277">
        <v>0.93737540431148503</v>
      </c>
    </row>
    <row r="278" spans="1:4" x14ac:dyDescent="0.35">
      <c r="A278">
        <v>221</v>
      </c>
      <c r="B278">
        <v>0.40660358108826067</v>
      </c>
      <c r="C278">
        <v>8.1207138187808336E-2</v>
      </c>
      <c r="D278">
        <v>1.7583873139949506</v>
      </c>
    </row>
    <row r="279" spans="1:4" x14ac:dyDescent="0.35">
      <c r="A279">
        <v>222</v>
      </c>
      <c r="B279">
        <v>0.33524604456141693</v>
      </c>
      <c r="C279">
        <v>-2.4831794349429004E-2</v>
      </c>
      <c r="D279">
        <v>-0.53768564121525397</v>
      </c>
    </row>
    <row r="280" spans="1:4" x14ac:dyDescent="0.35">
      <c r="A280">
        <v>223</v>
      </c>
      <c r="B280">
        <v>0.40580658513708701</v>
      </c>
      <c r="C280">
        <v>-8.4580282378803384E-2</v>
      </c>
      <c r="D280">
        <v>-1.8314263852648198</v>
      </c>
    </row>
    <row r="281" spans="1:4" x14ac:dyDescent="0.35">
      <c r="A281">
        <v>224</v>
      </c>
      <c r="B281">
        <v>0.36205241777092634</v>
      </c>
      <c r="C281">
        <v>2.5616422032728459E-2</v>
      </c>
      <c r="D281">
        <v>0.55467527285739127</v>
      </c>
    </row>
    <row r="282" spans="1:4" x14ac:dyDescent="0.35">
      <c r="A282">
        <v>225</v>
      </c>
      <c r="B282">
        <v>0.38976661635169535</v>
      </c>
      <c r="C282">
        <v>3.193003116180515E-2</v>
      </c>
      <c r="D282">
        <v>0.69138456277739835</v>
      </c>
    </row>
    <row r="283" spans="1:4" x14ac:dyDescent="0.35">
      <c r="A283">
        <v>226</v>
      </c>
      <c r="B283">
        <v>0.40153341156451461</v>
      </c>
      <c r="C283">
        <v>4.8071498482628594E-3</v>
      </c>
      <c r="D283">
        <v>0.10408975735740422</v>
      </c>
    </row>
    <row r="284" spans="1:4" x14ac:dyDescent="0.35">
      <c r="A284">
        <v>227</v>
      </c>
      <c r="B284">
        <v>0.41867334257788891</v>
      </c>
      <c r="C284">
        <v>-2.6315074326582755E-4</v>
      </c>
      <c r="D284">
        <v>-5.6980326970374863E-3</v>
      </c>
    </row>
    <row r="285" spans="1:4" x14ac:dyDescent="0.35">
      <c r="A285">
        <v>228</v>
      </c>
      <c r="B285">
        <v>0.48699306502270889</v>
      </c>
      <c r="C285">
        <v>2.8608880830524597E-3</v>
      </c>
      <c r="D285">
        <v>6.1947132041084742E-2</v>
      </c>
    </row>
    <row r="286" spans="1:4" x14ac:dyDescent="0.35">
      <c r="A286">
        <v>229</v>
      </c>
      <c r="B286">
        <v>0.46266329388807792</v>
      </c>
      <c r="C286">
        <v>4.3911715185790956E-2</v>
      </c>
      <c r="D286">
        <v>0.95082531710305229</v>
      </c>
    </row>
    <row r="287" spans="1:4" x14ac:dyDescent="0.35">
      <c r="A287">
        <v>230</v>
      </c>
      <c r="B287">
        <v>0.38054577503720921</v>
      </c>
      <c r="C287">
        <v>-3.4230586503116722E-2</v>
      </c>
      <c r="D287">
        <v>-0.74119874682055564</v>
      </c>
    </row>
    <row r="288" spans="1:4" x14ac:dyDescent="0.35">
      <c r="A288">
        <v>231</v>
      </c>
      <c r="B288">
        <v>0.49759364404886658</v>
      </c>
      <c r="C288">
        <v>-9.249465041191729E-3</v>
      </c>
      <c r="D288">
        <v>-0.20027970881152246</v>
      </c>
    </row>
    <row r="289" spans="1:4" x14ac:dyDescent="0.35">
      <c r="A289">
        <v>232</v>
      </c>
      <c r="B289">
        <v>0.34041618406384194</v>
      </c>
      <c r="C289">
        <v>-1.8525456404726304E-2</v>
      </c>
      <c r="D289">
        <v>-0.40113379506984931</v>
      </c>
    </row>
    <row r="290" spans="1:4" x14ac:dyDescent="0.35">
      <c r="A290">
        <v>233</v>
      </c>
      <c r="B290">
        <v>0.39507396726468663</v>
      </c>
      <c r="C290">
        <v>-6.6924403399470367E-3</v>
      </c>
      <c r="D290">
        <v>-0.14491216481752148</v>
      </c>
    </row>
    <row r="291" spans="1:4" x14ac:dyDescent="0.35">
      <c r="A291">
        <v>234</v>
      </c>
      <c r="B291">
        <v>0.42069951169650133</v>
      </c>
      <c r="C291">
        <v>-9.7887573951697671E-3</v>
      </c>
      <c r="D291">
        <v>-0.21195706692228794</v>
      </c>
    </row>
    <row r="292" spans="1:4" x14ac:dyDescent="0.35">
      <c r="A292">
        <v>235</v>
      </c>
      <c r="B292">
        <v>0.44807049010471983</v>
      </c>
      <c r="C292">
        <v>7.2561468626193781E-2</v>
      </c>
      <c r="D292">
        <v>1.5711816567413168</v>
      </c>
    </row>
    <row r="293" spans="1:4" x14ac:dyDescent="0.35">
      <c r="A293">
        <v>236</v>
      </c>
      <c r="B293">
        <v>0.45198765371924154</v>
      </c>
      <c r="C293">
        <v>5.1061484393600809E-2</v>
      </c>
      <c r="D293">
        <v>1.105640075430443</v>
      </c>
    </row>
    <row r="294" spans="1:4" x14ac:dyDescent="0.35">
      <c r="A294">
        <v>237</v>
      </c>
      <c r="B294">
        <v>0.29201265369116508</v>
      </c>
      <c r="C294">
        <v>-3.2805193472136285E-2</v>
      </c>
      <c r="D294">
        <v>-0.71033455090053366</v>
      </c>
    </row>
    <row r="295" spans="1:4" x14ac:dyDescent="0.35">
      <c r="A295">
        <v>238</v>
      </c>
      <c r="B295">
        <v>0.54579817694990185</v>
      </c>
      <c r="C295">
        <v>-8.1441301602401595E-2</v>
      </c>
      <c r="D295">
        <v>-1.7634576807978082</v>
      </c>
    </row>
    <row r="296" spans="1:4" x14ac:dyDescent="0.35">
      <c r="A296">
        <v>239</v>
      </c>
      <c r="B296">
        <v>0.37083291405575619</v>
      </c>
      <c r="C296">
        <v>-2.2721151912819926E-2</v>
      </c>
      <c r="D296">
        <v>-0.49198366269792726</v>
      </c>
    </row>
    <row r="297" spans="1:4" x14ac:dyDescent="0.35">
      <c r="A297">
        <v>240</v>
      </c>
      <c r="B297">
        <v>0.43971848683086595</v>
      </c>
      <c r="C297">
        <v>7.4755368246660625E-3</v>
      </c>
      <c r="D297">
        <v>0.16186864124425393</v>
      </c>
    </row>
    <row r="298" spans="1:4" x14ac:dyDescent="0.35">
      <c r="A298">
        <v>241</v>
      </c>
      <c r="B298">
        <v>0.32865809659292</v>
      </c>
      <c r="C298">
        <v>5.7471160581335501E-3</v>
      </c>
      <c r="D298">
        <v>0.12444295161968739</v>
      </c>
    </row>
    <row r="299" spans="1:4" x14ac:dyDescent="0.35">
      <c r="A299">
        <v>242</v>
      </c>
      <c r="B299">
        <v>0.35679000617856949</v>
      </c>
      <c r="C299">
        <v>-5.1597271306033921E-2</v>
      </c>
      <c r="D299">
        <v>-1.1172415298204261</v>
      </c>
    </row>
    <row r="300" spans="1:4" x14ac:dyDescent="0.35">
      <c r="A300">
        <v>243</v>
      </c>
      <c r="B300">
        <v>0.41273494066395028</v>
      </c>
      <c r="C300">
        <v>-4.4168153288646039E-2</v>
      </c>
      <c r="D300">
        <v>-0.95637800024086306</v>
      </c>
    </row>
    <row r="301" spans="1:4" x14ac:dyDescent="0.35">
      <c r="A301">
        <v>244</v>
      </c>
      <c r="B301">
        <v>0.40912655904183493</v>
      </c>
      <c r="C301">
        <v>-7.4135663739674063E-2</v>
      </c>
      <c r="D301">
        <v>-1.6052678809214487</v>
      </c>
    </row>
    <row r="302" spans="1:4" x14ac:dyDescent="0.35">
      <c r="A302">
        <v>245</v>
      </c>
      <c r="B302">
        <v>0.4682066569806303</v>
      </c>
      <c r="C302">
        <v>-3.1052897552720227E-3</v>
      </c>
      <c r="D302">
        <v>-6.7239188990021168E-2</v>
      </c>
    </row>
    <row r="303" spans="1:4" x14ac:dyDescent="0.35">
      <c r="A303">
        <v>246</v>
      </c>
      <c r="B303">
        <v>0.48045533219853365</v>
      </c>
      <c r="C303">
        <v>5.2553297929576748E-3</v>
      </c>
      <c r="D303">
        <v>0.11379424820297174</v>
      </c>
    </row>
    <row r="304" spans="1:4" x14ac:dyDescent="0.35">
      <c r="A304">
        <v>247</v>
      </c>
      <c r="B304">
        <v>0.50756224833411745</v>
      </c>
      <c r="C304">
        <v>4.1185552255098568E-2</v>
      </c>
      <c r="D304">
        <v>0.89179540396750401</v>
      </c>
    </row>
    <row r="305" spans="1:4" x14ac:dyDescent="0.35">
      <c r="A305">
        <v>248</v>
      </c>
      <c r="B305">
        <v>0.39937267012461186</v>
      </c>
      <c r="C305">
        <v>8.7484121492573452E-2</v>
      </c>
      <c r="D305">
        <v>1.8943035408139635</v>
      </c>
    </row>
    <row r="306" spans="1:4" x14ac:dyDescent="0.35">
      <c r="A306">
        <v>249</v>
      </c>
      <c r="B306">
        <v>0.46466935940072601</v>
      </c>
      <c r="C306">
        <v>-3.6286893493856165E-2</v>
      </c>
      <c r="D306">
        <v>-0.78572419380568537</v>
      </c>
    </row>
    <row r="307" spans="1:4" ht="15" thickBot="1" x14ac:dyDescent="0.4">
      <c r="A307" s="5">
        <v>250</v>
      </c>
      <c r="B307" s="5">
        <v>0.52877575646568853</v>
      </c>
      <c r="C307" s="5">
        <v>-6.5581346962375775E-2</v>
      </c>
      <c r="D307" s="5">
        <v>-1.4200402958006899</v>
      </c>
    </row>
  </sheetData>
  <conditionalFormatting sqref="E17:E25">
    <cfRule type="cellIs" dxfId="1" priority="3" operator="greaterThan">
      <formula>0.05</formula>
    </cfRule>
  </conditionalFormatting>
  <conditionalFormatting sqref="E45:E51">
    <cfRule type="cellIs" dxfId="0" priority="1" operator="greaterThan">
      <formula>0.05</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3681-A3D3-4BDF-8761-03DF705F638B}">
  <dimension ref="A1:P251"/>
  <sheetViews>
    <sheetView zoomScale="56" zoomScaleNormal="100" workbookViewId="0">
      <selection activeCell="S57" sqref="S57"/>
    </sheetView>
  </sheetViews>
  <sheetFormatPr defaultRowHeight="14.5" x14ac:dyDescent="0.35"/>
  <cols>
    <col min="4" max="4" width="13.1796875" bestFit="1" customWidth="1"/>
  </cols>
  <sheetData>
    <row r="1" spans="1:16" x14ac:dyDescent="0.35">
      <c r="A1" s="6" t="s">
        <v>1222</v>
      </c>
      <c r="B1" t="s">
        <v>28</v>
      </c>
      <c r="C1" t="s">
        <v>15</v>
      </c>
      <c r="D1" t="s">
        <v>17</v>
      </c>
      <c r="E1" s="3" t="s">
        <v>1113</v>
      </c>
    </row>
    <row r="2" spans="1:16" x14ac:dyDescent="0.35">
      <c r="A2">
        <v>-5.3345753982558808E-3</v>
      </c>
      <c r="B2">
        <v>299</v>
      </c>
      <c r="C2" s="3">
        <v>0.54200000000000004</v>
      </c>
      <c r="D2">
        <v>5713327</v>
      </c>
      <c r="E2" s="3">
        <v>0.54392475697610165</v>
      </c>
    </row>
    <row r="3" spans="1:16" x14ac:dyDescent="0.35">
      <c r="A3">
        <v>3.7142916721940034E-2</v>
      </c>
      <c r="B3">
        <v>320</v>
      </c>
      <c r="C3" s="3">
        <v>0.6</v>
      </c>
      <c r="D3">
        <v>10627020</v>
      </c>
      <c r="E3" s="3">
        <v>0.5755838419425201</v>
      </c>
      <c r="P3" t="s">
        <v>1224</v>
      </c>
    </row>
    <row r="4" spans="1:16" x14ac:dyDescent="0.35">
      <c r="A4">
        <v>6.3632015209022119E-2</v>
      </c>
      <c r="B4">
        <v>201</v>
      </c>
      <c r="C4" s="3">
        <v>0.46299999999999997</v>
      </c>
      <c r="D4">
        <v>3589042</v>
      </c>
      <c r="E4" s="3">
        <v>0.54803203751864704</v>
      </c>
    </row>
    <row r="5" spans="1:16" x14ac:dyDescent="0.35">
      <c r="A5">
        <v>-7.0147168820580863E-2</v>
      </c>
      <c r="B5">
        <v>731</v>
      </c>
      <c r="C5" s="3">
        <v>0.47500000000000003</v>
      </c>
      <c r="D5">
        <v>29093061</v>
      </c>
      <c r="E5" s="3">
        <v>0.28834284573905783</v>
      </c>
    </row>
    <row r="6" spans="1:16" x14ac:dyDescent="0.35">
      <c r="A6">
        <v>-1.0130009469184131E-2</v>
      </c>
      <c r="B6">
        <v>611</v>
      </c>
      <c r="C6" s="3">
        <v>0.498</v>
      </c>
      <c r="D6">
        <v>17346909</v>
      </c>
      <c r="E6" s="3">
        <v>0.4039700675203865</v>
      </c>
    </row>
    <row r="7" spans="1:16" x14ac:dyDescent="0.35">
      <c r="A7">
        <v>-4.3798895114771863E-2</v>
      </c>
      <c r="B7">
        <v>186</v>
      </c>
      <c r="C7" s="3">
        <v>0.40299999999999997</v>
      </c>
      <c r="D7">
        <v>690448</v>
      </c>
      <c r="E7" s="3">
        <v>0.40293258869603504</v>
      </c>
    </row>
    <row r="8" spans="1:16" x14ac:dyDescent="0.35">
      <c r="A8">
        <v>-4.0828383693807979E-2</v>
      </c>
      <c r="B8">
        <v>583</v>
      </c>
      <c r="C8" s="3">
        <v>0.42</v>
      </c>
      <c r="D8">
        <v>17876804</v>
      </c>
      <c r="E8" s="3">
        <v>0.31285010452651379</v>
      </c>
    </row>
    <row r="9" spans="1:16" x14ac:dyDescent="0.35">
      <c r="A9">
        <v>-4.1739432165530943E-2</v>
      </c>
      <c r="B9">
        <v>608</v>
      </c>
      <c r="C9" s="3">
        <v>0.32100000000000001</v>
      </c>
      <c r="D9">
        <v>2960787</v>
      </c>
      <c r="E9" s="3">
        <v>0.31673335501675737</v>
      </c>
    </row>
    <row r="10" spans="1:16" x14ac:dyDescent="0.35">
      <c r="A10">
        <v>-2.424651855519705E-2</v>
      </c>
      <c r="B10">
        <v>730</v>
      </c>
      <c r="C10" s="3">
        <v>0.34500000000000003</v>
      </c>
      <c r="D10">
        <v>7007753</v>
      </c>
      <c r="E10" s="3">
        <v>0.35031314602555197</v>
      </c>
    </row>
    <row r="11" spans="1:16" x14ac:dyDescent="0.35">
      <c r="A11">
        <v>-1.7317226551329223E-2</v>
      </c>
      <c r="B11">
        <v>363</v>
      </c>
      <c r="C11" s="3">
        <v>0.35299999999999998</v>
      </c>
      <c r="D11">
        <v>7454057</v>
      </c>
      <c r="E11" s="3">
        <v>0.32327898753658579</v>
      </c>
    </row>
    <row r="12" spans="1:16" x14ac:dyDescent="0.35">
      <c r="A12">
        <v>2.5075771403070268E-3</v>
      </c>
      <c r="B12">
        <v>213</v>
      </c>
      <c r="C12" s="3">
        <v>0.54900000000000004</v>
      </c>
      <c r="D12">
        <v>516439</v>
      </c>
      <c r="E12" s="3">
        <v>0.56119502980990976</v>
      </c>
    </row>
    <row r="13" spans="1:16" x14ac:dyDescent="0.35">
      <c r="A13">
        <v>-1.1714544813047956E-2</v>
      </c>
      <c r="B13">
        <v>579</v>
      </c>
      <c r="C13" s="3">
        <v>0.435</v>
      </c>
      <c r="D13">
        <v>12304601</v>
      </c>
      <c r="E13" s="3">
        <v>0.36915638304728449</v>
      </c>
    </row>
    <row r="14" spans="1:16" x14ac:dyDescent="0.35">
      <c r="A14">
        <v>2.8962148423792689E-2</v>
      </c>
      <c r="B14">
        <v>194</v>
      </c>
      <c r="C14" s="3">
        <v>0.45900000000000002</v>
      </c>
      <c r="D14">
        <v>476923</v>
      </c>
      <c r="E14" s="3">
        <v>0.51914669663656399</v>
      </c>
    </row>
    <row r="15" spans="1:16" x14ac:dyDescent="0.35">
      <c r="A15">
        <v>8.4663257721761753E-2</v>
      </c>
      <c r="B15">
        <v>414</v>
      </c>
      <c r="C15" s="3">
        <v>0.45900000000000002</v>
      </c>
      <c r="D15">
        <v>11004696</v>
      </c>
      <c r="E15" s="3">
        <v>0.49496387723931673</v>
      </c>
    </row>
    <row r="16" spans="1:16" x14ac:dyDescent="0.35">
      <c r="A16">
        <v>-7.334168595128443E-2</v>
      </c>
      <c r="B16">
        <v>206</v>
      </c>
      <c r="C16" s="3">
        <v>0.56299999999999994</v>
      </c>
      <c r="D16">
        <v>372331</v>
      </c>
      <c r="E16" s="3">
        <v>0.49685897763011944</v>
      </c>
    </row>
    <row r="17" spans="1:5" x14ac:dyDescent="0.35">
      <c r="A17">
        <v>2.0688453461174428E-2</v>
      </c>
      <c r="B17">
        <v>649</v>
      </c>
      <c r="C17" s="3">
        <v>0.378</v>
      </c>
      <c r="D17">
        <v>2762782</v>
      </c>
      <c r="E17" s="3">
        <v>0.42188163959371389</v>
      </c>
    </row>
    <row r="18" spans="1:5" x14ac:dyDescent="0.35">
      <c r="A18">
        <v>5.4134865031117418E-3</v>
      </c>
      <c r="B18">
        <v>237</v>
      </c>
      <c r="C18" s="3">
        <v>0.44700000000000006</v>
      </c>
      <c r="D18">
        <v>1141701</v>
      </c>
      <c r="E18" s="3">
        <v>0.48259132645062058</v>
      </c>
    </row>
    <row r="19" spans="1:5" x14ac:dyDescent="0.35">
      <c r="A19">
        <v>1.9445024219699902E-2</v>
      </c>
      <c r="B19">
        <v>520</v>
      </c>
      <c r="C19" s="3">
        <v>0.312</v>
      </c>
      <c r="D19">
        <v>2249065</v>
      </c>
      <c r="E19" s="3">
        <v>0.37684148746256779</v>
      </c>
    </row>
    <row r="20" spans="1:5" x14ac:dyDescent="0.35">
      <c r="A20">
        <v>3.6520169403153613E-3</v>
      </c>
      <c r="B20">
        <v>749</v>
      </c>
      <c r="C20" s="3">
        <v>0.434</v>
      </c>
      <c r="D20">
        <v>4380868</v>
      </c>
      <c r="E20" s="3">
        <v>0.4391490453490039</v>
      </c>
    </row>
    <row r="21" spans="1:5" x14ac:dyDescent="0.35">
      <c r="A21">
        <v>-6.7613090133375575E-2</v>
      </c>
      <c r="B21">
        <v>224</v>
      </c>
      <c r="C21" s="3">
        <v>0.53100000000000003</v>
      </c>
      <c r="D21">
        <v>574568</v>
      </c>
      <c r="E21" s="3">
        <v>0.47653541443310454</v>
      </c>
    </row>
    <row r="22" spans="1:5" x14ac:dyDescent="0.35">
      <c r="A22">
        <v>3.1471355216155072E-2</v>
      </c>
      <c r="B22">
        <v>560</v>
      </c>
      <c r="C22" s="3">
        <v>0.40700000000000003</v>
      </c>
      <c r="D22">
        <v>2450246</v>
      </c>
      <c r="E22" s="3">
        <v>0.4457311633199279</v>
      </c>
    </row>
    <row r="23" spans="1:5" x14ac:dyDescent="0.35">
      <c r="A23">
        <v>0.11247237631704993</v>
      </c>
      <c r="B23">
        <v>594</v>
      </c>
      <c r="C23" s="3">
        <v>0.40200000000000002</v>
      </c>
      <c r="D23">
        <v>6308712</v>
      </c>
      <c r="E23" s="3">
        <v>0.52485879843619432</v>
      </c>
    </row>
    <row r="24" spans="1:5" x14ac:dyDescent="0.35">
      <c r="A24">
        <v>5.207256450127315E-2</v>
      </c>
      <c r="B24">
        <v>898</v>
      </c>
      <c r="C24" s="3">
        <v>0.46</v>
      </c>
      <c r="D24">
        <v>71997827</v>
      </c>
      <c r="E24" s="3">
        <v>0.27270936940916285</v>
      </c>
    </row>
    <row r="25" spans="1:5" x14ac:dyDescent="0.35">
      <c r="A25">
        <v>-2.0663002102265682E-2</v>
      </c>
      <c r="B25">
        <v>755</v>
      </c>
      <c r="C25" s="3">
        <v>0.39200000000000002</v>
      </c>
      <c r="D25">
        <v>4089296</v>
      </c>
      <c r="E25" s="3">
        <v>0.38296445158286413</v>
      </c>
    </row>
    <row r="26" spans="1:5" x14ac:dyDescent="0.35">
      <c r="A26">
        <v>2.1033861955958133E-2</v>
      </c>
      <c r="B26">
        <v>354</v>
      </c>
      <c r="C26" s="3">
        <v>0.503</v>
      </c>
      <c r="D26">
        <v>1188745</v>
      </c>
      <c r="E26" s="3">
        <v>0.53611581962489852</v>
      </c>
    </row>
    <row r="27" spans="1:5" x14ac:dyDescent="0.35">
      <c r="A27">
        <v>-1.3672521500146584E-2</v>
      </c>
      <c r="B27">
        <v>330</v>
      </c>
      <c r="C27" s="3">
        <v>0.33</v>
      </c>
      <c r="D27">
        <v>2659044</v>
      </c>
      <c r="E27" s="3">
        <v>0.36495447235923889</v>
      </c>
    </row>
    <row r="28" spans="1:5" x14ac:dyDescent="0.35">
      <c r="A28">
        <v>-5.1016419629036525E-2</v>
      </c>
      <c r="B28">
        <v>482</v>
      </c>
      <c r="C28" s="3">
        <v>0.46899999999999997</v>
      </c>
      <c r="D28">
        <v>14353706</v>
      </c>
      <c r="E28" s="3">
        <v>0.35471041416063559</v>
      </c>
    </row>
    <row r="29" spans="1:5" x14ac:dyDescent="0.35">
      <c r="A29">
        <v>2.8298108515835141E-2</v>
      </c>
      <c r="B29">
        <v>496</v>
      </c>
      <c r="C29" s="3">
        <v>0.44400000000000001</v>
      </c>
      <c r="D29">
        <v>5113232</v>
      </c>
      <c r="E29" s="3">
        <v>0.49486880313664627</v>
      </c>
    </row>
    <row r="30" spans="1:5" x14ac:dyDescent="0.35">
      <c r="A30">
        <v>7.7186684539566341E-2</v>
      </c>
      <c r="B30">
        <v>276</v>
      </c>
      <c r="C30" s="3">
        <v>0.5</v>
      </c>
      <c r="D30">
        <v>5975133</v>
      </c>
      <c r="E30" s="3">
        <v>0.59432735639524681</v>
      </c>
    </row>
    <row r="31" spans="1:5" x14ac:dyDescent="0.35">
      <c r="A31">
        <v>-3.6833740573344709E-2</v>
      </c>
      <c r="B31">
        <v>475</v>
      </c>
      <c r="C31" s="3">
        <v>0.52200000000000002</v>
      </c>
      <c r="D31">
        <v>19767665</v>
      </c>
      <c r="E31" s="3">
        <v>0.40922263706917333</v>
      </c>
    </row>
    <row r="32" spans="1:5" x14ac:dyDescent="0.35">
      <c r="A32">
        <v>3.0795601682177431E-2</v>
      </c>
      <c r="B32">
        <v>381</v>
      </c>
      <c r="C32" s="3">
        <v>0.50700000000000001</v>
      </c>
      <c r="D32">
        <v>1581178</v>
      </c>
      <c r="E32" s="3">
        <v>0.53256116642149076</v>
      </c>
    </row>
    <row r="33" spans="1:15" x14ac:dyDescent="0.35">
      <c r="A33">
        <v>-2.3794658806409519E-2</v>
      </c>
      <c r="B33">
        <v>341</v>
      </c>
      <c r="C33" s="3">
        <v>0.59200000000000008</v>
      </c>
      <c r="D33">
        <v>4416654</v>
      </c>
      <c r="E33" s="3">
        <v>0.55166286514633023</v>
      </c>
    </row>
    <row r="34" spans="1:15" x14ac:dyDescent="0.35">
      <c r="A34">
        <v>3.9112009185115093E-2</v>
      </c>
      <c r="B34">
        <v>479</v>
      </c>
      <c r="C34" s="3">
        <v>0.52</v>
      </c>
      <c r="D34">
        <v>13894714</v>
      </c>
      <c r="E34" s="3">
        <v>0.4997208290865145</v>
      </c>
    </row>
    <row r="35" spans="1:15" x14ac:dyDescent="0.35">
      <c r="A35">
        <v>-8.470353064022168E-2</v>
      </c>
      <c r="B35">
        <v>415</v>
      </c>
      <c r="C35" s="3">
        <v>0.47000000000000003</v>
      </c>
      <c r="D35">
        <v>43152829</v>
      </c>
      <c r="E35" s="3">
        <v>0.24496433362456954</v>
      </c>
    </row>
    <row r="36" spans="1:15" x14ac:dyDescent="0.35">
      <c r="A36">
        <v>-6.1890682120288587E-2</v>
      </c>
      <c r="B36">
        <v>472</v>
      </c>
      <c r="C36" s="3">
        <v>0.33299999999999996</v>
      </c>
      <c r="D36">
        <v>4285223</v>
      </c>
      <c r="E36" s="3">
        <v>0.3082572365545504</v>
      </c>
    </row>
    <row r="37" spans="1:15" x14ac:dyDescent="0.35">
      <c r="A37">
        <v>-1.1383754395795809E-2</v>
      </c>
      <c r="B37">
        <v>386</v>
      </c>
      <c r="C37" s="3">
        <v>0.376</v>
      </c>
      <c r="D37">
        <v>1291292</v>
      </c>
      <c r="E37" s="3">
        <v>0.40398995734504667</v>
      </c>
    </row>
    <row r="38" spans="1:15" x14ac:dyDescent="0.35">
      <c r="A38">
        <v>-1.5185722631792631E-2</v>
      </c>
      <c r="B38">
        <v>416</v>
      </c>
      <c r="C38" s="3">
        <v>0.38900000000000001</v>
      </c>
      <c r="D38">
        <v>8786653</v>
      </c>
      <c r="E38" s="3">
        <v>0.34715255057870159</v>
      </c>
    </row>
    <row r="39" spans="1:15" x14ac:dyDescent="0.35">
      <c r="A39">
        <v>2.6833706816984826E-2</v>
      </c>
      <c r="B39">
        <v>452</v>
      </c>
      <c r="C39" s="3">
        <v>0.41600000000000004</v>
      </c>
      <c r="D39">
        <v>12765375</v>
      </c>
      <c r="E39" s="3">
        <v>0.39738950089597835</v>
      </c>
    </row>
    <row r="40" spans="1:15" x14ac:dyDescent="0.35">
      <c r="A40">
        <v>-0.10391986704247108</v>
      </c>
      <c r="B40">
        <v>525</v>
      </c>
      <c r="C40" s="3">
        <v>0.47000000000000003</v>
      </c>
      <c r="D40">
        <v>25794623</v>
      </c>
      <c r="E40" s="3">
        <v>0.26897353762448861</v>
      </c>
    </row>
    <row r="41" spans="1:15" x14ac:dyDescent="0.35">
      <c r="A41">
        <v>7.7703507696118002E-3</v>
      </c>
      <c r="B41">
        <v>259</v>
      </c>
      <c r="C41" s="3">
        <v>0.43200000000000005</v>
      </c>
      <c r="D41">
        <v>1423732</v>
      </c>
      <c r="E41" s="3">
        <v>0.4716168492384803</v>
      </c>
    </row>
    <row r="42" spans="1:15" x14ac:dyDescent="0.35">
      <c r="A42">
        <v>7.0719355113745247E-2</v>
      </c>
      <c r="B42">
        <v>752</v>
      </c>
      <c r="C42" s="3">
        <v>0.45600000000000002</v>
      </c>
      <c r="D42">
        <v>72761856</v>
      </c>
      <c r="E42" s="3">
        <v>0.29261778314176046</v>
      </c>
    </row>
    <row r="43" spans="1:15" x14ac:dyDescent="0.35">
      <c r="A43">
        <v>5.7703450527940847E-2</v>
      </c>
      <c r="B43">
        <v>457</v>
      </c>
      <c r="C43" s="3">
        <v>0.438</v>
      </c>
      <c r="D43">
        <v>1908200</v>
      </c>
      <c r="E43" s="3">
        <v>0.51606959438214028</v>
      </c>
    </row>
    <row r="44" spans="1:15" x14ac:dyDescent="0.35">
      <c r="A44">
        <v>-1.9286956099882624E-2</v>
      </c>
      <c r="B44">
        <v>554</v>
      </c>
      <c r="C44" s="3">
        <v>0.28199999999999997</v>
      </c>
      <c r="D44">
        <v>6918234</v>
      </c>
      <c r="E44" s="3">
        <v>0.31469707442679734</v>
      </c>
    </row>
    <row r="45" spans="1:15" x14ac:dyDescent="0.35">
      <c r="A45">
        <v>6.0910088668537976E-2</v>
      </c>
      <c r="B45">
        <v>272</v>
      </c>
      <c r="C45" s="3">
        <v>0.45200000000000001</v>
      </c>
      <c r="D45">
        <v>4186109</v>
      </c>
      <c r="E45" s="3">
        <v>0.54614296952133834</v>
      </c>
    </row>
    <row r="46" spans="1:15" x14ac:dyDescent="0.35">
      <c r="A46">
        <v>3.536690373418383E-2</v>
      </c>
      <c r="B46">
        <v>337</v>
      </c>
      <c r="C46" s="3">
        <v>0.48399999999999999</v>
      </c>
      <c r="D46">
        <v>614250</v>
      </c>
      <c r="E46" s="3">
        <v>0.53813105413105411</v>
      </c>
    </row>
    <row r="47" spans="1:15" x14ac:dyDescent="0.35">
      <c r="A47">
        <v>-3.4698781452857652E-3</v>
      </c>
      <c r="B47">
        <v>203</v>
      </c>
      <c r="C47" s="3">
        <v>0.49299999999999999</v>
      </c>
      <c r="D47">
        <v>3418783</v>
      </c>
      <c r="E47" s="3">
        <v>0.50446460041482599</v>
      </c>
    </row>
    <row r="48" spans="1:15" x14ac:dyDescent="0.35">
      <c r="A48">
        <v>3.7413456620708607E-2</v>
      </c>
      <c r="B48">
        <v>215</v>
      </c>
      <c r="C48" s="3">
        <v>0.53</v>
      </c>
      <c r="D48">
        <v>4642905</v>
      </c>
      <c r="E48" s="3">
        <v>0.58409810237340631</v>
      </c>
      <c r="O48" t="s">
        <v>1225</v>
      </c>
    </row>
    <row r="49" spans="1:15" x14ac:dyDescent="0.35">
      <c r="A49">
        <v>3.1848619951115376E-2</v>
      </c>
      <c r="B49">
        <v>421</v>
      </c>
      <c r="C49" s="3">
        <v>0.45799999999999996</v>
      </c>
      <c r="D49">
        <v>4151886</v>
      </c>
      <c r="E49" s="3">
        <v>0.51520826920585006</v>
      </c>
      <c r="O49" t="s">
        <v>1226</v>
      </c>
    </row>
    <row r="50" spans="1:15" x14ac:dyDescent="0.35">
      <c r="A50">
        <v>9.9641475004241253E-3</v>
      </c>
      <c r="B50">
        <v>795</v>
      </c>
      <c r="C50" s="3">
        <v>0.39900000000000002</v>
      </c>
      <c r="D50">
        <v>3510734</v>
      </c>
      <c r="E50" s="3">
        <v>0.40470511294789069</v>
      </c>
    </row>
    <row r="51" spans="1:15" x14ac:dyDescent="0.35">
      <c r="A51">
        <v>1.0041589251443273E-2</v>
      </c>
      <c r="B51">
        <v>501</v>
      </c>
      <c r="C51" s="3">
        <v>0.47500000000000003</v>
      </c>
      <c r="D51">
        <v>1335767</v>
      </c>
      <c r="E51" s="3">
        <v>0.49659858343558422</v>
      </c>
    </row>
    <row r="52" spans="1:15" x14ac:dyDescent="0.35">
      <c r="A52">
        <v>3.0566755781056942E-2</v>
      </c>
      <c r="B52">
        <v>720</v>
      </c>
      <c r="C52" s="3">
        <v>0.48799999999999999</v>
      </c>
      <c r="D52">
        <v>80631180</v>
      </c>
      <c r="E52" s="3">
        <v>0.25677233050539505</v>
      </c>
    </row>
    <row r="53" spans="1:15" x14ac:dyDescent="0.35">
      <c r="A53">
        <v>3.4157574071014329E-2</v>
      </c>
      <c r="B53">
        <v>321</v>
      </c>
      <c r="C53" s="3">
        <v>0.53900000000000003</v>
      </c>
      <c r="D53">
        <v>8542548</v>
      </c>
      <c r="E53" s="3">
        <v>0.51713551975359107</v>
      </c>
    </row>
    <row r="54" spans="1:15" x14ac:dyDescent="0.35">
      <c r="A54">
        <v>8.7639083648571148E-2</v>
      </c>
      <c r="B54">
        <v>464</v>
      </c>
      <c r="C54" s="3">
        <v>0.46100000000000002</v>
      </c>
      <c r="D54">
        <v>12386814</v>
      </c>
      <c r="E54" s="3">
        <v>0.50755949027732228</v>
      </c>
    </row>
    <row r="55" spans="1:15" x14ac:dyDescent="0.35">
      <c r="A55">
        <v>-2.4168324820024734E-3</v>
      </c>
      <c r="B55">
        <v>292</v>
      </c>
      <c r="C55" s="3">
        <v>0.46200000000000002</v>
      </c>
      <c r="D55">
        <v>1116865</v>
      </c>
      <c r="E55" s="3">
        <v>0.48403164214117195</v>
      </c>
    </row>
    <row r="56" spans="1:15" x14ac:dyDescent="0.35">
      <c r="A56">
        <v>-5.6428204473502608E-3</v>
      </c>
      <c r="B56">
        <v>608</v>
      </c>
      <c r="C56" s="3">
        <v>0.433</v>
      </c>
      <c r="D56">
        <v>52735058</v>
      </c>
      <c r="E56" s="3">
        <v>0.26037420874743328</v>
      </c>
    </row>
    <row r="57" spans="1:15" x14ac:dyDescent="0.35">
      <c r="A57">
        <v>-9.5280094335154303E-2</v>
      </c>
      <c r="B57">
        <v>606</v>
      </c>
      <c r="C57" s="3">
        <v>0.502</v>
      </c>
      <c r="D57">
        <v>51713559</v>
      </c>
      <c r="E57" s="3">
        <v>0.22690381839702814</v>
      </c>
    </row>
    <row r="58" spans="1:15" x14ac:dyDescent="0.35">
      <c r="A58">
        <v>3.0411834867045573E-2</v>
      </c>
      <c r="B58">
        <v>454</v>
      </c>
      <c r="C58" s="3">
        <v>0.42100000000000004</v>
      </c>
      <c r="D58">
        <v>6549507</v>
      </c>
      <c r="E58" s="3">
        <v>0.47711346823509004</v>
      </c>
    </row>
    <row r="59" spans="1:15" x14ac:dyDescent="0.35">
      <c r="A59">
        <v>-6.2469311255009319E-2</v>
      </c>
      <c r="B59">
        <v>240</v>
      </c>
      <c r="C59" s="3">
        <v>0.57100000000000006</v>
      </c>
      <c r="D59">
        <v>3858415</v>
      </c>
      <c r="E59" s="3">
        <v>0.502801798147685</v>
      </c>
    </row>
    <row r="60" spans="1:15" x14ac:dyDescent="0.35">
      <c r="A60">
        <v>-1.6662787831112302E-2</v>
      </c>
      <c r="B60">
        <v>559</v>
      </c>
      <c r="C60" s="3">
        <v>0.36499999999999999</v>
      </c>
      <c r="D60">
        <v>5739417</v>
      </c>
      <c r="E60" s="3">
        <v>0.38441796440300469</v>
      </c>
    </row>
    <row r="61" spans="1:15" x14ac:dyDescent="0.35">
      <c r="A61">
        <v>-5.4402859215497867E-2</v>
      </c>
      <c r="B61">
        <v>480</v>
      </c>
      <c r="C61" s="3">
        <v>0.5</v>
      </c>
      <c r="D61">
        <v>11882284</v>
      </c>
      <c r="E61" s="3">
        <v>0.38218342534145794</v>
      </c>
    </row>
    <row r="62" spans="1:15" x14ac:dyDescent="0.35">
      <c r="A62">
        <v>-3.0852920172391163E-3</v>
      </c>
      <c r="B62">
        <v>128</v>
      </c>
      <c r="C62" s="3">
        <v>0.46899999999999997</v>
      </c>
      <c r="D62">
        <v>3296000</v>
      </c>
      <c r="E62" s="3">
        <v>0.48998968446601943</v>
      </c>
    </row>
    <row r="63" spans="1:15" x14ac:dyDescent="0.35">
      <c r="A63">
        <v>-6.1798371865050772E-2</v>
      </c>
      <c r="B63">
        <v>194</v>
      </c>
      <c r="C63" s="3">
        <v>0.47899999999999998</v>
      </c>
      <c r="D63">
        <v>2000067</v>
      </c>
      <c r="E63" s="3">
        <v>0.43966177133066042</v>
      </c>
    </row>
    <row r="64" spans="1:15" x14ac:dyDescent="0.35">
      <c r="A64">
        <v>0.10863791503476972</v>
      </c>
      <c r="B64">
        <v>796</v>
      </c>
      <c r="C64" s="3">
        <v>0.42100000000000004</v>
      </c>
      <c r="D64">
        <v>101627591</v>
      </c>
      <c r="E64" s="3">
        <v>0.23571595827751146</v>
      </c>
    </row>
    <row r="65" spans="1:5" x14ac:dyDescent="0.35">
      <c r="A65">
        <v>-3.3259469982305168E-2</v>
      </c>
      <c r="B65">
        <v>371</v>
      </c>
      <c r="C65" s="3">
        <v>0.32100000000000001</v>
      </c>
      <c r="D65">
        <v>1849317</v>
      </c>
      <c r="E65" s="3">
        <v>0.33878832022849514</v>
      </c>
    </row>
    <row r="66" spans="1:5" x14ac:dyDescent="0.35">
      <c r="A66">
        <v>-2.1343348446685728E-2</v>
      </c>
      <c r="B66">
        <v>596</v>
      </c>
      <c r="C66" s="3">
        <v>0.38400000000000001</v>
      </c>
      <c r="D66">
        <v>3029389</v>
      </c>
      <c r="E66" s="3">
        <v>0.38608841584887249</v>
      </c>
    </row>
    <row r="67" spans="1:5" x14ac:dyDescent="0.35">
      <c r="A67">
        <v>-2.3303198044443196E-2</v>
      </c>
      <c r="B67">
        <v>314</v>
      </c>
      <c r="C67" s="3">
        <v>0.433</v>
      </c>
      <c r="D67">
        <v>3672052</v>
      </c>
      <c r="E67" s="3">
        <v>0.43271146487032319</v>
      </c>
    </row>
    <row r="68" spans="1:5" x14ac:dyDescent="0.35">
      <c r="A68">
        <v>9.314791510945386E-3</v>
      </c>
      <c r="B68">
        <v>427</v>
      </c>
      <c r="C68" s="3">
        <v>0.51500000000000001</v>
      </c>
      <c r="D68">
        <v>10417036</v>
      </c>
      <c r="E68" s="3">
        <v>0.4780039158931581</v>
      </c>
    </row>
    <row r="69" spans="1:5" x14ac:dyDescent="0.35">
      <c r="A69">
        <v>-3.9478209086495297E-2</v>
      </c>
      <c r="B69">
        <v>460</v>
      </c>
      <c r="C69" s="3">
        <v>0.38300000000000001</v>
      </c>
      <c r="D69">
        <v>2088018</v>
      </c>
      <c r="E69" s="3">
        <v>0.37581285218805582</v>
      </c>
    </row>
    <row r="70" spans="1:5" x14ac:dyDescent="0.35">
      <c r="A70">
        <v>4.6552525397751843E-2</v>
      </c>
      <c r="B70">
        <v>402</v>
      </c>
      <c r="C70" s="3">
        <v>0.49</v>
      </c>
      <c r="D70">
        <v>17044487</v>
      </c>
      <c r="E70" s="3">
        <v>0.47869243585917254</v>
      </c>
    </row>
    <row r="71" spans="1:5" x14ac:dyDescent="0.35">
      <c r="A71">
        <v>1.658047984598221E-2</v>
      </c>
      <c r="B71">
        <v>113</v>
      </c>
      <c r="C71" s="3">
        <v>0.46899999999999997</v>
      </c>
      <c r="D71">
        <v>303545</v>
      </c>
      <c r="E71" s="3">
        <v>0.50442932678844987</v>
      </c>
    </row>
    <row r="72" spans="1:5" x14ac:dyDescent="0.35">
      <c r="A72">
        <v>2.5190849401737547E-2</v>
      </c>
      <c r="B72">
        <v>398</v>
      </c>
      <c r="C72" s="3">
        <v>0.34700000000000003</v>
      </c>
      <c r="D72">
        <v>4010897</v>
      </c>
      <c r="E72" s="3">
        <v>0.41017981763181655</v>
      </c>
    </row>
    <row r="73" spans="1:5" x14ac:dyDescent="0.35">
      <c r="A73">
        <v>-2.174988068305328E-2</v>
      </c>
      <c r="B73">
        <v>737</v>
      </c>
      <c r="C73" s="3">
        <v>0.48700000000000004</v>
      </c>
      <c r="D73">
        <v>2824403</v>
      </c>
      <c r="E73" s="3">
        <v>0.44537164136987534</v>
      </c>
    </row>
    <row r="74" spans="1:5" x14ac:dyDescent="0.35">
      <c r="A74">
        <v>-4.9229851725663965E-3</v>
      </c>
      <c r="B74">
        <v>796</v>
      </c>
      <c r="C74" s="3">
        <v>0.45600000000000002</v>
      </c>
      <c r="D74">
        <v>4268961</v>
      </c>
      <c r="E74" s="3">
        <v>0.44578036669812632</v>
      </c>
    </row>
    <row r="75" spans="1:5" x14ac:dyDescent="0.35">
      <c r="A75">
        <v>-2.7271225216195738E-2</v>
      </c>
      <c r="B75">
        <v>377</v>
      </c>
      <c r="C75" s="3">
        <v>0.43</v>
      </c>
      <c r="D75">
        <v>21164677</v>
      </c>
      <c r="E75" s="3">
        <v>0.33413668443888844</v>
      </c>
    </row>
    <row r="76" spans="1:5" x14ac:dyDescent="0.35">
      <c r="A76">
        <v>-2.1446956389231497E-2</v>
      </c>
      <c r="B76">
        <v>481</v>
      </c>
      <c r="C76" s="3">
        <v>0.39500000000000002</v>
      </c>
      <c r="D76">
        <v>28809882</v>
      </c>
      <c r="E76" s="3">
        <v>0.28716198837607182</v>
      </c>
    </row>
    <row r="77" spans="1:5" x14ac:dyDescent="0.35">
      <c r="A77">
        <v>-3.4711886449338591E-2</v>
      </c>
      <c r="B77">
        <v>811</v>
      </c>
      <c r="C77" s="3">
        <v>0.35499999999999998</v>
      </c>
      <c r="D77">
        <v>3033895</v>
      </c>
      <c r="E77" s="3">
        <v>0.34080678467778219</v>
      </c>
    </row>
    <row r="78" spans="1:5" x14ac:dyDescent="0.35">
      <c r="A78">
        <v>-2.4330553688543644E-2</v>
      </c>
      <c r="B78">
        <v>298</v>
      </c>
      <c r="C78" s="3">
        <v>0.55400000000000005</v>
      </c>
      <c r="D78">
        <v>719237</v>
      </c>
      <c r="E78" s="3">
        <v>0.53388938555719467</v>
      </c>
    </row>
    <row r="79" spans="1:5" x14ac:dyDescent="0.35">
      <c r="A79">
        <v>-6.2724944960435458E-2</v>
      </c>
      <c r="B79">
        <v>386</v>
      </c>
      <c r="C79" s="3">
        <v>0.48399999999999999</v>
      </c>
      <c r="D79">
        <v>828075</v>
      </c>
      <c r="E79" s="3">
        <v>0.43727681671346197</v>
      </c>
    </row>
    <row r="80" spans="1:5" x14ac:dyDescent="0.35">
      <c r="A80">
        <v>-6.5007825513048623E-2</v>
      </c>
      <c r="B80">
        <v>358</v>
      </c>
      <c r="C80" s="3">
        <v>0.26300000000000001</v>
      </c>
      <c r="D80">
        <v>3549181</v>
      </c>
      <c r="E80" s="3">
        <v>0.25820830214069107</v>
      </c>
    </row>
    <row r="81" spans="1:5" x14ac:dyDescent="0.35">
      <c r="A81">
        <v>6.514526673178217E-2</v>
      </c>
      <c r="B81">
        <v>447</v>
      </c>
      <c r="C81" s="3">
        <v>0.45</v>
      </c>
      <c r="D81">
        <v>14258775</v>
      </c>
      <c r="E81" s="3">
        <v>0.47214280329130659</v>
      </c>
    </row>
    <row r="82" spans="1:5" x14ac:dyDescent="0.35">
      <c r="A82">
        <v>1.3805283241508093E-4</v>
      </c>
      <c r="B82">
        <v>499</v>
      </c>
      <c r="C82" s="3">
        <v>0.51100000000000001</v>
      </c>
      <c r="D82">
        <v>7836144</v>
      </c>
      <c r="E82" s="3">
        <v>0.51073563732366323</v>
      </c>
    </row>
    <row r="83" spans="1:5" x14ac:dyDescent="0.35">
      <c r="A83">
        <v>-5.1746921079664943E-2</v>
      </c>
      <c r="B83">
        <v>474</v>
      </c>
      <c r="C83" s="3">
        <v>0.39200000000000002</v>
      </c>
      <c r="D83">
        <v>2683821</v>
      </c>
      <c r="E83" s="3">
        <v>0.36821867032115779</v>
      </c>
    </row>
    <row r="84" spans="1:5" x14ac:dyDescent="0.35">
      <c r="A84">
        <v>3.7441122076222855E-2</v>
      </c>
      <c r="B84">
        <v>549</v>
      </c>
      <c r="C84" s="3">
        <v>0.37200000000000005</v>
      </c>
      <c r="D84">
        <v>12333372</v>
      </c>
      <c r="E84" s="3">
        <v>0.3850633873688396</v>
      </c>
    </row>
    <row r="85" spans="1:5" x14ac:dyDescent="0.35">
      <c r="A85">
        <v>3.9214538910679608E-3</v>
      </c>
      <c r="B85">
        <v>571</v>
      </c>
      <c r="C85" s="3">
        <v>0.48499999999999999</v>
      </c>
      <c r="D85">
        <v>18045694</v>
      </c>
      <c r="E85" s="3">
        <v>0.42194464784784669</v>
      </c>
    </row>
    <row r="86" spans="1:5" x14ac:dyDescent="0.35">
      <c r="A86">
        <v>5.9817756110396303E-3</v>
      </c>
      <c r="B86">
        <v>320</v>
      </c>
      <c r="C86" s="3">
        <v>0.46299999999999997</v>
      </c>
      <c r="D86">
        <v>3095117</v>
      </c>
      <c r="E86" s="3">
        <v>0.50060078504302097</v>
      </c>
    </row>
    <row r="87" spans="1:5" x14ac:dyDescent="0.35">
      <c r="A87">
        <v>3.6322625366768668E-3</v>
      </c>
      <c r="B87">
        <v>368</v>
      </c>
      <c r="C87" s="3">
        <v>0.47000000000000003</v>
      </c>
      <c r="D87">
        <v>705952</v>
      </c>
      <c r="E87" s="3">
        <v>0.49396559539458773</v>
      </c>
    </row>
    <row r="88" spans="1:5" x14ac:dyDescent="0.35">
      <c r="A88">
        <v>-1.2638647350910359E-2</v>
      </c>
      <c r="B88">
        <v>1007</v>
      </c>
      <c r="C88" s="3">
        <v>0.47399999999999998</v>
      </c>
      <c r="D88">
        <v>17022019</v>
      </c>
      <c r="E88" s="3">
        <v>0.3804243785651984</v>
      </c>
    </row>
    <row r="89" spans="1:5" x14ac:dyDescent="0.35">
      <c r="A89">
        <v>-4.5134946417732857E-2</v>
      </c>
      <c r="B89">
        <v>514</v>
      </c>
      <c r="C89" s="3">
        <v>0.57399999999999995</v>
      </c>
      <c r="D89">
        <v>4648360</v>
      </c>
      <c r="E89" s="3">
        <v>0.50812867333855383</v>
      </c>
    </row>
    <row r="90" spans="1:5" x14ac:dyDescent="0.35">
      <c r="A90">
        <v>6.3341323589580389E-2</v>
      </c>
      <c r="B90">
        <v>693</v>
      </c>
      <c r="C90" s="3">
        <v>0.51400000000000001</v>
      </c>
      <c r="D90">
        <v>22344165</v>
      </c>
      <c r="E90" s="3">
        <v>0.47231086952678697</v>
      </c>
    </row>
    <row r="91" spans="1:5" x14ac:dyDescent="0.35">
      <c r="A91">
        <v>5.5662258608883519E-2</v>
      </c>
      <c r="B91">
        <v>477</v>
      </c>
      <c r="C91" s="3">
        <v>0.44</v>
      </c>
      <c r="D91">
        <v>1211938</v>
      </c>
      <c r="E91" s="3">
        <v>0.50249517714602565</v>
      </c>
    </row>
    <row r="92" spans="1:5" x14ac:dyDescent="0.35">
      <c r="A92">
        <v>2.3071590004053844E-2</v>
      </c>
      <c r="B92">
        <v>223</v>
      </c>
      <c r="C92" s="3">
        <v>0.42600000000000005</v>
      </c>
      <c r="D92">
        <v>846593</v>
      </c>
      <c r="E92" s="3">
        <v>0.48548121706652431</v>
      </c>
    </row>
    <row r="93" spans="1:5" x14ac:dyDescent="0.35">
      <c r="A93">
        <v>3.7341733494358709E-2</v>
      </c>
      <c r="B93">
        <v>450</v>
      </c>
      <c r="C93" s="3">
        <v>0.48200000000000004</v>
      </c>
      <c r="D93">
        <v>9456989</v>
      </c>
      <c r="E93" s="3">
        <v>0.46808587807387741</v>
      </c>
    </row>
    <row r="94" spans="1:5" x14ac:dyDescent="0.35">
      <c r="A94">
        <v>2.5724818118956327E-2</v>
      </c>
      <c r="B94">
        <v>426</v>
      </c>
      <c r="C94" s="3">
        <v>0.48600000000000004</v>
      </c>
      <c r="D94">
        <v>2571335</v>
      </c>
      <c r="E94" s="3">
        <v>0.50654815494674943</v>
      </c>
    </row>
    <row r="95" spans="1:5" x14ac:dyDescent="0.35">
      <c r="A95">
        <v>3.9734151677435825E-2</v>
      </c>
      <c r="B95">
        <v>574</v>
      </c>
      <c r="C95" s="3">
        <v>0.43700000000000006</v>
      </c>
      <c r="D95">
        <v>10968228</v>
      </c>
      <c r="E95" s="3">
        <v>0.44019298285921848</v>
      </c>
    </row>
    <row r="96" spans="1:5" x14ac:dyDescent="0.35">
      <c r="A96">
        <v>2.2794157922151892E-2</v>
      </c>
      <c r="B96">
        <v>330</v>
      </c>
      <c r="C96" s="3">
        <v>0.49700000000000005</v>
      </c>
      <c r="D96">
        <v>797743</v>
      </c>
      <c r="E96" s="3">
        <v>0.52127188831490845</v>
      </c>
    </row>
    <row r="97" spans="1:5" x14ac:dyDescent="0.35">
      <c r="A97">
        <v>-5.3466334105582991E-3</v>
      </c>
      <c r="B97">
        <v>460</v>
      </c>
      <c r="C97" s="3">
        <v>0.42200000000000004</v>
      </c>
      <c r="D97">
        <v>12034064</v>
      </c>
      <c r="E97" s="3">
        <v>0.37151148606156659</v>
      </c>
    </row>
    <row r="98" spans="1:5" x14ac:dyDescent="0.35">
      <c r="A98">
        <v>2.7488632889553222E-2</v>
      </c>
      <c r="B98">
        <v>906</v>
      </c>
      <c r="C98" s="3">
        <v>0.32299999999999995</v>
      </c>
      <c r="D98">
        <v>3136616</v>
      </c>
      <c r="E98" s="3">
        <v>0.37382102240121201</v>
      </c>
    </row>
    <row r="99" spans="1:5" x14ac:dyDescent="0.35">
      <c r="A99">
        <v>-4.51765586410105E-2</v>
      </c>
      <c r="B99">
        <v>425</v>
      </c>
      <c r="C99" s="3">
        <v>0.51500000000000001</v>
      </c>
      <c r="D99">
        <v>84330744</v>
      </c>
      <c r="E99" s="3">
        <v>0.2187982238126584</v>
      </c>
    </row>
    <row r="100" spans="1:5" x14ac:dyDescent="0.35">
      <c r="A100">
        <v>-0.11271439793155752</v>
      </c>
      <c r="B100">
        <v>274</v>
      </c>
      <c r="C100" s="3">
        <v>0.36499999999999999</v>
      </c>
      <c r="D100">
        <v>2411340</v>
      </c>
      <c r="E100" s="3">
        <v>0.3102088465334627</v>
      </c>
    </row>
    <row r="101" spans="1:5" x14ac:dyDescent="0.35">
      <c r="A101">
        <v>-7.4506311232665601E-2</v>
      </c>
      <c r="B101">
        <v>545</v>
      </c>
      <c r="C101" s="3">
        <v>0.39100000000000001</v>
      </c>
      <c r="D101">
        <v>44745806</v>
      </c>
      <c r="E101" s="3">
        <v>0.18402576098416912</v>
      </c>
    </row>
    <row r="102" spans="1:5" x14ac:dyDescent="0.35">
      <c r="A102">
        <v>-2.5590412711256061E-2</v>
      </c>
      <c r="B102">
        <v>354</v>
      </c>
      <c r="C102" s="3">
        <v>0.49700000000000005</v>
      </c>
      <c r="D102">
        <v>1218797</v>
      </c>
      <c r="E102" s="3">
        <v>0.48477802291932126</v>
      </c>
    </row>
    <row r="103" spans="1:5" x14ac:dyDescent="0.35">
      <c r="A103">
        <v>-9.5661107921958533E-2</v>
      </c>
      <c r="B103">
        <v>359</v>
      </c>
      <c r="C103" s="3">
        <v>0.51500000000000001</v>
      </c>
      <c r="D103">
        <v>816915</v>
      </c>
      <c r="E103" s="3">
        <v>0.42949021624036771</v>
      </c>
    </row>
    <row r="104" spans="1:5" x14ac:dyDescent="0.35">
      <c r="A104">
        <v>-2.3553497507783461E-2</v>
      </c>
      <c r="B104">
        <v>353</v>
      </c>
      <c r="C104" s="3">
        <v>0.58600000000000008</v>
      </c>
      <c r="D104">
        <v>9711258</v>
      </c>
      <c r="E104" s="3">
        <v>0.49103936894684497</v>
      </c>
    </row>
    <row r="105" spans="1:5" x14ac:dyDescent="0.35">
      <c r="A105">
        <v>-2.0930425841695854E-2</v>
      </c>
      <c r="B105">
        <v>321</v>
      </c>
      <c r="C105" s="3">
        <v>0.498</v>
      </c>
      <c r="D105">
        <v>577835</v>
      </c>
      <c r="E105" s="3">
        <v>0.49344709129768877</v>
      </c>
    </row>
    <row r="106" spans="1:5" x14ac:dyDescent="0.35">
      <c r="A106">
        <v>1.7389589781981463E-2</v>
      </c>
      <c r="B106">
        <v>502</v>
      </c>
      <c r="C106" s="3">
        <v>0.41000000000000003</v>
      </c>
      <c r="D106">
        <v>5013233</v>
      </c>
      <c r="E106" s="3">
        <v>0.45773356235387425</v>
      </c>
    </row>
    <row r="107" spans="1:5" x14ac:dyDescent="0.35">
      <c r="A107">
        <v>-0.10935412475640355</v>
      </c>
      <c r="B107">
        <v>488</v>
      </c>
      <c r="C107" s="3">
        <v>0.58200000000000007</v>
      </c>
      <c r="D107">
        <v>15346032</v>
      </c>
      <c r="E107" s="3">
        <v>0.38056052535274265</v>
      </c>
    </row>
    <row r="108" spans="1:5" x14ac:dyDescent="0.35">
      <c r="A108">
        <v>3.8083180752000678E-2</v>
      </c>
      <c r="B108">
        <v>446</v>
      </c>
      <c r="C108" s="3">
        <v>0.48200000000000004</v>
      </c>
      <c r="D108">
        <v>2148214</v>
      </c>
      <c r="E108" s="3">
        <v>0.51610640280716913</v>
      </c>
    </row>
    <row r="109" spans="1:5" x14ac:dyDescent="0.35">
      <c r="A109">
        <v>3.7794637907341333E-2</v>
      </c>
      <c r="B109">
        <v>608</v>
      </c>
      <c r="C109" s="3">
        <v>0.42100000000000004</v>
      </c>
      <c r="D109">
        <v>4328227</v>
      </c>
      <c r="E109" s="3">
        <v>0.46964935064635011</v>
      </c>
    </row>
    <row r="110" spans="1:5" x14ac:dyDescent="0.35">
      <c r="A110">
        <v>4.5082843041208687E-2</v>
      </c>
      <c r="B110">
        <v>450</v>
      </c>
      <c r="C110" s="3">
        <v>0.504</v>
      </c>
      <c r="D110">
        <v>4582583</v>
      </c>
      <c r="E110" s="3">
        <v>0.5473432777976962</v>
      </c>
    </row>
    <row r="111" spans="1:5" x14ac:dyDescent="0.35">
      <c r="A111">
        <v>0.14009348608560201</v>
      </c>
      <c r="B111">
        <v>451</v>
      </c>
      <c r="C111" s="3">
        <v>0.51900000000000002</v>
      </c>
      <c r="D111">
        <v>5213193</v>
      </c>
      <c r="E111" s="3">
        <v>0.65213795077220427</v>
      </c>
    </row>
    <row r="112" spans="1:5" x14ac:dyDescent="0.35">
      <c r="A112">
        <v>-8.2759318907173363E-2</v>
      </c>
      <c r="B112">
        <v>183</v>
      </c>
      <c r="C112" s="3">
        <v>0.54600000000000004</v>
      </c>
      <c r="D112">
        <v>7379063</v>
      </c>
      <c r="E112" s="3">
        <v>0.45598811122767213</v>
      </c>
    </row>
    <row r="113" spans="1:5" x14ac:dyDescent="0.35">
      <c r="A113">
        <v>-1.6551340322174202E-2</v>
      </c>
      <c r="B113">
        <v>546</v>
      </c>
      <c r="C113" s="3">
        <v>0.56600000000000006</v>
      </c>
      <c r="D113">
        <v>6939737</v>
      </c>
      <c r="E113" s="3">
        <v>0.53689268051512617</v>
      </c>
    </row>
    <row r="114" spans="1:5" x14ac:dyDescent="0.35">
      <c r="A114">
        <v>-3.9208211698138984E-2</v>
      </c>
      <c r="B114">
        <v>505</v>
      </c>
      <c r="C114" s="3">
        <v>0.39200000000000002</v>
      </c>
      <c r="D114">
        <v>2026466</v>
      </c>
      <c r="E114" s="3">
        <v>0.38120600098891372</v>
      </c>
    </row>
    <row r="115" spans="1:5" x14ac:dyDescent="0.35">
      <c r="A115">
        <v>1.9848425232886047E-2</v>
      </c>
      <c r="B115">
        <v>221</v>
      </c>
      <c r="C115" s="3">
        <v>0.43</v>
      </c>
      <c r="D115">
        <v>4217557</v>
      </c>
      <c r="E115" s="3">
        <v>0.49027505733769572</v>
      </c>
    </row>
    <row r="116" spans="1:5" x14ac:dyDescent="0.35">
      <c r="A116">
        <v>7.0896857564549665E-2</v>
      </c>
      <c r="B116">
        <v>448</v>
      </c>
      <c r="C116" s="3">
        <v>0.42899999999999999</v>
      </c>
      <c r="D116">
        <v>11134589</v>
      </c>
      <c r="E116" s="3">
        <v>0.45618064573375811</v>
      </c>
    </row>
    <row r="117" spans="1:5" x14ac:dyDescent="0.35">
      <c r="A117">
        <v>-1.9685239494836859E-2</v>
      </c>
      <c r="B117">
        <v>386</v>
      </c>
      <c r="C117" s="3">
        <v>0.26900000000000002</v>
      </c>
      <c r="D117">
        <v>1620709</v>
      </c>
      <c r="E117" s="3">
        <v>0.31220286923809271</v>
      </c>
    </row>
    <row r="118" spans="1:5" x14ac:dyDescent="0.35">
      <c r="A118">
        <v>6.5104989272734726E-2</v>
      </c>
      <c r="B118">
        <v>471</v>
      </c>
      <c r="C118" s="3">
        <v>0.46899999999999997</v>
      </c>
      <c r="D118">
        <v>6679239</v>
      </c>
      <c r="E118" s="3">
        <v>0.54773635140170907</v>
      </c>
    </row>
    <row r="119" spans="1:5" x14ac:dyDescent="0.35">
      <c r="A119">
        <v>-5.8892371788674125E-2</v>
      </c>
      <c r="B119">
        <v>509</v>
      </c>
      <c r="C119" s="3">
        <v>0.46600000000000003</v>
      </c>
      <c r="D119">
        <v>24959807</v>
      </c>
      <c r="E119" s="3">
        <v>0.31393588099459263</v>
      </c>
    </row>
    <row r="120" spans="1:5" x14ac:dyDescent="0.35">
      <c r="A120">
        <v>5.6868047579114789E-2</v>
      </c>
      <c r="B120">
        <v>482</v>
      </c>
      <c r="C120" s="3">
        <v>0.39200000000000002</v>
      </c>
      <c r="D120">
        <v>10959152</v>
      </c>
      <c r="E120" s="3">
        <v>0.42669925556283916</v>
      </c>
    </row>
    <row r="121" spans="1:5" x14ac:dyDescent="0.35">
      <c r="A121">
        <v>-3.8373058920818104E-2</v>
      </c>
      <c r="B121">
        <v>227</v>
      </c>
      <c r="C121" s="3">
        <v>0.61699999999999999</v>
      </c>
      <c r="D121">
        <v>357459</v>
      </c>
      <c r="E121" s="3">
        <v>0.57261112463247532</v>
      </c>
    </row>
    <row r="122" spans="1:5" x14ac:dyDescent="0.35">
      <c r="A122">
        <v>3.2651080342524619E-2</v>
      </c>
      <c r="B122">
        <v>292</v>
      </c>
      <c r="C122" s="3">
        <v>0.46600000000000003</v>
      </c>
      <c r="D122">
        <v>1107410</v>
      </c>
      <c r="E122" s="3">
        <v>0.52215078426237793</v>
      </c>
    </row>
    <row r="123" spans="1:5" x14ac:dyDescent="0.35">
      <c r="A123">
        <v>9.163916422758539E-2</v>
      </c>
      <c r="B123">
        <v>255</v>
      </c>
      <c r="C123" s="3">
        <v>0.49</v>
      </c>
      <c r="D123">
        <v>4122237</v>
      </c>
      <c r="E123" s="3">
        <v>0.55197408591500197</v>
      </c>
    </row>
    <row r="124" spans="1:5" x14ac:dyDescent="0.35">
      <c r="A124">
        <v>-2.6923541630464454E-2</v>
      </c>
      <c r="B124">
        <v>933</v>
      </c>
      <c r="C124" s="3">
        <v>0.33</v>
      </c>
      <c r="D124">
        <v>2832463</v>
      </c>
      <c r="E124" s="3">
        <v>0.32445790112704032</v>
      </c>
    </row>
    <row r="125" spans="1:5" x14ac:dyDescent="0.35">
      <c r="A125">
        <v>3.0161104534654537E-2</v>
      </c>
      <c r="B125">
        <v>337</v>
      </c>
      <c r="C125" s="3">
        <v>0.46899999999999997</v>
      </c>
      <c r="D125">
        <v>4303941</v>
      </c>
      <c r="E125" s="3">
        <v>0.52530808391657791</v>
      </c>
    </row>
    <row r="126" spans="1:5" x14ac:dyDescent="0.35">
      <c r="A126">
        <v>3.4549800517980844E-2</v>
      </c>
      <c r="B126">
        <v>333</v>
      </c>
      <c r="C126" s="3">
        <v>0.39900000000000002</v>
      </c>
      <c r="D126">
        <v>3403074</v>
      </c>
      <c r="E126" s="3">
        <v>0.47835045608764309</v>
      </c>
    </row>
    <row r="127" spans="1:5" x14ac:dyDescent="0.35">
      <c r="A127">
        <v>5.7322208914412531E-2</v>
      </c>
      <c r="B127">
        <v>402</v>
      </c>
      <c r="C127" s="3">
        <v>0.52500000000000002</v>
      </c>
      <c r="D127">
        <v>2562929</v>
      </c>
      <c r="E127" s="3">
        <v>0.5693282958677357</v>
      </c>
    </row>
    <row r="128" spans="1:5" x14ac:dyDescent="0.35">
      <c r="A128">
        <v>-9.1370794636873032E-3</v>
      </c>
      <c r="B128">
        <v>46</v>
      </c>
      <c r="C128" s="3">
        <v>0.30399999999999999</v>
      </c>
      <c r="D128">
        <v>74370</v>
      </c>
      <c r="E128" s="3">
        <v>0.35498184751916095</v>
      </c>
    </row>
    <row r="129" spans="1:5" x14ac:dyDescent="0.35">
      <c r="A129">
        <v>4.2531302588771913E-3</v>
      </c>
      <c r="B129">
        <v>627</v>
      </c>
      <c r="C129" s="3">
        <v>0.58899999999999997</v>
      </c>
      <c r="D129">
        <v>79719731</v>
      </c>
      <c r="E129" s="3">
        <v>0.32916537312450289</v>
      </c>
    </row>
    <row r="130" spans="1:5" x14ac:dyDescent="0.35">
      <c r="A130">
        <v>1.4883165558763345E-3</v>
      </c>
      <c r="B130">
        <v>216</v>
      </c>
      <c r="C130" s="3">
        <v>0.49100000000000005</v>
      </c>
      <c r="D130">
        <v>3653764</v>
      </c>
      <c r="E130" s="3">
        <v>0.50665259168353516</v>
      </c>
    </row>
    <row r="131" spans="1:5" x14ac:dyDescent="0.35">
      <c r="A131">
        <v>-9.3982071936070666E-3</v>
      </c>
      <c r="B131">
        <v>364</v>
      </c>
      <c r="C131" s="3">
        <v>0.48899999999999999</v>
      </c>
      <c r="D131">
        <v>1789311</v>
      </c>
      <c r="E131" s="3">
        <v>0.49277291650249733</v>
      </c>
    </row>
    <row r="132" spans="1:5" x14ac:dyDescent="0.35">
      <c r="A132">
        <v>3.1880064738244618E-2</v>
      </c>
      <c r="B132">
        <v>313</v>
      </c>
      <c r="C132" s="3">
        <v>0.45700000000000002</v>
      </c>
      <c r="D132">
        <v>3004339</v>
      </c>
      <c r="E132" s="3">
        <v>0.50831014742344327</v>
      </c>
    </row>
    <row r="133" spans="1:5" x14ac:dyDescent="0.35">
      <c r="A133">
        <v>-2.5268392298565923E-2</v>
      </c>
      <c r="B133">
        <v>685</v>
      </c>
      <c r="C133" s="3">
        <v>0.45700000000000002</v>
      </c>
      <c r="D133">
        <v>3098688</v>
      </c>
      <c r="E133" s="3">
        <v>0.42024463256707356</v>
      </c>
    </row>
    <row r="134" spans="1:5" x14ac:dyDescent="0.35">
      <c r="A134">
        <v>2.1535602353037753E-3</v>
      </c>
      <c r="B134">
        <v>685</v>
      </c>
      <c r="C134" s="3">
        <v>0.33100000000000002</v>
      </c>
      <c r="D134">
        <v>1884240</v>
      </c>
      <c r="E134" s="3">
        <v>0.36791650745128007</v>
      </c>
    </row>
    <row r="135" spans="1:5" x14ac:dyDescent="0.35">
      <c r="A135">
        <v>9.8340436296627254E-3</v>
      </c>
      <c r="B135">
        <v>324</v>
      </c>
      <c r="C135" s="3">
        <v>0.29600000000000004</v>
      </c>
      <c r="D135">
        <v>4018248</v>
      </c>
      <c r="E135" s="3">
        <v>0.35872250791887411</v>
      </c>
    </row>
    <row r="136" spans="1:5" x14ac:dyDescent="0.35">
      <c r="A136">
        <v>-4.2142703945263704E-2</v>
      </c>
      <c r="B136">
        <v>443</v>
      </c>
      <c r="C136" s="3">
        <v>0.49700000000000005</v>
      </c>
      <c r="D136">
        <v>18703190</v>
      </c>
      <c r="E136" s="3">
        <v>0.37486733546523349</v>
      </c>
    </row>
    <row r="137" spans="1:5" x14ac:dyDescent="0.35">
      <c r="A137">
        <v>-1.6864591952364671E-2</v>
      </c>
      <c r="B137">
        <v>264</v>
      </c>
      <c r="C137" s="3">
        <v>0.46200000000000002</v>
      </c>
      <c r="D137">
        <v>1482726</v>
      </c>
      <c r="E137" s="3">
        <v>0.469748287950707</v>
      </c>
    </row>
    <row r="138" spans="1:5" x14ac:dyDescent="0.35">
      <c r="A138">
        <v>6.1075362208514672E-2</v>
      </c>
      <c r="B138">
        <v>769</v>
      </c>
      <c r="C138" s="3">
        <v>0.33799999999999997</v>
      </c>
      <c r="D138">
        <v>4854278</v>
      </c>
      <c r="E138" s="3">
        <v>0.42035272804730178</v>
      </c>
    </row>
    <row r="139" spans="1:5" x14ac:dyDescent="0.35">
      <c r="A139">
        <v>2.4080993993472966E-2</v>
      </c>
      <c r="B139">
        <v>545</v>
      </c>
      <c r="C139" s="3">
        <v>0.34100000000000003</v>
      </c>
      <c r="D139">
        <v>2641910</v>
      </c>
      <c r="E139" s="3">
        <v>0.38754121071497516</v>
      </c>
    </row>
    <row r="140" spans="1:5" x14ac:dyDescent="0.35">
      <c r="A140">
        <v>3.2142951689626609E-2</v>
      </c>
      <c r="B140">
        <v>605</v>
      </c>
      <c r="C140" s="3">
        <v>0.41000000000000003</v>
      </c>
      <c r="D140">
        <v>3016591</v>
      </c>
      <c r="E140" s="3">
        <v>0.45927605034955021</v>
      </c>
    </row>
    <row r="141" spans="1:5" x14ac:dyDescent="0.35">
      <c r="A141">
        <v>1.8702454448523587E-2</v>
      </c>
      <c r="B141">
        <v>211</v>
      </c>
      <c r="C141" s="3">
        <v>0.24600000000000002</v>
      </c>
      <c r="D141">
        <v>695585</v>
      </c>
      <c r="E141" s="3">
        <v>0.34315432333934748</v>
      </c>
    </row>
    <row r="142" spans="1:5" x14ac:dyDescent="0.35">
      <c r="A142">
        <v>7.6866413634948172E-2</v>
      </c>
      <c r="B142">
        <v>308</v>
      </c>
      <c r="C142" s="3">
        <v>0.40899999999999997</v>
      </c>
      <c r="D142">
        <v>742945</v>
      </c>
      <c r="E142" s="3">
        <v>0.50855985301738349</v>
      </c>
    </row>
    <row r="143" spans="1:5" x14ac:dyDescent="0.35">
      <c r="A143">
        <v>5.0820265501128503E-2</v>
      </c>
      <c r="B143">
        <v>165</v>
      </c>
      <c r="C143" s="3">
        <v>0.503</v>
      </c>
      <c r="D143">
        <v>428383</v>
      </c>
      <c r="E143" s="3">
        <v>0.56225853967127548</v>
      </c>
    </row>
    <row r="144" spans="1:5" x14ac:dyDescent="0.35">
      <c r="A144">
        <v>-1.8092530878452029E-2</v>
      </c>
      <c r="B144">
        <v>744</v>
      </c>
      <c r="C144" s="3">
        <v>0.45</v>
      </c>
      <c r="D144">
        <v>5348776</v>
      </c>
      <c r="E144" s="3">
        <v>0.44147333894707874</v>
      </c>
    </row>
    <row r="145" spans="1:5" x14ac:dyDescent="0.35">
      <c r="A145">
        <v>-2.4578049833672344E-2</v>
      </c>
      <c r="B145">
        <v>383</v>
      </c>
      <c r="C145" s="3">
        <v>0.51200000000000001</v>
      </c>
      <c r="D145">
        <v>5078906</v>
      </c>
      <c r="E145" s="3">
        <v>0.4854478503835275</v>
      </c>
    </row>
    <row r="146" spans="1:5" x14ac:dyDescent="0.35">
      <c r="A146">
        <v>1.3430830829830542E-2</v>
      </c>
      <c r="B146">
        <v>407</v>
      </c>
      <c r="C146" s="3">
        <v>0.378</v>
      </c>
      <c r="D146">
        <v>1293005</v>
      </c>
      <c r="E146" s="3">
        <v>0.41529305764478869</v>
      </c>
    </row>
    <row r="147" spans="1:5" x14ac:dyDescent="0.35">
      <c r="A147">
        <v>-2.1110245799853877E-2</v>
      </c>
      <c r="B147">
        <v>821</v>
      </c>
      <c r="C147" s="3">
        <v>0.36299999999999999</v>
      </c>
      <c r="D147">
        <v>8046322</v>
      </c>
      <c r="E147" s="3">
        <v>0.36043262996434894</v>
      </c>
    </row>
    <row r="148" spans="1:5" x14ac:dyDescent="0.35">
      <c r="A148">
        <v>1.6988919065044017E-2</v>
      </c>
      <c r="B148">
        <v>530</v>
      </c>
      <c r="C148" s="3">
        <v>0.54300000000000004</v>
      </c>
      <c r="D148">
        <v>18956826</v>
      </c>
      <c r="E148" s="3">
        <v>0.46494207416368122</v>
      </c>
    </row>
    <row r="149" spans="1:5" x14ac:dyDescent="0.35">
      <c r="A149">
        <v>1.2433089432248801E-2</v>
      </c>
      <c r="B149">
        <v>737</v>
      </c>
      <c r="C149" s="3">
        <v>0.42600000000000005</v>
      </c>
      <c r="D149">
        <v>3748170</v>
      </c>
      <c r="E149" s="3">
        <v>0.44404095865449006</v>
      </c>
    </row>
    <row r="150" spans="1:5" x14ac:dyDescent="0.35">
      <c r="A150">
        <v>-2.193252768500531E-2</v>
      </c>
      <c r="B150">
        <v>461</v>
      </c>
      <c r="C150" s="3">
        <v>0.44900000000000001</v>
      </c>
      <c r="D150">
        <v>4068710</v>
      </c>
      <c r="E150" s="3">
        <v>0.4388206581447191</v>
      </c>
    </row>
    <row r="151" spans="1:5" x14ac:dyDescent="0.35">
      <c r="A151">
        <v>0.10969569328679185</v>
      </c>
      <c r="B151">
        <v>274</v>
      </c>
      <c r="C151" s="3">
        <v>0.39100000000000001</v>
      </c>
      <c r="D151">
        <v>1646320</v>
      </c>
      <c r="E151" s="3">
        <v>0.52650092327129594</v>
      </c>
    </row>
    <row r="152" spans="1:5" x14ac:dyDescent="0.35">
      <c r="A152">
        <v>6.6954501896202223E-2</v>
      </c>
      <c r="B152">
        <v>313</v>
      </c>
      <c r="C152" s="3">
        <v>0.51800000000000002</v>
      </c>
      <c r="D152">
        <v>9345986</v>
      </c>
      <c r="E152" s="3">
        <v>0.53185463791621346</v>
      </c>
    </row>
    <row r="153" spans="1:5" x14ac:dyDescent="0.35">
      <c r="A153">
        <v>3.2687661031705284E-2</v>
      </c>
      <c r="B153">
        <v>593</v>
      </c>
      <c r="C153" s="3">
        <v>0.46899999999999997</v>
      </c>
      <c r="D153">
        <v>2997108</v>
      </c>
      <c r="E153" s="3">
        <v>0.4918167780406979</v>
      </c>
    </row>
    <row r="154" spans="1:5" x14ac:dyDescent="0.35">
      <c r="A154">
        <v>-1.4674089835746806E-2</v>
      </c>
      <c r="B154">
        <v>448</v>
      </c>
      <c r="C154" s="3">
        <v>0.42899999999999999</v>
      </c>
      <c r="D154">
        <v>5005471</v>
      </c>
      <c r="E154" s="3">
        <v>0.42862499852661218</v>
      </c>
    </row>
    <row r="155" spans="1:5" x14ac:dyDescent="0.35">
      <c r="A155">
        <v>-2.385517668396353E-2</v>
      </c>
      <c r="B155">
        <v>495</v>
      </c>
      <c r="C155" s="3">
        <v>0.501</v>
      </c>
      <c r="D155">
        <v>2464943</v>
      </c>
      <c r="E155" s="3">
        <v>0.47990318640228191</v>
      </c>
    </row>
    <row r="156" spans="1:5" x14ac:dyDescent="0.35">
      <c r="A156">
        <v>-6.8726704566471397E-2</v>
      </c>
      <c r="B156">
        <v>364</v>
      </c>
      <c r="C156" s="3">
        <v>0.379</v>
      </c>
      <c r="D156">
        <v>1860167</v>
      </c>
      <c r="E156" s="3">
        <v>0.34836012035478536</v>
      </c>
    </row>
    <row r="157" spans="1:5" x14ac:dyDescent="0.35">
      <c r="A157">
        <v>1.3665614125640269E-2</v>
      </c>
      <c r="B157">
        <v>280</v>
      </c>
      <c r="C157" s="3">
        <v>0.311</v>
      </c>
      <c r="D157">
        <v>3466028</v>
      </c>
      <c r="E157" s="3">
        <v>0.3776083170707219</v>
      </c>
    </row>
    <row r="158" spans="1:5" x14ac:dyDescent="0.35">
      <c r="A158">
        <v>-8.9953073766966818E-3</v>
      </c>
      <c r="B158">
        <v>885</v>
      </c>
      <c r="C158" s="3">
        <v>0.52</v>
      </c>
      <c r="D158">
        <v>21453064</v>
      </c>
      <c r="E158" s="3">
        <v>0.41269125939306384</v>
      </c>
    </row>
    <row r="159" spans="1:5" x14ac:dyDescent="0.35">
      <c r="A159">
        <v>-1.7676730700725007E-2</v>
      </c>
      <c r="B159">
        <v>722</v>
      </c>
      <c r="C159" s="3">
        <v>0.45400000000000001</v>
      </c>
      <c r="D159">
        <v>2905881</v>
      </c>
      <c r="E159" s="3">
        <v>0.42441689800786747</v>
      </c>
    </row>
    <row r="160" spans="1:5" x14ac:dyDescent="0.35">
      <c r="A160">
        <v>-5.1217053411470703E-2</v>
      </c>
      <c r="B160">
        <v>676</v>
      </c>
      <c r="C160" s="3">
        <v>0.36700000000000005</v>
      </c>
      <c r="D160">
        <v>8453326</v>
      </c>
      <c r="E160" s="3">
        <v>0.33870609036017302</v>
      </c>
    </row>
    <row r="161" spans="1:5" x14ac:dyDescent="0.35">
      <c r="A161">
        <v>-3.2890579635783013E-2</v>
      </c>
      <c r="B161">
        <v>419</v>
      </c>
      <c r="C161" s="3">
        <v>0.46100000000000002</v>
      </c>
      <c r="D161">
        <v>5494696</v>
      </c>
      <c r="E161" s="3">
        <v>0.44915205499994904</v>
      </c>
    </row>
    <row r="162" spans="1:5" x14ac:dyDescent="0.35">
      <c r="A162">
        <v>1.4476205337416503E-2</v>
      </c>
      <c r="B162">
        <v>268</v>
      </c>
      <c r="C162" s="3">
        <v>0.47000000000000003</v>
      </c>
      <c r="D162">
        <v>4105328</v>
      </c>
      <c r="E162" s="3">
        <v>0.45884811152726407</v>
      </c>
    </row>
    <row r="163" spans="1:5" x14ac:dyDescent="0.35">
      <c r="A163">
        <v>-4.1101966373382037E-2</v>
      </c>
      <c r="B163">
        <v>277</v>
      </c>
      <c r="C163" s="3">
        <v>0.314</v>
      </c>
      <c r="D163">
        <v>3349138</v>
      </c>
      <c r="E163" s="3">
        <v>0.3397327909450133</v>
      </c>
    </row>
    <row r="164" spans="1:5" x14ac:dyDescent="0.35">
      <c r="A164">
        <v>-1.9468141649682358E-2</v>
      </c>
      <c r="B164">
        <v>367</v>
      </c>
      <c r="C164" s="3">
        <v>0.436</v>
      </c>
      <c r="D164">
        <v>2583155</v>
      </c>
      <c r="E164" s="3">
        <v>0.43946995050626075</v>
      </c>
    </row>
    <row r="165" spans="1:5" x14ac:dyDescent="0.35">
      <c r="A165">
        <v>-2.2189974988711503E-2</v>
      </c>
      <c r="B165">
        <v>461</v>
      </c>
      <c r="C165" s="3">
        <v>0.35399999999999998</v>
      </c>
      <c r="D165">
        <v>3172039</v>
      </c>
      <c r="E165" s="3">
        <v>0.36767360048221348</v>
      </c>
    </row>
    <row r="166" spans="1:5" x14ac:dyDescent="0.35">
      <c r="A166">
        <v>1.6965160284566405E-2</v>
      </c>
      <c r="B166">
        <v>586</v>
      </c>
      <c r="C166" s="3">
        <v>0.44700000000000006</v>
      </c>
      <c r="D166">
        <v>5660679</v>
      </c>
      <c r="E166" s="3">
        <v>0.46622834469151136</v>
      </c>
    </row>
    <row r="167" spans="1:5" x14ac:dyDescent="0.35">
      <c r="A167">
        <v>-4.4871466163016738E-3</v>
      </c>
      <c r="B167">
        <v>492</v>
      </c>
      <c r="C167" s="3">
        <v>0.49200000000000005</v>
      </c>
      <c r="D167">
        <v>5203694</v>
      </c>
      <c r="E167" s="3">
        <v>0.48493185802239719</v>
      </c>
    </row>
    <row r="168" spans="1:5" x14ac:dyDescent="0.35">
      <c r="A168">
        <v>-4.1060360888789171E-2</v>
      </c>
      <c r="B168">
        <v>917</v>
      </c>
      <c r="C168" s="3">
        <v>0.46200000000000002</v>
      </c>
      <c r="D168">
        <v>16671563</v>
      </c>
      <c r="E168" s="3">
        <v>0.34769877305445207</v>
      </c>
    </row>
    <row r="169" spans="1:5" x14ac:dyDescent="0.35">
      <c r="A169">
        <v>3.020108742419092E-3</v>
      </c>
      <c r="B169">
        <v>385</v>
      </c>
      <c r="C169" s="3">
        <v>0.51900000000000002</v>
      </c>
      <c r="D169">
        <v>6587786</v>
      </c>
      <c r="E169" s="3">
        <v>0.52829873344398259</v>
      </c>
    </row>
    <row r="170" spans="1:5" x14ac:dyDescent="0.35">
      <c r="A170">
        <v>3.46900242415214E-2</v>
      </c>
      <c r="B170">
        <v>254</v>
      </c>
      <c r="C170" s="3">
        <v>0.45700000000000002</v>
      </c>
      <c r="D170">
        <v>4407349</v>
      </c>
      <c r="E170" s="3">
        <v>0.52396554028283215</v>
      </c>
    </row>
    <row r="171" spans="1:5" x14ac:dyDescent="0.35">
      <c r="A171">
        <v>-5.8044311667823478E-2</v>
      </c>
      <c r="B171">
        <v>465</v>
      </c>
      <c r="C171" s="3">
        <v>0.35700000000000004</v>
      </c>
      <c r="D171">
        <v>2722577</v>
      </c>
      <c r="E171" s="3">
        <v>0.3352026407333934</v>
      </c>
    </row>
    <row r="172" spans="1:5" x14ac:dyDescent="0.35">
      <c r="A172">
        <v>2.715092402718805E-2</v>
      </c>
      <c r="B172">
        <v>427</v>
      </c>
      <c r="C172" s="3">
        <v>0.36799999999999999</v>
      </c>
      <c r="D172">
        <v>1323325</v>
      </c>
      <c r="E172" s="3">
        <v>0.4344465645249655</v>
      </c>
    </row>
    <row r="173" spans="1:5" x14ac:dyDescent="0.35">
      <c r="A173">
        <v>1.0981465359730269E-2</v>
      </c>
      <c r="B173">
        <v>472</v>
      </c>
      <c r="C173" s="3">
        <v>0.38100000000000001</v>
      </c>
      <c r="D173">
        <v>11567115</v>
      </c>
      <c r="E173" s="3">
        <v>0.35696195637373712</v>
      </c>
    </row>
    <row r="174" spans="1:5" x14ac:dyDescent="0.35">
      <c r="A174">
        <v>-6.8536161507105786E-2</v>
      </c>
      <c r="B174">
        <v>203</v>
      </c>
      <c r="C174" s="3">
        <v>0.433</v>
      </c>
      <c r="D174">
        <v>542206</v>
      </c>
      <c r="E174" s="3">
        <v>0.38688432071943135</v>
      </c>
    </row>
    <row r="175" spans="1:5" x14ac:dyDescent="0.35">
      <c r="A175">
        <v>-2.3673281907152344E-2</v>
      </c>
      <c r="B175">
        <v>496</v>
      </c>
      <c r="C175" s="3">
        <v>0.47200000000000003</v>
      </c>
      <c r="D175">
        <v>1175569</v>
      </c>
      <c r="E175" s="3">
        <v>0.44711369558060821</v>
      </c>
    </row>
    <row r="176" spans="1:5" x14ac:dyDescent="0.35">
      <c r="A176">
        <v>4.1995104858750798E-2</v>
      </c>
      <c r="B176">
        <v>424</v>
      </c>
      <c r="C176" s="3">
        <v>0.50700000000000001</v>
      </c>
      <c r="D176">
        <v>11600522</v>
      </c>
      <c r="E176" s="3">
        <v>0.50136416275060725</v>
      </c>
    </row>
    <row r="177" spans="1:5" x14ac:dyDescent="0.35">
      <c r="A177">
        <v>-0.12247332357374469</v>
      </c>
      <c r="B177">
        <v>480</v>
      </c>
      <c r="C177" s="3">
        <v>0.50600000000000001</v>
      </c>
      <c r="D177">
        <v>25694253</v>
      </c>
      <c r="E177" s="3">
        <v>0.28047248542310221</v>
      </c>
    </row>
    <row r="178" spans="1:5" x14ac:dyDescent="0.35">
      <c r="A178">
        <v>2.2390122510864918E-2</v>
      </c>
      <c r="B178">
        <v>616</v>
      </c>
      <c r="C178" s="3">
        <v>0.36499999999999999</v>
      </c>
      <c r="D178">
        <v>1895180</v>
      </c>
      <c r="E178" s="3">
        <v>0.4032962568199327</v>
      </c>
    </row>
    <row r="179" spans="1:5" x14ac:dyDescent="0.35">
      <c r="A179">
        <v>-1.0301223848826868E-2</v>
      </c>
      <c r="B179">
        <v>795</v>
      </c>
      <c r="C179" s="3">
        <v>0.40399999999999997</v>
      </c>
      <c r="D179">
        <v>4409626</v>
      </c>
      <c r="E179" s="3">
        <v>0.39992779432994996</v>
      </c>
    </row>
    <row r="180" spans="1:5" x14ac:dyDescent="0.35">
      <c r="A180">
        <v>6.8486570999850893E-2</v>
      </c>
      <c r="B180">
        <v>505</v>
      </c>
      <c r="C180" s="3">
        <v>0.45299999999999996</v>
      </c>
      <c r="D180">
        <v>1950716</v>
      </c>
      <c r="E180" s="3">
        <v>0.5220647188006865</v>
      </c>
    </row>
    <row r="181" spans="1:5" x14ac:dyDescent="0.35">
      <c r="A181">
        <v>-1.3085270572023244E-2</v>
      </c>
      <c r="B181">
        <v>596</v>
      </c>
      <c r="C181" s="3">
        <v>0.435</v>
      </c>
      <c r="D181">
        <v>2542251</v>
      </c>
      <c r="E181" s="3">
        <v>0.4350534231277714</v>
      </c>
    </row>
    <row r="182" spans="1:5" x14ac:dyDescent="0.35">
      <c r="A182">
        <v>-3.0651052454223671E-2</v>
      </c>
      <c r="B182">
        <v>608</v>
      </c>
      <c r="C182" s="3">
        <v>0.42799999999999999</v>
      </c>
      <c r="D182">
        <v>3648281</v>
      </c>
      <c r="E182" s="3">
        <v>0.40848964210815997</v>
      </c>
    </row>
    <row r="183" spans="1:5" x14ac:dyDescent="0.35">
      <c r="A183">
        <v>1.9193723094928394E-2</v>
      </c>
      <c r="B183">
        <v>228</v>
      </c>
      <c r="C183" s="3">
        <v>0.58799999999999997</v>
      </c>
      <c r="D183">
        <v>779287</v>
      </c>
      <c r="E183" s="3">
        <v>0.60658525036347333</v>
      </c>
    </row>
    <row r="184" spans="1:5" x14ac:dyDescent="0.35">
      <c r="A184">
        <v>-1.3493741917015856E-2</v>
      </c>
      <c r="B184">
        <v>661</v>
      </c>
      <c r="C184" s="3">
        <v>0.40399999999999997</v>
      </c>
      <c r="D184">
        <v>5149358</v>
      </c>
      <c r="E184" s="3">
        <v>0.40061965006123096</v>
      </c>
    </row>
    <row r="185" spans="1:5" x14ac:dyDescent="0.35">
      <c r="A185">
        <v>3.0477773215547344E-2</v>
      </c>
      <c r="B185">
        <v>299</v>
      </c>
      <c r="C185" s="3">
        <v>0.52500000000000002</v>
      </c>
      <c r="D185">
        <v>920005</v>
      </c>
      <c r="E185" s="3">
        <v>0.5657175776218607</v>
      </c>
    </row>
    <row r="186" spans="1:5" x14ac:dyDescent="0.35">
      <c r="A186">
        <v>-1.9206944953586769E-2</v>
      </c>
      <c r="B186">
        <v>248</v>
      </c>
      <c r="C186" s="3">
        <v>0.41899999999999998</v>
      </c>
      <c r="D186">
        <v>817583</v>
      </c>
      <c r="E186" s="3">
        <v>0.43677400337335781</v>
      </c>
    </row>
    <row r="187" spans="1:5" x14ac:dyDescent="0.35">
      <c r="A187">
        <v>-1.1845073781667992E-2</v>
      </c>
      <c r="B187">
        <v>559</v>
      </c>
      <c r="C187" s="3">
        <v>0.33500000000000002</v>
      </c>
      <c r="D187">
        <v>2526131</v>
      </c>
      <c r="E187" s="3">
        <v>0.36080591228245884</v>
      </c>
    </row>
    <row r="188" spans="1:5" x14ac:dyDescent="0.35">
      <c r="A188">
        <v>1.4572887715797678E-2</v>
      </c>
      <c r="B188">
        <v>362</v>
      </c>
      <c r="C188" s="3">
        <v>0.503</v>
      </c>
      <c r="D188">
        <v>4862764</v>
      </c>
      <c r="E188" s="3">
        <v>0.53330245925979547</v>
      </c>
    </row>
    <row r="189" spans="1:5" x14ac:dyDescent="0.35">
      <c r="A189">
        <v>-0.16329287864061298</v>
      </c>
      <c r="B189">
        <v>272</v>
      </c>
      <c r="C189" s="3">
        <v>0.36399999999999999</v>
      </c>
      <c r="D189">
        <v>3889136</v>
      </c>
      <c r="E189" s="3">
        <v>0.25485249165881574</v>
      </c>
    </row>
    <row r="190" spans="1:5" x14ac:dyDescent="0.35">
      <c r="A190">
        <v>-1.7212703616473535E-2</v>
      </c>
      <c r="B190">
        <v>473</v>
      </c>
      <c r="C190" s="3">
        <v>0.27100000000000002</v>
      </c>
      <c r="D190">
        <v>5230213</v>
      </c>
      <c r="E190" s="3">
        <v>0.31654676396544462</v>
      </c>
    </row>
    <row r="191" spans="1:5" x14ac:dyDescent="0.35">
      <c r="A191">
        <v>8.0710460979222187E-2</v>
      </c>
      <c r="B191">
        <v>270</v>
      </c>
      <c r="C191" s="3">
        <v>0.57799999999999996</v>
      </c>
      <c r="D191">
        <v>2986937</v>
      </c>
      <c r="E191" s="3">
        <v>0.65246973739318903</v>
      </c>
    </row>
    <row r="192" spans="1:5" x14ac:dyDescent="0.35">
      <c r="A192">
        <v>2.1338389620021769E-2</v>
      </c>
      <c r="B192">
        <v>431</v>
      </c>
      <c r="C192" s="3">
        <v>0.47600000000000003</v>
      </c>
      <c r="D192">
        <v>5789418</v>
      </c>
      <c r="E192" s="3">
        <v>0.51360862179928968</v>
      </c>
    </row>
    <row r="193" spans="1:5" x14ac:dyDescent="0.35">
      <c r="A193">
        <v>-3.9012551573760101E-2</v>
      </c>
      <c r="B193">
        <v>240</v>
      </c>
      <c r="C193" s="3">
        <v>0.504</v>
      </c>
      <c r="D193">
        <v>2894046</v>
      </c>
      <c r="E193" s="3">
        <v>0.49134637113577323</v>
      </c>
    </row>
    <row r="194" spans="1:5" x14ac:dyDescent="0.35">
      <c r="A194">
        <v>2.746785569329141E-2</v>
      </c>
      <c r="B194">
        <v>449</v>
      </c>
      <c r="C194" s="3">
        <v>0.57899999999999996</v>
      </c>
      <c r="D194">
        <v>13298777</v>
      </c>
      <c r="E194" s="3">
        <v>0.52246706595651615</v>
      </c>
    </row>
    <row r="195" spans="1:5" x14ac:dyDescent="0.35">
      <c r="A195">
        <v>-9.0735744223177761E-2</v>
      </c>
      <c r="B195">
        <v>461</v>
      </c>
      <c r="C195" s="3">
        <v>0.52700000000000002</v>
      </c>
      <c r="D195">
        <v>22461499</v>
      </c>
      <c r="E195" s="3">
        <v>0.33821478254857346</v>
      </c>
    </row>
    <row r="196" spans="1:5" x14ac:dyDescent="0.35">
      <c r="A196">
        <v>4.6397874822495855E-2</v>
      </c>
      <c r="B196">
        <v>315</v>
      </c>
      <c r="C196" s="3">
        <v>0.42499999999999999</v>
      </c>
      <c r="D196">
        <v>1136275</v>
      </c>
      <c r="E196" s="3">
        <v>0.50315900640249944</v>
      </c>
    </row>
    <row r="197" spans="1:5" x14ac:dyDescent="0.35">
      <c r="A197">
        <v>-2.5440951486879027E-2</v>
      </c>
      <c r="B197">
        <v>694</v>
      </c>
      <c r="C197" s="3">
        <v>0.34399999999999997</v>
      </c>
      <c r="D197">
        <v>2609100</v>
      </c>
      <c r="E197" s="3">
        <v>0.34794718485301446</v>
      </c>
    </row>
    <row r="198" spans="1:5" x14ac:dyDescent="0.35">
      <c r="A198">
        <v>-4.8877883754851636E-2</v>
      </c>
      <c r="B198">
        <v>517</v>
      </c>
      <c r="C198" s="3">
        <v>0.47200000000000003</v>
      </c>
      <c r="D198">
        <v>2523462</v>
      </c>
      <c r="E198" s="3">
        <v>0.43136453015737902</v>
      </c>
    </row>
    <row r="199" spans="1:5" x14ac:dyDescent="0.35">
      <c r="A199">
        <v>-1.0913971012066204E-2</v>
      </c>
      <c r="B199">
        <v>767</v>
      </c>
      <c r="C199" s="3">
        <v>0.46500000000000002</v>
      </c>
      <c r="D199">
        <v>3449423</v>
      </c>
      <c r="E199" s="3">
        <v>0.45028980209153818</v>
      </c>
    </row>
    <row r="200" spans="1:5" x14ac:dyDescent="0.35">
      <c r="A200">
        <v>5.5958766272852789E-3</v>
      </c>
      <c r="B200">
        <v>500</v>
      </c>
      <c r="C200" s="3">
        <v>0.46399999999999997</v>
      </c>
      <c r="D200">
        <v>4070570</v>
      </c>
      <c r="E200" s="3">
        <v>0.49031265891509052</v>
      </c>
    </row>
    <row r="201" spans="1:5" x14ac:dyDescent="0.35">
      <c r="A201">
        <v>1.7292040321782387E-2</v>
      </c>
      <c r="B201">
        <v>468</v>
      </c>
      <c r="C201" s="3">
        <v>0.438</v>
      </c>
      <c r="D201">
        <v>2032992</v>
      </c>
      <c r="E201" s="3">
        <v>0.47482528214572411</v>
      </c>
    </row>
    <row r="202" spans="1:5" x14ac:dyDescent="0.35">
      <c r="A202">
        <v>-5.2248957828592735E-2</v>
      </c>
      <c r="B202">
        <v>473</v>
      </c>
      <c r="C202" s="3">
        <v>0.33799999999999997</v>
      </c>
      <c r="D202">
        <v>5633416</v>
      </c>
      <c r="E202" s="3">
        <v>0.33209778933421569</v>
      </c>
    </row>
    <row r="203" spans="1:5" x14ac:dyDescent="0.35">
      <c r="A203">
        <v>5.1646394501030646E-2</v>
      </c>
      <c r="B203">
        <v>586</v>
      </c>
      <c r="C203" s="3">
        <v>0.41600000000000004</v>
      </c>
      <c r="D203">
        <v>8773153</v>
      </c>
      <c r="E203" s="3">
        <v>0.48248263765603999</v>
      </c>
    </row>
    <row r="204" spans="1:5" x14ac:dyDescent="0.35">
      <c r="A204">
        <v>-2.036031770325164E-2</v>
      </c>
      <c r="B204">
        <v>666</v>
      </c>
      <c r="C204" s="3">
        <v>0.434</v>
      </c>
      <c r="D204">
        <v>3625546</v>
      </c>
      <c r="E204" s="3">
        <v>0.42090515469945766</v>
      </c>
    </row>
    <row r="205" spans="1:5" x14ac:dyDescent="0.35">
      <c r="A205">
        <v>1.5194344818637351E-2</v>
      </c>
      <c r="B205">
        <v>234</v>
      </c>
      <c r="C205" s="3">
        <v>0.33299999999999996</v>
      </c>
      <c r="D205">
        <v>2229930</v>
      </c>
      <c r="E205" s="3">
        <v>0.4015767311081514</v>
      </c>
    </row>
    <row r="206" spans="1:5" x14ac:dyDescent="0.35">
      <c r="A206">
        <v>6.6751255382679342E-3</v>
      </c>
      <c r="B206">
        <v>666</v>
      </c>
      <c r="C206" s="3">
        <v>0.36600000000000005</v>
      </c>
      <c r="D206">
        <v>2964916</v>
      </c>
      <c r="E206" s="3">
        <v>0.3972948980679385</v>
      </c>
    </row>
    <row r="207" spans="1:5" x14ac:dyDescent="0.35">
      <c r="A207">
        <v>-2.1460639101174017E-2</v>
      </c>
      <c r="B207">
        <v>438</v>
      </c>
      <c r="C207" s="3">
        <v>0.47299999999999998</v>
      </c>
      <c r="D207">
        <v>24823606</v>
      </c>
      <c r="E207" s="3">
        <v>0.36029112772737371</v>
      </c>
    </row>
    <row r="208" spans="1:5" x14ac:dyDescent="0.35">
      <c r="A208">
        <v>9.1356354526820116E-2</v>
      </c>
      <c r="B208">
        <v>346</v>
      </c>
      <c r="C208" s="3">
        <v>0.46799999999999997</v>
      </c>
      <c r="D208">
        <v>12592594</v>
      </c>
      <c r="E208" s="3">
        <v>0.52133404761560642</v>
      </c>
    </row>
    <row r="209" spans="1:5" x14ac:dyDescent="0.35">
      <c r="A209">
        <v>2.6381098861020025E-2</v>
      </c>
      <c r="B209">
        <v>495</v>
      </c>
      <c r="C209" s="3">
        <v>0.32299999999999995</v>
      </c>
      <c r="D209">
        <v>1181511</v>
      </c>
      <c r="E209" s="3">
        <v>0.39633147723550605</v>
      </c>
    </row>
    <row r="210" spans="1:5" x14ac:dyDescent="0.35">
      <c r="A210">
        <v>3.0806345607822749E-2</v>
      </c>
      <c r="B210">
        <v>417</v>
      </c>
      <c r="C210" s="3">
        <v>0.4</v>
      </c>
      <c r="D210">
        <v>75327515</v>
      </c>
      <c r="E210" s="3">
        <v>0.21721518358862629</v>
      </c>
    </row>
    <row r="211" spans="1:5" x14ac:dyDescent="0.35">
      <c r="A211">
        <v>5.354203058796414E-3</v>
      </c>
      <c r="B211">
        <v>302</v>
      </c>
      <c r="C211" s="3">
        <v>0.318</v>
      </c>
      <c r="D211">
        <v>1395719</v>
      </c>
      <c r="E211" s="3">
        <v>0.36527911420565312</v>
      </c>
    </row>
    <row r="212" spans="1:5" x14ac:dyDescent="0.35">
      <c r="A212">
        <v>7.296011612433545E-2</v>
      </c>
      <c r="B212">
        <v>302</v>
      </c>
      <c r="C212" s="3">
        <v>0.32500000000000001</v>
      </c>
      <c r="D212">
        <v>2217242</v>
      </c>
      <c r="E212" s="3">
        <v>0.46431287157649009</v>
      </c>
    </row>
    <row r="213" spans="1:5" x14ac:dyDescent="0.35">
      <c r="A213">
        <v>-1.8909984683692926E-2</v>
      </c>
      <c r="B213">
        <v>1054</v>
      </c>
      <c r="C213" s="3">
        <v>0.45600000000000002</v>
      </c>
      <c r="D213">
        <v>20239048</v>
      </c>
      <c r="E213" s="3">
        <v>0.34926707026931308</v>
      </c>
    </row>
    <row r="214" spans="1:5" x14ac:dyDescent="0.35">
      <c r="A214">
        <v>-3.2586577863377819E-2</v>
      </c>
      <c r="B214">
        <v>330</v>
      </c>
      <c r="C214" s="3">
        <v>0.46700000000000003</v>
      </c>
      <c r="D214">
        <v>1110856</v>
      </c>
      <c r="E214" s="3">
        <v>0.45599249587705337</v>
      </c>
    </row>
    <row r="215" spans="1:5" x14ac:dyDescent="0.35">
      <c r="A215">
        <v>4.7340943216010622E-2</v>
      </c>
      <c r="B215">
        <v>261</v>
      </c>
      <c r="C215" s="3">
        <v>0.375</v>
      </c>
      <c r="D215">
        <v>3214219</v>
      </c>
      <c r="E215" s="3">
        <v>0.46221212680280965</v>
      </c>
    </row>
    <row r="216" spans="1:5" x14ac:dyDescent="0.35">
      <c r="A216">
        <v>-2.5739090235779138E-2</v>
      </c>
      <c r="B216">
        <v>362</v>
      </c>
      <c r="C216" s="3">
        <v>0.28999999999999998</v>
      </c>
      <c r="D216">
        <v>2454844</v>
      </c>
      <c r="E216" s="3">
        <v>0.32116826975563417</v>
      </c>
    </row>
    <row r="217" spans="1:5" x14ac:dyDescent="0.35">
      <c r="A217">
        <v>-3.0329379435240389E-2</v>
      </c>
      <c r="B217">
        <v>172</v>
      </c>
      <c r="C217" s="3">
        <v>0.61</v>
      </c>
      <c r="D217">
        <v>540890</v>
      </c>
      <c r="E217" s="3">
        <v>0.57718020299876127</v>
      </c>
    </row>
    <row r="218" spans="1:5" x14ac:dyDescent="0.35">
      <c r="A218">
        <v>2.0088873356748527E-2</v>
      </c>
      <c r="B218">
        <v>746</v>
      </c>
      <c r="C218" s="3">
        <v>0.5</v>
      </c>
      <c r="D218">
        <v>72360663</v>
      </c>
      <c r="E218" s="3">
        <v>0.27731983329119025</v>
      </c>
    </row>
    <row r="219" spans="1:5" x14ac:dyDescent="0.35">
      <c r="A219">
        <v>2.9272922290209502E-2</v>
      </c>
      <c r="B219">
        <v>600</v>
      </c>
      <c r="C219" s="3">
        <v>0.36299999999999999</v>
      </c>
      <c r="D219">
        <v>12821935</v>
      </c>
      <c r="E219" s="3">
        <v>0.40737010443431509</v>
      </c>
    </row>
    <row r="220" spans="1:5" x14ac:dyDescent="0.35">
      <c r="A220">
        <v>1.2487338039610496E-2</v>
      </c>
      <c r="B220">
        <v>400</v>
      </c>
      <c r="C220" s="3">
        <v>0.42299999999999999</v>
      </c>
      <c r="D220">
        <v>7023115</v>
      </c>
      <c r="E220" s="3">
        <v>0.44762943508685249</v>
      </c>
    </row>
    <row r="221" spans="1:5" x14ac:dyDescent="0.35">
      <c r="A221">
        <v>4.3290561405855355E-2</v>
      </c>
      <c r="B221">
        <v>530</v>
      </c>
      <c r="C221" s="3">
        <v>0.45799999999999996</v>
      </c>
      <c r="D221">
        <v>9228360</v>
      </c>
      <c r="E221" s="3">
        <v>0.45260447143371085</v>
      </c>
    </row>
    <row r="222" spans="1:5" x14ac:dyDescent="0.35">
      <c r="A222">
        <v>8.1207138187808336E-2</v>
      </c>
      <c r="B222">
        <v>402</v>
      </c>
      <c r="C222" s="3">
        <v>0.38799999999999996</v>
      </c>
      <c r="D222">
        <v>2446863</v>
      </c>
      <c r="E222" s="3">
        <v>0.487810719276069</v>
      </c>
    </row>
    <row r="223" spans="1:5" x14ac:dyDescent="0.35">
      <c r="A223">
        <v>-2.4831794349429004E-2</v>
      </c>
      <c r="B223">
        <v>812</v>
      </c>
      <c r="C223" s="3">
        <v>0.443</v>
      </c>
      <c r="D223">
        <v>32370943</v>
      </c>
      <c r="E223" s="3">
        <v>0.31041425021198793</v>
      </c>
    </row>
    <row r="224" spans="1:5" x14ac:dyDescent="0.35">
      <c r="A224">
        <v>-8.4580282378803384E-2</v>
      </c>
      <c r="B224">
        <v>440</v>
      </c>
      <c r="C224" s="3">
        <v>0.47700000000000004</v>
      </c>
      <c r="D224">
        <v>17224262</v>
      </c>
      <c r="E224" s="3">
        <v>0.32122630275828362</v>
      </c>
    </row>
    <row r="225" spans="1:5" x14ac:dyDescent="0.35">
      <c r="A225">
        <v>2.5616422032728459E-2</v>
      </c>
      <c r="B225">
        <v>426</v>
      </c>
      <c r="C225" s="3">
        <v>0.312</v>
      </c>
      <c r="D225">
        <v>2071046</v>
      </c>
      <c r="E225" s="3">
        <v>0.3876688398036548</v>
      </c>
    </row>
    <row r="226" spans="1:5" x14ac:dyDescent="0.35">
      <c r="A226">
        <v>3.193003116180515E-2</v>
      </c>
      <c r="B226">
        <v>505</v>
      </c>
      <c r="C226" s="3">
        <v>0.42399999999999999</v>
      </c>
      <c r="D226">
        <v>12309192</v>
      </c>
      <c r="E226" s="3">
        <v>0.4216966475135005</v>
      </c>
    </row>
    <row r="227" spans="1:5" x14ac:dyDescent="0.35">
      <c r="A227">
        <v>4.8071498482628594E-3</v>
      </c>
      <c r="B227">
        <v>491</v>
      </c>
      <c r="C227" s="3">
        <v>0.36499999999999999</v>
      </c>
      <c r="D227">
        <v>1544532</v>
      </c>
      <c r="E227" s="3">
        <v>0.40634056141277747</v>
      </c>
    </row>
    <row r="228" spans="1:5" x14ac:dyDescent="0.35">
      <c r="A228">
        <v>-2.6315074326582755E-4</v>
      </c>
      <c r="B228">
        <v>315</v>
      </c>
      <c r="C228" s="3">
        <v>0.38100000000000001</v>
      </c>
      <c r="D228">
        <v>2650043</v>
      </c>
      <c r="E228" s="3">
        <v>0.41841019183462308</v>
      </c>
    </row>
    <row r="229" spans="1:5" x14ac:dyDescent="0.35">
      <c r="A229">
        <v>2.8608880830524597E-3</v>
      </c>
      <c r="B229">
        <v>357</v>
      </c>
      <c r="C229" s="3">
        <v>0.47600000000000003</v>
      </c>
      <c r="D229">
        <v>3780635</v>
      </c>
      <c r="E229" s="3">
        <v>0.48985395310576135</v>
      </c>
    </row>
    <row r="230" spans="1:5" x14ac:dyDescent="0.35">
      <c r="A230">
        <v>4.3911715185790956E-2</v>
      </c>
      <c r="B230">
        <v>315</v>
      </c>
      <c r="C230" s="3">
        <v>0.42499999999999999</v>
      </c>
      <c r="D230">
        <v>4124481</v>
      </c>
      <c r="E230" s="3">
        <v>0.50657500907386888</v>
      </c>
    </row>
    <row r="231" spans="1:5" x14ac:dyDescent="0.35">
      <c r="A231">
        <v>-3.4230586503116722E-2</v>
      </c>
      <c r="B231">
        <v>537</v>
      </c>
      <c r="C231" s="3">
        <v>0.35000000000000003</v>
      </c>
      <c r="D231">
        <v>4228466</v>
      </c>
      <c r="E231" s="3">
        <v>0.34631518853409249</v>
      </c>
    </row>
    <row r="232" spans="1:5" x14ac:dyDescent="0.35">
      <c r="A232">
        <v>-9.249465041191729E-3</v>
      </c>
      <c r="B232">
        <v>263</v>
      </c>
      <c r="C232" s="3">
        <v>0.47500000000000003</v>
      </c>
      <c r="D232">
        <v>1156375</v>
      </c>
      <c r="E232" s="3">
        <v>0.48834417900767485</v>
      </c>
    </row>
    <row r="233" spans="1:5" x14ac:dyDescent="0.35">
      <c r="A233">
        <v>-1.8525456404726304E-2</v>
      </c>
      <c r="B233">
        <v>604</v>
      </c>
      <c r="C233" s="3">
        <v>0.29499999999999998</v>
      </c>
      <c r="D233">
        <v>2300088</v>
      </c>
      <c r="E233" s="3">
        <v>0.32189072765911564</v>
      </c>
    </row>
    <row r="234" spans="1:5" x14ac:dyDescent="0.35">
      <c r="A234">
        <v>-6.6924403399470367E-3</v>
      </c>
      <c r="B234">
        <v>378</v>
      </c>
      <c r="C234" s="3">
        <v>0.35200000000000004</v>
      </c>
      <c r="D234">
        <v>2061097</v>
      </c>
      <c r="E234" s="3">
        <v>0.3883815269247396</v>
      </c>
    </row>
    <row r="235" spans="1:5" x14ac:dyDescent="0.35">
      <c r="A235">
        <v>-9.7887573951697671E-3</v>
      </c>
      <c r="B235">
        <v>893</v>
      </c>
      <c r="C235" s="3">
        <v>0.498</v>
      </c>
      <c r="D235">
        <v>15554195</v>
      </c>
      <c r="E235" s="3">
        <v>0.41091075430133156</v>
      </c>
    </row>
    <row r="236" spans="1:5" x14ac:dyDescent="0.35">
      <c r="A236">
        <v>7.2561468626193781E-2</v>
      </c>
      <c r="B236">
        <v>187</v>
      </c>
      <c r="C236" s="3">
        <v>0.42200000000000004</v>
      </c>
      <c r="D236">
        <v>386924</v>
      </c>
      <c r="E236" s="3">
        <v>0.52063195873091361</v>
      </c>
    </row>
    <row r="237" spans="1:5" x14ac:dyDescent="0.35">
      <c r="A237">
        <v>5.1061484393600809E-2</v>
      </c>
      <c r="B237">
        <v>362</v>
      </c>
      <c r="C237" s="3">
        <v>0.49399999999999999</v>
      </c>
      <c r="D237">
        <v>6538733</v>
      </c>
      <c r="E237" s="3">
        <v>0.50304913811284235</v>
      </c>
    </row>
    <row r="238" spans="1:5" x14ac:dyDescent="0.35">
      <c r="A238">
        <v>-3.2805193472136285E-2</v>
      </c>
      <c r="B238">
        <v>516</v>
      </c>
      <c r="C238" s="3">
        <v>0.51200000000000001</v>
      </c>
      <c r="D238">
        <v>66825920</v>
      </c>
      <c r="E238" s="3">
        <v>0.2592074602190288</v>
      </c>
    </row>
    <row r="239" spans="1:5" x14ac:dyDescent="0.35">
      <c r="A239">
        <v>-8.1441301602401595E-2</v>
      </c>
      <c r="B239">
        <v>202</v>
      </c>
      <c r="C239" s="3">
        <v>0.54</v>
      </c>
      <c r="D239">
        <v>2859710</v>
      </c>
      <c r="E239" s="3">
        <v>0.46435687534750025</v>
      </c>
    </row>
    <row r="240" spans="1:5" x14ac:dyDescent="0.35">
      <c r="A240">
        <v>-2.2721151912819926E-2</v>
      </c>
      <c r="B240">
        <v>440</v>
      </c>
      <c r="C240" s="3">
        <v>0.32299999999999995</v>
      </c>
      <c r="D240">
        <v>1742021</v>
      </c>
      <c r="E240" s="3">
        <v>0.34811176214293627</v>
      </c>
    </row>
    <row r="241" spans="1:5" x14ac:dyDescent="0.35">
      <c r="A241">
        <v>7.4755368246660625E-3</v>
      </c>
      <c r="B241">
        <v>374</v>
      </c>
      <c r="C241" s="3">
        <v>0.47299999999999998</v>
      </c>
      <c r="D241">
        <v>10022180</v>
      </c>
      <c r="E241" s="3">
        <v>0.44719402365553201</v>
      </c>
    </row>
    <row r="242" spans="1:5" x14ac:dyDescent="0.35">
      <c r="A242">
        <v>5.7471160581335501E-3</v>
      </c>
      <c r="B242">
        <v>693</v>
      </c>
      <c r="C242" s="3">
        <v>0.44200000000000006</v>
      </c>
      <c r="D242">
        <v>31275909</v>
      </c>
      <c r="E242" s="3">
        <v>0.33440521265105355</v>
      </c>
    </row>
    <row r="243" spans="1:5" x14ac:dyDescent="0.35">
      <c r="A243">
        <v>-5.1597271306033921E-2</v>
      </c>
      <c r="B243">
        <v>462</v>
      </c>
      <c r="C243" s="3">
        <v>0.41600000000000004</v>
      </c>
      <c r="D243">
        <v>17573649</v>
      </c>
      <c r="E243" s="3">
        <v>0.30519273487253556</v>
      </c>
    </row>
    <row r="244" spans="1:5" x14ac:dyDescent="0.35">
      <c r="A244">
        <v>-4.4168153288646039E-2</v>
      </c>
      <c r="B244">
        <v>527</v>
      </c>
      <c r="C244" s="3">
        <v>0.501</v>
      </c>
      <c r="D244">
        <v>20017623</v>
      </c>
      <c r="E244" s="3">
        <v>0.36856678737530424</v>
      </c>
    </row>
    <row r="245" spans="1:5" x14ac:dyDescent="0.35">
      <c r="A245">
        <v>-7.4135663739674063E-2</v>
      </c>
      <c r="B245">
        <v>367</v>
      </c>
      <c r="C245" s="3">
        <v>0.44400000000000001</v>
      </c>
      <c r="D245">
        <v>8001913</v>
      </c>
      <c r="E245" s="3">
        <v>0.33499089530216086</v>
      </c>
    </row>
    <row r="246" spans="1:5" x14ac:dyDescent="0.35">
      <c r="A246">
        <v>-3.1052897552720227E-3</v>
      </c>
      <c r="B246">
        <v>311</v>
      </c>
      <c r="C246" s="3">
        <v>0.53400000000000003</v>
      </c>
      <c r="D246">
        <v>17736798</v>
      </c>
      <c r="E246" s="3">
        <v>0.46510136722535828</v>
      </c>
    </row>
    <row r="247" spans="1:5" x14ac:dyDescent="0.35">
      <c r="A247">
        <v>5.2553297929576748E-3</v>
      </c>
      <c r="B247">
        <v>387</v>
      </c>
      <c r="C247" s="3">
        <v>0.47000000000000003</v>
      </c>
      <c r="D247">
        <v>3989583</v>
      </c>
      <c r="E247" s="3">
        <v>0.48571066199149132</v>
      </c>
    </row>
    <row r="248" spans="1:5" x14ac:dyDescent="0.35">
      <c r="A248">
        <v>4.1185552255098568E-2</v>
      </c>
      <c r="B248">
        <v>358</v>
      </c>
      <c r="C248" s="3">
        <v>0.49700000000000005</v>
      </c>
      <c r="D248">
        <v>2167626</v>
      </c>
      <c r="E248" s="3">
        <v>0.54874780058921602</v>
      </c>
    </row>
    <row r="249" spans="1:5" x14ac:dyDescent="0.35">
      <c r="A249">
        <v>8.7484121492573452E-2</v>
      </c>
      <c r="B249">
        <v>913</v>
      </c>
      <c r="C249" s="3">
        <v>0.50700000000000001</v>
      </c>
      <c r="D249">
        <v>25438043</v>
      </c>
      <c r="E249" s="3">
        <v>0.48685679161718531</v>
      </c>
    </row>
    <row r="250" spans="1:5" x14ac:dyDescent="0.35">
      <c r="A250">
        <v>-3.6286893493856165E-2</v>
      </c>
      <c r="B250">
        <v>355</v>
      </c>
      <c r="C250" s="3">
        <v>0.45100000000000001</v>
      </c>
      <c r="D250">
        <v>4906487</v>
      </c>
      <c r="E250" s="3">
        <v>0.42838246590686985</v>
      </c>
    </row>
    <row r="251" spans="1:5" ht="15" thickBot="1" x14ac:dyDescent="0.4">
      <c r="A251" s="5">
        <v>-6.5581346962375775E-2</v>
      </c>
      <c r="B251">
        <v>310</v>
      </c>
      <c r="C251" s="3">
        <v>0.52900000000000003</v>
      </c>
      <c r="D251">
        <v>4213436</v>
      </c>
      <c r="E251" s="3">
        <v>0.46319440950331275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1BE2D0E319EA4FA4ED1BBDB41F8A1C" ma:contentTypeVersion="8" ma:contentTypeDescription="Create a new document." ma:contentTypeScope="" ma:versionID="272453b02acac7c8e9ac0970d9517e73">
  <xsd:schema xmlns:xsd="http://www.w3.org/2001/XMLSchema" xmlns:xs="http://www.w3.org/2001/XMLSchema" xmlns:p="http://schemas.microsoft.com/office/2006/metadata/properties" xmlns:ns3="92d6475e-73b9-42e3-89df-ebc1b700c13b" xmlns:ns4="4113d82b-ab6e-43ca-8213-4913a5072bf1" targetNamespace="http://schemas.microsoft.com/office/2006/metadata/properties" ma:root="true" ma:fieldsID="24b32a3b631de9bb38b123a53b862f46" ns3:_="" ns4:_="">
    <xsd:import namespace="92d6475e-73b9-42e3-89df-ebc1b700c13b"/>
    <xsd:import namespace="4113d82b-ab6e-43ca-8213-4913a5072bf1"/>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d6475e-73b9-42e3-89df-ebc1b700c1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13d82b-ab6e-43ca-8213-4913a5072b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2d6475e-73b9-42e3-89df-ebc1b700c13b" xsi:nil="true"/>
  </documentManagement>
</p:properties>
</file>

<file path=customXml/itemProps1.xml><?xml version="1.0" encoding="utf-8"?>
<ds:datastoreItem xmlns:ds="http://schemas.openxmlformats.org/officeDocument/2006/customXml" ds:itemID="{542371BC-1DF1-4940-860B-ABB817AB2562}">
  <ds:schemaRefs>
    <ds:schemaRef ds:uri="http://schemas.microsoft.com/sharepoint/v3/contenttype/forms"/>
  </ds:schemaRefs>
</ds:datastoreItem>
</file>

<file path=customXml/itemProps2.xml><?xml version="1.0" encoding="utf-8"?>
<ds:datastoreItem xmlns:ds="http://schemas.openxmlformats.org/officeDocument/2006/customXml" ds:itemID="{52B3D5AC-C8AC-4707-9A48-828AB3B7A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d6475e-73b9-42e3-89df-ebc1b700c13b"/>
    <ds:schemaRef ds:uri="4113d82b-ab6e-43ca-8213-4913a5072b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9A7947-1D0A-4785-B975-22BCED6D6070}">
  <ds:schemaRefs>
    <ds:schemaRef ds:uri="http://schemas.microsoft.com/office/2006/metadata/properties"/>
    <ds:schemaRef ds:uri="http://schemas.microsoft.com/office/infopath/2007/PartnerControls"/>
    <ds:schemaRef ds:uri="92d6475e-73b9-42e3-89df-ebc1b700c1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Dictionary</vt:lpstr>
      <vt:lpstr>Raw Data</vt:lpstr>
      <vt:lpstr>Edited Data</vt:lpstr>
      <vt:lpstr>DummyVariables</vt:lpstr>
      <vt:lpstr>Data Analysis</vt:lpstr>
      <vt:lpstr>Data Diagnostic</vt:lpstr>
      <vt:lpstr>Correlation</vt:lpstr>
      <vt:lpstr>Regression</vt:lpstr>
      <vt:lpstr>Equal Variance Check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Svoboda, Ella</cp:lastModifiedBy>
  <cp:revision/>
  <dcterms:created xsi:type="dcterms:W3CDTF">2025-10-15T17:53:44Z</dcterms:created>
  <dcterms:modified xsi:type="dcterms:W3CDTF">2026-02-23T23:28:46Z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0x010100631BE2D0E319EA4FA4ED1BBDB41F8A1C</vt:lpwstr>
  </property>
</Properties>
</file>